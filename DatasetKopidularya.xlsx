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PPKDJSDG\Downloads\Alfiansyah ap DA\Pertemuan 10\"/>
    </mc:Choice>
  </mc:AlternateContent>
  <xr:revisionPtr revIDLastSave="0" documentId="13_ncr:1_{BBA1E74B-6F2D-4CE5-BA6D-6C8BA2194359}" xr6:coauthVersionLast="47" xr6:coauthVersionMax="47" xr10:uidLastSave="{00000000-0000-0000-0000-000000000000}"/>
  <bookViews>
    <workbookView xWindow="-120" yWindow="-120" windowWidth="29040" windowHeight="15720" activeTab="3" xr2:uid="{00000000-000D-0000-FFFF-FFFF00000000}"/>
  </bookViews>
  <sheets>
    <sheet name="Sheet2" sheetId="11" r:id="rId1"/>
    <sheet name="Dasboard" sheetId="15" r:id="rId2"/>
    <sheet name="DatasetKopi" sheetId="1" r:id="rId3"/>
    <sheet name="Tablefact" sheetId="2" r:id="rId4"/>
    <sheet name="Dimbranch" sheetId="4" r:id="rId5"/>
    <sheet name="Dimcust" sheetId="3" r:id="rId6"/>
    <sheet name="Dimcity" sheetId="5" r:id="rId7"/>
    <sheet name="Dimmenu" sheetId="6" r:id="rId8"/>
    <sheet name="Dimcategory" sheetId="7" r:id="rId9"/>
    <sheet name="Dimmethod" sheetId="8" r:id="rId10"/>
    <sheet name="Dimdate" sheetId="9" r:id="rId11"/>
  </sheets>
  <definedNames>
    <definedName name="Slicer_Months__date">#N/A</definedName>
    <definedName name="Slicer_Years__d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2" i="9"/>
</calcChain>
</file>

<file path=xl/sharedStrings.xml><?xml version="1.0" encoding="utf-8"?>
<sst xmlns="http://schemas.openxmlformats.org/spreadsheetml/2006/main" count="16110" uniqueCount="2041">
  <si>
    <t>id_transaction</t>
  </si>
  <si>
    <t>date</t>
  </si>
  <si>
    <t>customer_name</t>
  </si>
  <si>
    <t>age</t>
  </si>
  <si>
    <t>branch_name</t>
  </si>
  <si>
    <t>city</t>
  </si>
  <si>
    <t>menu_name</t>
  </si>
  <si>
    <t>category</t>
  </si>
  <si>
    <t>quantity</t>
  </si>
  <si>
    <t>price</t>
  </si>
  <si>
    <t>discount_percent</t>
  </si>
  <si>
    <t>rating</t>
  </si>
  <si>
    <t>method</t>
  </si>
  <si>
    <t>total_price</t>
  </si>
  <si>
    <t>TRX0395</t>
  </si>
  <si>
    <t>TRX0502</t>
  </si>
  <si>
    <t>TRX0726</t>
  </si>
  <si>
    <t>TRX0884</t>
  </si>
  <si>
    <t>TRX0015</t>
  </si>
  <si>
    <t>TRX0630</t>
  </si>
  <si>
    <t>TRX0702</t>
  </si>
  <si>
    <t>TRX0468</t>
  </si>
  <si>
    <t>TRX0771</t>
  </si>
  <si>
    <t>TRX0580</t>
  </si>
  <si>
    <t>TRX0167</t>
  </si>
  <si>
    <t>TRX0698</t>
  </si>
  <si>
    <t>TRX0998</t>
  </si>
  <si>
    <t>TRX0629</t>
  </si>
  <si>
    <t>TRX0609</t>
  </si>
  <si>
    <t>TRX0974</t>
  </si>
  <si>
    <t>TRX0440</t>
  </si>
  <si>
    <t>TRX0345</t>
  </si>
  <si>
    <t>TRX0022</t>
  </si>
  <si>
    <t>TRX0736</t>
  </si>
  <si>
    <t>TRX0465</t>
  </si>
  <si>
    <t>TRX0846</t>
  </si>
  <si>
    <t>TRX0434</t>
  </si>
  <si>
    <t>TRX0259</t>
  </si>
  <si>
    <t>TRX0740</t>
  </si>
  <si>
    <t>TRX0830</t>
  </si>
  <si>
    <t>TRX0806</t>
  </si>
  <si>
    <t>TRX0636</t>
  </si>
  <si>
    <t>TRX0237</t>
  </si>
  <si>
    <t>TRX0087</t>
  </si>
  <si>
    <t>TRX0951</t>
  </si>
  <si>
    <t>TRX0112</t>
  </si>
  <si>
    <t>TRX0950</t>
  </si>
  <si>
    <t>TRX0306</t>
  </si>
  <si>
    <t>TRX0137</t>
  </si>
  <si>
    <t>TRX0066</t>
  </si>
  <si>
    <t>TRX0492</t>
  </si>
  <si>
    <t>TRX0851</t>
  </si>
  <si>
    <t>TRX0788</t>
  </si>
  <si>
    <t>TRX0227</t>
  </si>
  <si>
    <t>TRX0652</t>
  </si>
  <si>
    <t>TRX0324</t>
  </si>
  <si>
    <t>TRX0911</t>
  </si>
  <si>
    <t>TRX0712</t>
  </si>
  <si>
    <t>TRX0607</t>
  </si>
  <si>
    <t>TRX0074</t>
  </si>
  <si>
    <t>TRX0640</t>
  </si>
  <si>
    <t>TRX0620</t>
  </si>
  <si>
    <t>TRX0359</t>
  </si>
  <si>
    <t>TRX0872</t>
  </si>
  <si>
    <t>TRX0941</t>
  </si>
  <si>
    <t>TRX0061</t>
  </si>
  <si>
    <t>TRX0663</t>
  </si>
  <si>
    <t>TRX0509</t>
  </si>
  <si>
    <t>TRX0264</t>
  </si>
  <si>
    <t>TRX0135</t>
  </si>
  <si>
    <t>TRX0096</t>
  </si>
  <si>
    <t>TRX0293</t>
  </si>
  <si>
    <t>TRX0020</t>
  </si>
  <si>
    <t>TRX0068</t>
  </si>
  <si>
    <t>TRX0642</t>
  </si>
  <si>
    <t>TRX0797</t>
  </si>
  <si>
    <t>TRX0331</t>
  </si>
  <si>
    <t>TRX0128</t>
  </si>
  <si>
    <t>TRX0383</t>
  </si>
  <si>
    <t>TRX0694</t>
  </si>
  <si>
    <t>TRX0450</t>
  </si>
  <si>
    <t>TRX0778</t>
  </si>
  <si>
    <t>TRX0334</t>
  </si>
  <si>
    <t>TRX0561</t>
  </si>
  <si>
    <t>TRX0255</t>
  </si>
  <si>
    <t>TRX0591</t>
  </si>
  <si>
    <t>TRX0092</t>
  </si>
  <si>
    <t>TRX0214</t>
  </si>
  <si>
    <t>TRX0597</t>
  </si>
  <si>
    <t>TRX0171</t>
  </si>
  <si>
    <t>TRX0422</t>
  </si>
  <si>
    <t>TRX0835</t>
  </si>
  <si>
    <t>TRX0604</t>
  </si>
  <si>
    <t>TRX0085</t>
  </si>
  <si>
    <t>TRX0923</t>
  </si>
  <si>
    <t>TRX0871</t>
  </si>
  <si>
    <t>TRX0147</t>
  </si>
  <si>
    <t>TRX0578</t>
  </si>
  <si>
    <t>TRX0503</t>
  </si>
  <si>
    <t>TRX0982</t>
  </si>
  <si>
    <t>TRX0557</t>
  </si>
  <si>
    <t>TRX0164</t>
  </si>
  <si>
    <t>TRX0160</t>
  </si>
  <si>
    <t>TRX0030</t>
  </si>
  <si>
    <t>TRX0978</t>
  </si>
  <si>
    <t>TRX0521</t>
  </si>
  <si>
    <t>TRX0963</t>
  </si>
  <si>
    <t>TRX0969</t>
  </si>
  <si>
    <t>TRX0601</t>
  </si>
  <si>
    <t>TRX0616</t>
  </si>
  <si>
    <t>TRX0406</t>
  </si>
  <si>
    <t>TRX0182</t>
  </si>
  <si>
    <t>TRX0189</t>
  </si>
  <si>
    <t>TRX0390</t>
  </si>
  <si>
    <t>TRX0576</t>
  </si>
  <si>
    <t>TRX0300</t>
  </si>
  <si>
    <t>TRX0918</t>
  </si>
  <si>
    <t>TRX0477</t>
  </si>
  <si>
    <t>TRX0931</t>
  </si>
  <si>
    <t>TRX0471</t>
  </si>
  <si>
    <t>TRX0655</t>
  </si>
  <si>
    <t>TRX0844</t>
  </si>
  <si>
    <t>TRX0555</t>
  </si>
  <si>
    <t>TRX0321</t>
  </si>
  <si>
    <t>TRX0213</t>
  </si>
  <si>
    <t>TRX0374</t>
  </si>
  <si>
    <t>TRX0512</t>
  </si>
  <si>
    <t>TRX0595</t>
  </si>
  <si>
    <t>TRX0346</t>
  </si>
  <si>
    <t>TRX0276</t>
  </si>
  <si>
    <t>TRX0900</t>
  </si>
  <si>
    <t>TRX0701</t>
  </si>
  <si>
    <t>TRX0530</t>
  </si>
  <si>
    <t>TRX0205</t>
  </si>
  <si>
    <t>TRX0312</t>
  </si>
  <si>
    <t>TRX0593</t>
  </si>
  <si>
    <t>TRX0621</t>
  </si>
  <si>
    <t>TRX0773</t>
  </si>
  <si>
    <t>TRX0500</t>
  </si>
  <si>
    <t>TRX0989</t>
  </si>
  <si>
    <t>TRX0412</t>
  </si>
  <si>
    <t>TRX0548</t>
  </si>
  <si>
    <t>TRX0497</t>
  </si>
  <si>
    <t>TRX0924</t>
  </si>
  <si>
    <t>TRX0499</t>
  </si>
  <si>
    <t>TRX0645</t>
  </si>
  <si>
    <t>TRX0209</t>
  </si>
  <si>
    <t>TRX0968</t>
  </si>
  <si>
    <t>TRX0988</t>
  </si>
  <si>
    <t>TRX0779</t>
  </si>
  <si>
    <t>TRX0444</t>
  </si>
  <si>
    <t>TRX0266</t>
  </si>
  <si>
    <t>TRX0727</t>
  </si>
  <si>
    <t>TRX0380</t>
  </si>
  <si>
    <t>TRX0144</t>
  </si>
  <si>
    <t>TRX0574</t>
  </si>
  <si>
    <t>TRX0215</t>
  </si>
  <si>
    <t>TRX0511</t>
  </si>
  <si>
    <t>TRX0565</t>
  </si>
  <si>
    <t>TRX0751</t>
  </si>
  <si>
    <t>TRX0840</t>
  </si>
  <si>
    <t>TRX0987</t>
  </si>
  <si>
    <t>TRX0192</t>
  </si>
  <si>
    <t>TRX0289</t>
  </si>
  <si>
    <t>TRX0816</t>
  </si>
  <si>
    <t>TRX0536</t>
  </si>
  <si>
    <t>TRX0103</t>
  </si>
  <si>
    <t>TRX0024</t>
  </si>
  <si>
    <t>TRX0095</t>
  </si>
  <si>
    <t>TRX0322</t>
  </si>
  <si>
    <t>TRX0044</t>
  </si>
  <si>
    <t>TRX0287</t>
  </si>
  <si>
    <t>TRX0483</t>
  </si>
  <si>
    <t>TRX0229</t>
  </si>
  <si>
    <t>TRX0532</t>
  </si>
  <si>
    <t>TRX0168</t>
  </si>
  <si>
    <t>TRX0124</t>
  </si>
  <si>
    <t>TRX0038</t>
  </si>
  <si>
    <t>TRX0796</t>
  </si>
  <si>
    <t>TRX0482</t>
  </si>
  <si>
    <t>TRX0546</t>
  </si>
  <si>
    <t>TRX0176</t>
  </si>
  <si>
    <t>TRX0868</t>
  </si>
  <si>
    <t>TRX0603</t>
  </si>
  <si>
    <t>TRX0657</t>
  </si>
  <si>
    <t>TRX0332</t>
  </si>
  <si>
    <t>TRX0659</t>
  </si>
  <si>
    <t>TRX0661</t>
  </si>
  <si>
    <t>TRX0562</t>
  </si>
  <si>
    <t>TRX0041</t>
  </si>
  <si>
    <t>TRX0957</t>
  </si>
  <si>
    <t>TRX0723</t>
  </si>
  <si>
    <t>TRX0958</t>
  </si>
  <si>
    <t>TRX0270</t>
  </si>
  <si>
    <t>TRX0105</t>
  </si>
  <si>
    <t>TRX0185</t>
  </si>
  <si>
    <t>TRX0894</t>
  </si>
  <si>
    <t>TRX0404</t>
  </si>
  <si>
    <t>TRX0704</t>
  </si>
  <si>
    <t>TRX0719</t>
  </si>
  <si>
    <t>TRX0518</t>
  </si>
  <si>
    <t>TRX0194</t>
  </si>
  <si>
    <t>TRX0825</t>
  </si>
  <si>
    <t>TRX0469</t>
  </si>
  <si>
    <t>TRX0991</t>
  </si>
  <si>
    <t>TRX0180</t>
  </si>
  <si>
    <t>TRX0031</t>
  </si>
  <si>
    <t>TRX0598</t>
  </si>
  <si>
    <t>TRX0441</t>
  </si>
  <si>
    <t>TRX0152</t>
  </si>
  <si>
    <t>TRX0560</t>
  </si>
  <si>
    <t>TRX0647</t>
  </si>
  <si>
    <t>TRX0384</t>
  </si>
  <si>
    <t>TRX0186</t>
  </si>
  <si>
    <t>TRX0867</t>
  </si>
  <si>
    <t>TRX0111</t>
  </si>
  <si>
    <t>TRX0838</t>
  </si>
  <si>
    <t>TRX0027</t>
  </si>
  <si>
    <t>TRX0373</t>
  </si>
  <si>
    <t>TRX0776</t>
  </si>
  <si>
    <t>TRX0549</t>
  </si>
  <si>
    <t>TRX0339</t>
  </si>
  <si>
    <t>TRX0866</t>
  </si>
  <si>
    <t>TRX0405</t>
  </si>
  <si>
    <t>TRX0849</t>
  </si>
  <si>
    <t>TRX0057</t>
  </si>
  <si>
    <t>TRX0691</t>
  </si>
  <si>
    <t>TRX0758</t>
  </si>
  <si>
    <t>TRX0890</t>
  </si>
  <si>
    <t>TRX0550</t>
  </si>
  <si>
    <t>TRX0731</t>
  </si>
  <si>
    <t>TRX0724</t>
  </si>
  <si>
    <t>TRX0857</t>
  </si>
  <si>
    <t>TRX0936</t>
  </si>
  <si>
    <t>TRX0143</t>
  </si>
  <si>
    <t>TRX0426</t>
  </si>
  <si>
    <t>TRX0790</t>
  </si>
  <si>
    <t>TRX0011</t>
  </si>
  <si>
    <t>TRX0948</t>
  </si>
  <si>
    <t>TRX0329</t>
  </si>
  <si>
    <t>TRX0320</t>
  </si>
  <si>
    <t>TRX0649</t>
  </si>
  <si>
    <t>TRX0453</t>
  </si>
  <si>
    <t>TRX0792</t>
  </si>
  <si>
    <t>TRX0498</t>
  </si>
  <si>
    <t>TRX0472</t>
  </si>
  <si>
    <t>TRX0658</t>
  </si>
  <si>
    <t>TRX0927</t>
  </si>
  <si>
    <t>TRX0411</t>
  </si>
  <si>
    <t>TRX0153</t>
  </si>
  <si>
    <t>TRX0006</t>
  </si>
  <si>
    <t>TRX0328</t>
  </si>
  <si>
    <t>TRX0029</t>
  </si>
  <si>
    <t>TRX0045</t>
  </si>
  <si>
    <t>TRX0514</t>
  </si>
  <si>
    <t>TRX0206</t>
  </si>
  <si>
    <t>TRX0121</t>
  </si>
  <si>
    <t>TRX0921</t>
  </si>
  <si>
    <t>TRX0813</t>
  </si>
  <si>
    <t>TRX0831</t>
  </si>
  <si>
    <t>TRX0834</t>
  </si>
  <si>
    <t>TRX0090</t>
  </si>
  <si>
    <t>TRX0826</t>
  </si>
  <si>
    <t>TRX0241</t>
  </si>
  <si>
    <t>TRX0021</t>
  </si>
  <si>
    <t>TRX0051</t>
  </si>
  <si>
    <t>TRX0915</t>
  </si>
  <si>
    <t>TRX0108</t>
  </si>
  <si>
    <t>TRX0966</t>
  </si>
  <si>
    <t>TRX0340</t>
  </si>
  <si>
    <t>TRX0048</t>
  </si>
  <si>
    <t>TRX0360</t>
  </si>
  <si>
    <t>TRX0995</t>
  </si>
  <si>
    <t>TRX0770</t>
  </si>
  <si>
    <t>TRX0542</t>
  </si>
  <si>
    <t>TRX0379</t>
  </si>
  <si>
    <t>TRX0353</t>
  </si>
  <si>
    <t>TRX0741</t>
  </si>
  <si>
    <t>TRX0254</t>
  </si>
  <si>
    <t>TRX0354</t>
  </si>
  <si>
    <t>TRX0739</t>
  </si>
  <si>
    <t>TRX0088</t>
  </si>
  <si>
    <t>TRX0410</t>
  </si>
  <si>
    <t>TRX0714</t>
  </si>
  <si>
    <t>TRX0386</t>
  </si>
  <si>
    <t>TRX0351</t>
  </si>
  <si>
    <t>TRX0954</t>
  </si>
  <si>
    <t>TRX0127</t>
  </si>
  <si>
    <t>TRX0916</t>
  </si>
  <si>
    <t>TRX0307</t>
  </si>
  <si>
    <t>TRX0475</t>
  </si>
  <si>
    <t>TRX0971</t>
  </si>
  <si>
    <t>TRX0448</t>
  </si>
  <si>
    <t>TRX0802</t>
  </si>
  <si>
    <t>TRX0908</t>
  </si>
  <si>
    <t>TRX0912</t>
  </si>
  <si>
    <t>TRX0230</t>
  </si>
  <si>
    <t>TRX0101</t>
  </si>
  <si>
    <t>TRX0378</t>
  </si>
  <si>
    <t>TRX0909</t>
  </si>
  <si>
    <t>TRX0996</t>
  </si>
  <si>
    <t>TRX0883</t>
  </si>
  <si>
    <t>TRX0564</t>
  </si>
  <si>
    <t>TRX0551</t>
  </si>
  <si>
    <t>TRX0335</t>
  </si>
  <si>
    <t>TRX0200</t>
  </si>
  <si>
    <t>TRX0151</t>
  </si>
  <si>
    <t>TRX0292</t>
  </si>
  <si>
    <t>TRX0398</t>
  </si>
  <si>
    <t>TRX0400</t>
  </si>
  <si>
    <t>TRX0106</t>
  </si>
  <si>
    <t>TRX0285</t>
  </si>
  <si>
    <t>TRX0637</t>
  </si>
  <si>
    <t>TRX0084</t>
  </si>
  <si>
    <t>TRX0709</t>
  </si>
  <si>
    <t>TRX0357</t>
  </si>
  <si>
    <t>TRX0955</t>
  </si>
  <si>
    <t>TRX0572</t>
  </si>
  <si>
    <t>TRX0571</t>
  </si>
  <si>
    <t>TRX0058</t>
  </si>
  <si>
    <t>TRX0272</t>
  </si>
  <si>
    <t>TRX0820</t>
  </si>
  <si>
    <t>TRX0169</t>
  </si>
  <si>
    <t>TRX0798</t>
  </si>
  <si>
    <t>TRX0454</t>
  </si>
  <si>
    <t>TRX0891</t>
  </si>
  <si>
    <t>TRX0414</t>
  </si>
  <si>
    <t>TRX0217</t>
  </si>
  <si>
    <t>TRX0559</t>
  </si>
  <si>
    <t>TRX0527</t>
  </si>
  <si>
    <t>TRX0026</t>
  </si>
  <si>
    <t>TRX0902</t>
  </si>
  <si>
    <t>TRX0859</t>
  </si>
  <si>
    <t>TRX0651</t>
  </si>
  <si>
    <t>TRX0413</t>
  </si>
  <si>
    <t>TRX0599</t>
  </si>
  <si>
    <t>TRX0937</t>
  </si>
  <si>
    <t>TRX0341</t>
  </si>
  <si>
    <t>TRX0622</t>
  </si>
  <si>
    <t>TRX0828</t>
  </si>
  <si>
    <t>TRX0371</t>
  </si>
  <si>
    <t>TRX0478</t>
  </si>
  <si>
    <t>TRX0298</t>
  </si>
  <si>
    <t>TRX0218</t>
  </si>
  <si>
    <t>TRX0856</t>
  </si>
  <si>
    <t>TRX0388</t>
  </si>
  <si>
    <t>TRX0089</t>
  </si>
  <si>
    <t>TRX0212</t>
  </si>
  <si>
    <t>TRX0959</t>
  </si>
  <si>
    <t>TRX0697</t>
  </si>
  <si>
    <t>TRX0337</t>
  </si>
  <si>
    <t>TRX0231</t>
  </si>
  <si>
    <t>TRX0473</t>
  </si>
  <si>
    <t>TRX0793</t>
  </si>
  <si>
    <t>TRX0721</t>
  </si>
  <si>
    <t>TRX0075</t>
  </si>
  <si>
    <t>TRX0417</t>
  </si>
  <si>
    <t>TRX0040</t>
  </si>
  <si>
    <t>TRX0827</t>
  </si>
  <si>
    <t>TRX0660</t>
  </si>
  <si>
    <t>TRX0695</t>
  </si>
  <si>
    <t>TRX0980</t>
  </si>
  <si>
    <t>TRX0415</t>
  </si>
  <si>
    <t>TRX0766</t>
  </si>
  <si>
    <t>TRX0528</t>
  </si>
  <si>
    <t>TRX0069</t>
  </si>
  <si>
    <t>TRX0349</t>
  </si>
  <si>
    <t>TRX0644</t>
  </si>
  <si>
    <t>TRX0811</t>
  </si>
  <si>
    <t>TRX0311</t>
  </si>
  <si>
    <t>TRX0423</t>
  </si>
  <si>
    <t>TRX0656</t>
  </si>
  <si>
    <t>TRX0023</t>
  </si>
  <si>
    <t>TRX0588</t>
  </si>
  <si>
    <t>TRX0342</t>
  </si>
  <si>
    <t>TRX0522</t>
  </si>
  <si>
    <t>TRX0754</t>
  </si>
  <si>
    <t>TRX0198</t>
  </si>
  <si>
    <t>TRX0979</t>
  </si>
  <si>
    <t>TRX0474</t>
  </si>
  <si>
    <t>TRX0600</t>
  </si>
  <si>
    <t>TRX0466</t>
  </si>
  <si>
    <t>TRX0692</t>
  </si>
  <si>
    <t>TRX0897</t>
  </si>
  <si>
    <t>TRX0126</t>
  </si>
  <si>
    <t>TRX0204</t>
  </si>
  <si>
    <t>TRX0596</t>
  </si>
  <si>
    <t>TRX0541</t>
  </si>
  <si>
    <t>TRX0515</t>
  </si>
  <si>
    <t>TRX0467</t>
  </si>
  <si>
    <t>TRX0375</t>
  </si>
  <si>
    <t>TRX0262</t>
  </si>
  <si>
    <t>TRX0611</t>
  </si>
  <si>
    <t>TRX0348</t>
  </si>
  <si>
    <t>TRX0107</t>
  </si>
  <si>
    <t>TRX0459</t>
  </si>
  <si>
    <t>TRX0225</t>
  </si>
  <si>
    <t>TRX0017</t>
  </si>
  <si>
    <t>TRX0847</t>
  </si>
  <si>
    <t>TRX0819</t>
  </si>
  <si>
    <t>TRX0039</t>
  </si>
  <si>
    <t>TRX0462</t>
  </si>
  <si>
    <t>TRX0109</t>
  </si>
  <si>
    <t>TRX0608</t>
  </si>
  <si>
    <t>TRX0239</t>
  </si>
  <si>
    <t>TRX0431</t>
  </si>
  <si>
    <t>TRX0733</t>
  </si>
  <si>
    <t>TRX0833</t>
  </si>
  <si>
    <t>TRX0737</t>
  </si>
  <si>
    <t>TRX0010</t>
  </si>
  <si>
    <t>TRX0163</t>
  </si>
  <si>
    <t>TRX0985</t>
  </si>
  <si>
    <t>TRX0962</t>
  </si>
  <si>
    <t>TRX0313</t>
  </si>
  <si>
    <t>TRX0251</t>
  </si>
  <si>
    <t>TRX0520</t>
  </si>
  <si>
    <t>TRX0173</t>
  </si>
  <si>
    <t>TRX0767</t>
  </si>
  <si>
    <t>TRX0199</t>
  </si>
  <si>
    <t>TRX0643</t>
  </si>
  <si>
    <t>TRX0299</t>
  </si>
  <si>
    <t>TRX0634</t>
  </si>
  <si>
    <t>TRX0076</t>
  </si>
  <si>
    <t>TRX0281</t>
  </si>
  <si>
    <t>TRX0680</t>
  </si>
  <si>
    <t>TRX0054</t>
  </si>
  <si>
    <t>TRX0297</t>
  </si>
  <si>
    <t>TRX0097</t>
  </si>
  <si>
    <t>TRX0570</t>
  </si>
  <si>
    <t>TRX0476</t>
  </si>
  <si>
    <t>TRX0672</t>
  </si>
  <si>
    <t>TRX0073</t>
  </si>
  <si>
    <t>TRX0843</t>
  </si>
  <si>
    <t>TRX0078</t>
  </si>
  <si>
    <t>TRX0257</t>
  </si>
  <si>
    <t>TRX0943</t>
  </si>
  <si>
    <t>TRX0211</t>
  </si>
  <si>
    <t>TRX0917</t>
  </si>
  <si>
    <t>TRX0947</t>
  </si>
  <si>
    <t>TRX0118</t>
  </si>
  <si>
    <t>TRX0990</t>
  </si>
  <si>
    <t>TRX0818</t>
  </si>
  <si>
    <t>TRX0809</t>
  </si>
  <si>
    <t>TRX0224</t>
  </si>
  <si>
    <t>TRX0677</t>
  </si>
  <si>
    <t>TRX0768</t>
  </si>
  <si>
    <t>TRX0842</t>
  </si>
  <si>
    <t>TRX0782</t>
  </si>
  <si>
    <t>TRX0874</t>
  </si>
  <si>
    <t>TRX0781</t>
  </si>
  <si>
    <t>TRX0762</t>
  </si>
  <si>
    <t>TRX0875</t>
  </si>
  <si>
    <t>TRX0008</t>
  </si>
  <si>
    <t>TRX0715</t>
  </si>
  <si>
    <t>TRX0372</t>
  </si>
  <si>
    <t>TRX0261</t>
  </si>
  <si>
    <t>TRX0100</t>
  </si>
  <si>
    <t>TRX0853</t>
  </si>
  <si>
    <t>TRX0614</t>
  </si>
  <si>
    <t>TRX0526</t>
  </si>
  <si>
    <t>TRX0016</t>
  </si>
  <si>
    <t>TRX0944</t>
  </si>
  <si>
    <t>TRX0424</t>
  </si>
  <si>
    <t>TRX0157</t>
  </si>
  <si>
    <t>TRX0535</t>
  </si>
  <si>
    <t>TRX0519</t>
  </si>
  <si>
    <t>TRX0540</t>
  </si>
  <si>
    <t>TRX0889</t>
  </si>
  <si>
    <t>TRX0628</t>
  </si>
  <si>
    <t>TRX0893</t>
  </si>
  <si>
    <t>TRX0975</t>
  </si>
  <si>
    <t>TRX0154</t>
  </si>
  <si>
    <t>TRX0675</t>
  </si>
  <si>
    <t>TRX0447</t>
  </si>
  <si>
    <t>TRX0940</t>
  </si>
  <si>
    <t>TRX0753</t>
  </si>
  <si>
    <t>TRX0745</t>
  </si>
  <si>
    <t>TRX0673</t>
  </si>
  <si>
    <t>TRX0729</t>
  </si>
  <si>
    <t>TRX0763</t>
  </si>
  <si>
    <t>TRX0744</t>
  </si>
  <si>
    <t>TRX0138</t>
  </si>
  <si>
    <t>TRX0699</t>
  </si>
  <si>
    <t>TRX0115</t>
  </si>
  <si>
    <t>TRX0110</t>
  </si>
  <si>
    <t>TRX0836</t>
  </si>
  <si>
    <t>TRX0865</t>
  </si>
  <si>
    <t>TRX0235</t>
  </si>
  <si>
    <t>TRX0717</t>
  </si>
  <si>
    <t>TRX0370</t>
  </si>
  <si>
    <t>TRX0935</t>
  </si>
  <si>
    <t>TRX0977</t>
  </si>
  <si>
    <t>TRX0747</t>
  </si>
  <si>
    <t>TRX0435</t>
  </si>
  <si>
    <t>TRX0999</t>
  </si>
  <si>
    <t>TRX0553</t>
  </si>
  <si>
    <t>TRX0755</t>
  </si>
  <si>
    <t>TRX0544</t>
  </si>
  <si>
    <t>TRX0537</t>
  </si>
  <si>
    <t>TRX0238</t>
  </si>
  <si>
    <t>TRX0606</t>
  </si>
  <si>
    <t>TRX0046</t>
  </si>
  <si>
    <t>TRX0003</t>
  </si>
  <si>
    <t>TRX0362</t>
  </si>
  <si>
    <t>TRX0221</t>
  </si>
  <si>
    <t>TRX0929</t>
  </si>
  <si>
    <t>TRX0303</t>
  </si>
  <si>
    <t>TRX0156</t>
  </si>
  <si>
    <t>TRX0366</t>
  </si>
  <si>
    <t>TRX0590</t>
  </si>
  <si>
    <t>TRX0852</t>
  </si>
  <si>
    <t>TRX0183</t>
  </si>
  <si>
    <t>TRX0012</t>
  </si>
  <si>
    <t>TRX0880</t>
  </si>
  <si>
    <t>TRX0905</t>
  </si>
  <si>
    <t>TRX0442</t>
  </si>
  <si>
    <t>TRX0397</t>
  </si>
  <si>
    <t>TRX0510</t>
  </si>
  <si>
    <t>TRX0098</t>
  </si>
  <si>
    <t>TRX0973</t>
  </si>
  <si>
    <t>TRX0765</t>
  </si>
  <si>
    <t>TRX0688</t>
  </si>
  <si>
    <t>TRX0686</t>
  </si>
  <si>
    <t>TRX0170</t>
  </si>
  <si>
    <t>TRX0602</t>
  </si>
  <si>
    <t>TRX0145</t>
  </si>
  <si>
    <t>TRX0864</t>
  </si>
  <si>
    <t>TRX0226</t>
  </si>
  <si>
    <t>TRX0436</t>
  </si>
  <si>
    <t>TRX0933</t>
  </si>
  <si>
    <t>TRX0568</t>
  </si>
  <si>
    <t>TRX0925</t>
  </si>
  <si>
    <t>TRX0394</t>
  </si>
  <si>
    <t>TRX0632</t>
  </si>
  <si>
    <t>TRX0854</t>
  </si>
  <si>
    <t>TRX0070</t>
  </si>
  <si>
    <t>TRX0365</t>
  </si>
  <si>
    <t>TRX0624</t>
  </si>
  <si>
    <t>TRX0319</t>
  </si>
  <si>
    <t>TRX0665</t>
  </si>
  <si>
    <t>TRX0294</t>
  </si>
  <si>
    <t>TRX0402</t>
  </si>
  <si>
    <t>TRX0174</t>
  </si>
  <si>
    <t>TRX0886</t>
  </si>
  <si>
    <t>TRX0953</t>
  </si>
  <si>
    <t>TRX0439</t>
  </si>
  <si>
    <t>TRX0093</t>
  </si>
  <si>
    <t>TRX0429</t>
  </si>
  <si>
    <t>TRX0566</t>
  </si>
  <si>
    <t>TRX0470</t>
  </si>
  <si>
    <t>TRX0065</t>
  </si>
  <si>
    <t>TRX0756</t>
  </si>
  <si>
    <t>TRX0278</t>
  </si>
  <si>
    <t>TRX0676</t>
  </si>
  <si>
    <t>TRX0870</t>
  </si>
  <si>
    <t>TRX0772</t>
  </si>
  <si>
    <t>TRX0246</t>
  </si>
  <si>
    <t>TRX0967</t>
  </si>
  <si>
    <t>TRX0316</t>
  </si>
  <si>
    <t>TRX0485</t>
  </si>
  <si>
    <t>TRX0123</t>
  </si>
  <si>
    <t>TRX0623</t>
  </si>
  <si>
    <t>TRX0901</t>
  </si>
  <si>
    <t>TRX0396</t>
  </si>
  <si>
    <t>TRX0523</t>
  </si>
  <si>
    <t>TRX0460</t>
  </si>
  <si>
    <t>TRX0801</t>
  </si>
  <si>
    <t>TRX0972</t>
  </si>
  <si>
    <t>TRX0711</t>
  </si>
  <si>
    <t>TRX0056</t>
  </si>
  <si>
    <t>TRX0187</t>
  </si>
  <si>
    <t>TRX0125</t>
  </si>
  <si>
    <t>TRX0355</t>
  </si>
  <si>
    <t>TRX0654</t>
  </si>
  <si>
    <t>TRX0283</t>
  </si>
  <si>
    <t>TRX0323</t>
  </si>
  <si>
    <t>TRX0309</t>
  </si>
  <si>
    <t>TRX0855</t>
  </si>
  <si>
    <t>TRX0258</t>
  </si>
  <si>
    <t>TRX0304</t>
  </si>
  <si>
    <t>TRX0053</t>
  </si>
  <si>
    <t>TRX0336</t>
  </si>
  <si>
    <t>TRX0140</t>
  </si>
  <si>
    <t>TRX0552</t>
  </si>
  <si>
    <t>TRX0059</t>
  </si>
  <si>
    <t>TRX0524</t>
  </si>
  <si>
    <t>TRX0780</t>
  </si>
  <si>
    <t>TRX0421</t>
  </si>
  <si>
    <t>TRX0579</t>
  </si>
  <si>
    <t>TRX0028</t>
  </si>
  <si>
    <t>TRX0585</t>
  </si>
  <si>
    <t>TRX0486</t>
  </si>
  <si>
    <t>TRX0879</t>
  </si>
  <si>
    <t>TRX0877</t>
  </si>
  <si>
    <t>TRX0437</t>
  </si>
  <si>
    <t>TRX0132</t>
  </si>
  <si>
    <t>TRX0403</t>
  </si>
  <si>
    <t>TRX0718</t>
  </si>
  <si>
    <t>TRX0774</t>
  </si>
  <si>
    <t>TRX0817</t>
  </si>
  <si>
    <t>TRX0839</t>
  </si>
  <si>
    <t>TRX0277</t>
  </si>
  <si>
    <t>TRX0376</t>
  </si>
  <si>
    <t>TRX0427</t>
  </si>
  <si>
    <t>TRX0007</t>
  </si>
  <si>
    <t>TRX0253</t>
  </si>
  <si>
    <t>TRX0986</t>
  </si>
  <si>
    <t>TRX0269</t>
  </si>
  <si>
    <t>TRX0904</t>
  </si>
  <si>
    <t>TRX0749</t>
  </si>
  <si>
    <t>TRX0882</t>
  </si>
  <si>
    <t>TRX0279</t>
  </si>
  <si>
    <t>TRX0812</t>
  </si>
  <si>
    <t>TRX0036</t>
  </si>
  <si>
    <t>TRX0533</t>
  </si>
  <si>
    <t>TRX0361</t>
  </si>
  <si>
    <t>TRX0037</t>
  </si>
  <si>
    <t>TRX0787</t>
  </si>
  <si>
    <t>TRX0949</t>
  </si>
  <si>
    <t>TRX0668</t>
  </si>
  <si>
    <t>TRX0249</t>
  </si>
  <si>
    <t>TRX0945</t>
  </si>
  <si>
    <t>TRX0888</t>
  </si>
  <si>
    <t>TRX0220</t>
  </si>
  <si>
    <t>TRX0538</t>
  </si>
  <si>
    <t>TRX0713</t>
  </si>
  <si>
    <t>TRX0208</t>
  </si>
  <si>
    <t>TRX0938</t>
  </si>
  <si>
    <t>TRX0531</t>
  </si>
  <si>
    <t>TRX0892</t>
  </si>
  <si>
    <t>TRX0678</t>
  </si>
  <si>
    <t>TRX0491</t>
  </si>
  <si>
    <t>TRX0072</t>
  </si>
  <si>
    <t>TRX0517</t>
  </si>
  <si>
    <t>TRX0420</t>
  </si>
  <si>
    <t>TRX0708</t>
  </si>
  <si>
    <t>TRX0815</t>
  </si>
  <si>
    <t>TRX0233</t>
  </si>
  <si>
    <t>TRX0976</t>
  </si>
  <si>
    <t>TRX0674</t>
  </si>
  <si>
    <t>TRX0161</t>
  </si>
  <si>
    <t>TRX0310</t>
  </si>
  <si>
    <t>TRX0377</t>
  </si>
  <si>
    <t>TRX0506</t>
  </si>
  <si>
    <t>TRX0687</t>
  </si>
  <si>
    <t>TRX0202</t>
  </si>
  <si>
    <t>TRX0539</t>
  </si>
  <si>
    <t>TRX0804</t>
  </si>
  <si>
    <t>TRX0507</t>
  </si>
  <si>
    <t>TRX0464</t>
  </si>
  <si>
    <t>TRX0558</t>
  </si>
  <si>
    <t>TRX0385</t>
  </si>
  <si>
    <t>TRX0993</t>
  </si>
  <si>
    <t>TRX0080</t>
  </si>
  <si>
    <t>TRX0019</t>
  </si>
  <si>
    <t>TRX0216</t>
  </si>
  <si>
    <t>TRX0314</t>
  </si>
  <si>
    <t>TRX0393</t>
  </si>
  <si>
    <t>TRX0284</t>
  </si>
  <si>
    <t>TRX0501</t>
  </si>
  <si>
    <t>TRX0965</t>
  </si>
  <si>
    <t>TRX0496</t>
  </si>
  <si>
    <t>TRX0757</t>
  </si>
  <si>
    <t>TRX0063</t>
  </si>
  <si>
    <t>TRX0863</t>
  </si>
  <si>
    <t>TRX0480</t>
  </si>
  <si>
    <t>TRX0456</t>
  </si>
  <si>
    <t>TRX0873</t>
  </si>
  <si>
    <t>TRX0581</t>
  </si>
  <si>
    <t>TRX0700</t>
  </si>
  <si>
    <t>TRX0922</t>
  </si>
  <si>
    <t>TRX0997</t>
  </si>
  <si>
    <t>TRX0325</t>
  </si>
  <si>
    <t>TRX0064</t>
  </si>
  <si>
    <t>TRX0662</t>
  </si>
  <si>
    <t>TRX0433</t>
  </si>
  <si>
    <t>TRX0142</t>
  </si>
  <si>
    <t>TRX0005</t>
  </si>
  <si>
    <t>TRX0043</t>
  </si>
  <si>
    <t>TRX0646</t>
  </si>
  <si>
    <t>TRX0184</t>
  </si>
  <si>
    <t>TRX0619</t>
  </si>
  <si>
    <t>TRX0219</t>
  </si>
  <si>
    <t>TRX0903</t>
  </si>
  <si>
    <t>TRX0242</t>
  </si>
  <si>
    <t>TRX0392</t>
  </si>
  <si>
    <t>TRX0488</t>
  </si>
  <si>
    <t>TRX0970</t>
  </si>
  <si>
    <t>TRX0930</t>
  </si>
  <si>
    <t>TRX0091</t>
  </si>
  <si>
    <t>TRX0946</t>
  </si>
  <si>
    <t>TRX0129</t>
  </si>
  <si>
    <t>TRX0810</t>
  </si>
  <si>
    <t>TRX0543</t>
  </si>
  <si>
    <t>TRX0079</t>
  </si>
  <si>
    <t>TRX0326</t>
  </si>
  <si>
    <t>TRX0639</t>
  </si>
  <si>
    <t>TRX0197</t>
  </si>
  <si>
    <t>TRX0508</t>
  </si>
  <si>
    <t>TRX0122</t>
  </si>
  <si>
    <t>TRX0992</t>
  </si>
  <si>
    <t>TRX0347</t>
  </si>
  <si>
    <t>TRX0275</t>
  </si>
  <si>
    <t>TRX0364</t>
  </si>
  <si>
    <t>TRX0240</t>
  </si>
  <si>
    <t>TRX0099</t>
  </si>
  <si>
    <t>TRX0263</t>
  </si>
  <si>
    <t>TRX0367</t>
  </si>
  <si>
    <t>TRX0805</t>
  </si>
  <si>
    <t>TRX0994</t>
  </si>
  <si>
    <t>TRX0273</t>
  </si>
  <si>
    <t>TRX0914</t>
  </si>
  <si>
    <t>TRX0956</t>
  </si>
  <si>
    <t>TRX0452</t>
  </si>
  <si>
    <t>TRX0794</t>
  </si>
  <si>
    <t>TRX0683</t>
  </si>
  <si>
    <t>TRX0706</t>
  </si>
  <si>
    <t>TRX0055</t>
  </si>
  <si>
    <t>TRX0399</t>
  </si>
  <si>
    <t>TRX0635</t>
  </si>
  <si>
    <t>TRX0134</t>
  </si>
  <si>
    <t>TRX0318</t>
  </si>
  <si>
    <t>TRX0633</t>
  </si>
  <si>
    <t>TRX0401</t>
  </si>
  <si>
    <t>TRX0554</t>
  </si>
  <si>
    <t>TRX0042</t>
  </si>
  <si>
    <t>TRX0484</t>
  </si>
  <si>
    <t>TRX0732</t>
  </si>
  <si>
    <t>TRX0369</t>
  </si>
  <si>
    <t>TRX0086</t>
  </si>
  <si>
    <t>TRX0139</t>
  </si>
  <si>
    <t>TRX0428</t>
  </si>
  <si>
    <t>TRX0586</t>
  </si>
  <si>
    <t>TRX0761</t>
  </si>
  <si>
    <t>TRX0191</t>
  </si>
  <si>
    <t>TRX0082</t>
  </si>
  <si>
    <t>TRX0685</t>
  </si>
  <si>
    <t>TRX0236</t>
  </si>
  <si>
    <t>TRX0823</t>
  </si>
  <si>
    <t>TRX0358</t>
  </si>
  <si>
    <t>TRX0670</t>
  </si>
  <si>
    <t>TRX0487</t>
  </si>
  <si>
    <t>TRX0094</t>
  </si>
  <si>
    <t>TRX0350</t>
  </si>
  <si>
    <t>TRX0567</t>
  </si>
  <si>
    <t>TRX0228</t>
  </si>
  <si>
    <t>TRX0822</t>
  </si>
  <si>
    <t>TRX0589</t>
  </si>
  <si>
    <t>TRX0133</t>
  </si>
  <si>
    <t>TRX0296</t>
  </si>
  <si>
    <t>TRX0650</t>
  </si>
  <si>
    <t>TRX0425</t>
  </si>
  <si>
    <t>TRX0618</t>
  </si>
  <si>
    <t>TRX0784</t>
  </si>
  <si>
    <t>TRX0626</t>
  </si>
  <si>
    <t>TRX0906</t>
  </si>
  <si>
    <t>TRX0382</t>
  </si>
  <si>
    <t>TRX0419</t>
  </si>
  <si>
    <t>TRX0722</t>
  </si>
  <si>
    <t>TRX0584</t>
  </si>
  <si>
    <t>TRX0898</t>
  </si>
  <si>
    <t>TRX0648</t>
  </si>
  <si>
    <t>TRX0131</t>
  </si>
  <si>
    <t>TRX0449</t>
  </si>
  <si>
    <t>TRX0545</t>
  </si>
  <si>
    <t>TRX0693</t>
  </si>
  <si>
    <t>TRX0247</t>
  </si>
  <si>
    <t>TRX0556</t>
  </si>
  <si>
    <t>TRX0592</t>
  </si>
  <si>
    <t>TRX0458</t>
  </si>
  <si>
    <t>TRX0083</t>
  </si>
  <si>
    <t>TRX0760</t>
  </si>
  <si>
    <t>TRX0288</t>
  </si>
  <si>
    <t>TRX0696</t>
  </si>
  <si>
    <t>TRX0814</t>
  </si>
  <si>
    <t>TRX0730</t>
  </si>
  <si>
    <t>TRX0748</t>
  </si>
  <si>
    <t>TRX0848</t>
  </si>
  <si>
    <t>TRX0513</t>
  </si>
  <si>
    <t>TRX0222</t>
  </si>
  <si>
    <t>TRX0002</t>
  </si>
  <si>
    <t>TRX0667</t>
  </si>
  <si>
    <t>TRX0803</t>
  </si>
  <si>
    <t>TRX0256</t>
  </si>
  <si>
    <t>TRX0407</t>
  </si>
  <si>
    <t>TRX0457</t>
  </si>
  <si>
    <t>TRX0725</t>
  </si>
  <si>
    <t>TRX0195</t>
  </si>
  <si>
    <t>TRX0934</t>
  </si>
  <si>
    <t>TRX0071</t>
  </si>
  <si>
    <t>TRX0547</t>
  </si>
  <si>
    <t>TRX0317</t>
  </si>
  <si>
    <t>TRX0327</t>
  </si>
  <si>
    <t>TRX0493</t>
  </si>
  <si>
    <t>TRX0113</t>
  </si>
  <si>
    <t>TRX0430</t>
  </si>
  <si>
    <t>TRX0885</t>
  </si>
  <si>
    <t>TRX0330</t>
  </si>
  <si>
    <t>TRX0114</t>
  </si>
  <si>
    <t>TRX0155</t>
  </si>
  <si>
    <t>TRX0014</t>
  </si>
  <si>
    <t>TRX0165</t>
  </si>
  <si>
    <t>TRX0764</t>
  </si>
  <si>
    <t>TRX0605</t>
  </si>
  <si>
    <t>TRX0775</t>
  </si>
  <si>
    <t>TRX0707</t>
  </si>
  <si>
    <t>TRX0150</t>
  </si>
  <si>
    <t>TRX0896</t>
  </si>
  <si>
    <t>TRX0789</t>
  </si>
  <si>
    <t>TRX0252</t>
  </si>
  <si>
    <t>TRX0529</t>
  </si>
  <si>
    <t>TRX0800</t>
  </si>
  <si>
    <t>TRX0981</t>
  </si>
  <si>
    <t>TRX0653</t>
  </si>
  <si>
    <t>TRX0052</t>
  </si>
  <si>
    <t>TRX0203</t>
  </si>
  <si>
    <t>TRX0752</t>
  </si>
  <si>
    <t>TRX0682</t>
  </si>
  <si>
    <t>TRX0034</t>
  </si>
  <si>
    <t>TRX0759</t>
  </si>
  <si>
    <t>TRX0344</t>
  </si>
  <si>
    <t>TRX0952</t>
  </si>
  <si>
    <t>TRX0461</t>
  </si>
  <si>
    <t>TRX0666</t>
  </si>
  <si>
    <t>TRX0301</t>
  </si>
  <si>
    <t>TRX0743</t>
  </si>
  <si>
    <t>TRX0821</t>
  </si>
  <si>
    <t>TRX0777</t>
  </si>
  <si>
    <t>TRX0196</t>
  </si>
  <si>
    <t>TRX0899</t>
  </si>
  <si>
    <t>TRX0268</t>
  </si>
  <si>
    <t>TRX0869</t>
  </si>
  <si>
    <t>TRX0582</t>
  </si>
  <si>
    <t>TRX0984</t>
  </si>
  <si>
    <t>TRX0181</t>
  </si>
  <si>
    <t>TRX0267</t>
  </si>
  <si>
    <t>TRX0750</t>
  </si>
  <si>
    <t>TRX0705</t>
  </si>
  <si>
    <t>TRX0260</t>
  </si>
  <si>
    <t>TRX0689</t>
  </si>
  <si>
    <t>TRX0102</t>
  </si>
  <si>
    <t>TRX0234</t>
  </si>
  <si>
    <t>TRX0983</t>
  </si>
  <si>
    <t>TRX0077</t>
  </si>
  <si>
    <t>TRX0481</t>
  </si>
  <si>
    <t>TRX0009</t>
  </si>
  <si>
    <t>TRX0223</t>
  </si>
  <si>
    <t>TRX0308</t>
  </si>
  <si>
    <t>TRX0162</t>
  </si>
  <si>
    <t>TRX0669</t>
  </si>
  <si>
    <t>TRX0878</t>
  </si>
  <si>
    <t>TRX0250</t>
  </si>
  <si>
    <t>TRX0746</t>
  </si>
  <si>
    <t>TRX0858</t>
  </si>
  <si>
    <t>TRX0861</t>
  </si>
  <si>
    <t>TRX0795</t>
  </si>
  <si>
    <t>TRX0783</t>
  </si>
  <si>
    <t>TRX0271</t>
  </si>
  <si>
    <t>TRX0166</t>
  </si>
  <si>
    <t>TRX0881</t>
  </si>
  <si>
    <t>TRX0664</t>
  </si>
  <si>
    <t>TRX0807</t>
  </si>
  <si>
    <t>TRX0860</t>
  </si>
  <si>
    <t>TRX0631</t>
  </si>
  <si>
    <t>TRX0525</t>
  </si>
  <si>
    <t>TRX0013</t>
  </si>
  <si>
    <t>TRX0684</t>
  </si>
  <si>
    <t>TRX0610</t>
  </si>
  <si>
    <t>TRX0035</t>
  </si>
  <si>
    <t>TRX0274</t>
  </si>
  <si>
    <t>TRX0117</t>
  </si>
  <si>
    <t>TRX0841</t>
  </si>
  <si>
    <t>TRX0033</t>
  </si>
  <si>
    <t>TRX0928</t>
  </si>
  <si>
    <t>TRX0638</t>
  </si>
  <si>
    <t>TRX0356</t>
  </si>
  <si>
    <t>TRX0190</t>
  </si>
  <si>
    <t>TRX0577</t>
  </si>
  <si>
    <t>TRX0338</t>
  </si>
  <si>
    <t>TRX0824</t>
  </si>
  <si>
    <t>TRX0175</t>
  </si>
  <si>
    <t>TRX0786</t>
  </si>
  <si>
    <t>TRX0389</t>
  </si>
  <si>
    <t>TRX0193</t>
  </si>
  <si>
    <t>TRX0615</t>
  </si>
  <si>
    <t>TRX0120</t>
  </si>
  <si>
    <t>TRX0907</t>
  </si>
  <si>
    <t>TRX0001</t>
  </si>
  <si>
    <t>TRX0060</t>
  </si>
  <si>
    <t>TRX0004</t>
  </si>
  <si>
    <t>TRX0188</t>
  </si>
  <si>
    <t>TRX0742</t>
  </si>
  <si>
    <t>TRX0964</t>
  </si>
  <si>
    <t>TRX0961</t>
  </si>
  <si>
    <t>TRX0587</t>
  </si>
  <si>
    <t>TRX0490</t>
  </si>
  <si>
    <t>TRX0716</t>
  </si>
  <si>
    <t>TRX0703</t>
  </si>
  <si>
    <t>TRX0799</t>
  </si>
  <si>
    <t>TRX0445</t>
  </si>
  <si>
    <t>TRX0832</t>
  </si>
  <si>
    <t>TRX0363</t>
  </si>
  <si>
    <t>TRX0738</t>
  </si>
  <si>
    <t>TRX0018</t>
  </si>
  <si>
    <t>TRX0352</t>
  </si>
  <si>
    <t>TRX0387</t>
  </si>
  <si>
    <t>TRX0728</t>
  </si>
  <si>
    <t>TRX0141</t>
  </si>
  <si>
    <t>TRX0172</t>
  </si>
  <si>
    <t>TRX0207</t>
  </si>
  <si>
    <t>TRX0432</t>
  </si>
  <si>
    <t>TRX0368</t>
  </si>
  <si>
    <t>TRX0179</t>
  </si>
  <si>
    <t>TRX0343</t>
  </si>
  <si>
    <t>TRX0232</t>
  </si>
  <si>
    <t>TRX0418</t>
  </si>
  <si>
    <t>TRX0025</t>
  </si>
  <si>
    <t>TRX0178</t>
  </si>
  <si>
    <t>TRX0081</t>
  </si>
  <si>
    <t>TRX0845</t>
  </si>
  <si>
    <t>TRX0391</t>
  </si>
  <si>
    <t>TRX0887</t>
  </si>
  <si>
    <t>TRX0919</t>
  </si>
  <si>
    <t>TRX0679</t>
  </si>
  <si>
    <t>TRX0119</t>
  </si>
  <si>
    <t>TRX0563</t>
  </si>
  <si>
    <t>TRX0291</t>
  </si>
  <si>
    <t>TRX0910</t>
  </si>
  <si>
    <t>TRX0690</t>
  </si>
  <si>
    <t>TRX0290</t>
  </si>
  <si>
    <t>TRX0243</t>
  </si>
  <si>
    <t>TRX0791</t>
  </si>
  <si>
    <t>TRX0148</t>
  </si>
  <si>
    <t>TRX0625</t>
  </si>
  <si>
    <t>TRX0895</t>
  </si>
  <si>
    <t>TRX0920</t>
  </si>
  <si>
    <t>TRX0573</t>
  </si>
  <si>
    <t>TRX0438</t>
  </si>
  <si>
    <t>TRX0808</t>
  </si>
  <si>
    <t>TRX0067</t>
  </si>
  <si>
    <t>TRX0942</t>
  </si>
  <si>
    <t>TRX0177</t>
  </si>
  <si>
    <t>TRX0575</t>
  </si>
  <si>
    <t>TRX0409</t>
  </si>
  <si>
    <t>TRX0032</t>
  </si>
  <si>
    <t>TRX1000</t>
  </si>
  <si>
    <t>TRX0734</t>
  </si>
  <si>
    <t>TRX0516</t>
  </si>
  <si>
    <t>TRX0245</t>
  </si>
  <si>
    <t>TRX0443</t>
  </si>
  <si>
    <t>TRX0282</t>
  </si>
  <si>
    <t>TRX0416</t>
  </si>
  <si>
    <t>TRX0494</t>
  </si>
  <si>
    <t>TRX0960</t>
  </si>
  <si>
    <t>TRX0050</t>
  </si>
  <si>
    <t>TRX0130</t>
  </si>
  <si>
    <t>TRX0159</t>
  </si>
  <si>
    <t>TRX0583</t>
  </si>
  <si>
    <t>TRX0862</t>
  </si>
  <si>
    <t>TRX0408</t>
  </si>
  <si>
    <t>TRX0504</t>
  </si>
  <si>
    <t>TRX0837</t>
  </si>
  <si>
    <t>TRX0136</t>
  </si>
  <si>
    <t>TRX0116</t>
  </si>
  <si>
    <t>TRX0062</t>
  </si>
  <si>
    <t>TRX0286</t>
  </si>
  <si>
    <t>TRX0479</t>
  </si>
  <si>
    <t>TRX0926</t>
  </si>
  <si>
    <t>TRX0244</t>
  </si>
  <si>
    <t>TRX0735</t>
  </si>
  <si>
    <t>TRX0785</t>
  </si>
  <si>
    <t>TRX0248</t>
  </si>
  <si>
    <t>TRX0158</t>
  </si>
  <si>
    <t>TRX0671</t>
  </si>
  <si>
    <t>TRX0612</t>
  </si>
  <si>
    <t>TRX0333</t>
  </si>
  <si>
    <t>TRX0295</t>
  </si>
  <si>
    <t>TRX0569</t>
  </si>
  <si>
    <t>TRX0829</t>
  </si>
  <si>
    <t>TRX0210</t>
  </si>
  <si>
    <t>TRX0149</t>
  </si>
  <si>
    <t>TRX0446</t>
  </si>
  <si>
    <t>TRX0627</t>
  </si>
  <si>
    <t>TRX0305</t>
  </si>
  <si>
    <t>TRX0104</t>
  </si>
  <si>
    <t>TRX0932</t>
  </si>
  <si>
    <t>TRX0201</t>
  </si>
  <si>
    <t>TRX0451</t>
  </si>
  <si>
    <t>TRX0534</t>
  </si>
  <si>
    <t>TRX0047</t>
  </si>
  <si>
    <t>TRX0463</t>
  </si>
  <si>
    <t>TRX0489</t>
  </si>
  <si>
    <t>TRX0913</t>
  </si>
  <si>
    <t>TRX0681</t>
  </si>
  <si>
    <t>TRX0850</t>
  </si>
  <si>
    <t>TRX0641</t>
  </si>
  <si>
    <t>TRX0381</t>
  </si>
  <si>
    <t>TRX0495</t>
  </si>
  <si>
    <t>TRX0710</t>
  </si>
  <si>
    <t>TRX0505</t>
  </si>
  <si>
    <t>TRX0315</t>
  </si>
  <si>
    <t>TRX0613</t>
  </si>
  <si>
    <t>TRX0049</t>
  </si>
  <si>
    <t>TRX0939</t>
  </si>
  <si>
    <t>TRX0720</t>
  </si>
  <si>
    <t>TRX0455</t>
  </si>
  <si>
    <t>TRX0769</t>
  </si>
  <si>
    <t>TRX0617</t>
  </si>
  <si>
    <t>TRX0876</t>
  </si>
  <si>
    <t>TRX0265</t>
  </si>
  <si>
    <t>TRX0146</t>
  </si>
  <si>
    <t>TRX0302</t>
  </si>
  <si>
    <t>TRX0280</t>
  </si>
  <si>
    <t>TRX0594</t>
  </si>
  <si>
    <t>Anisa Wirawan</t>
  </si>
  <si>
    <t>Yusuf Kusuma</t>
  </si>
  <si>
    <t>Nanda Nugraha</t>
  </si>
  <si>
    <t>Nur Kusuma</t>
  </si>
  <si>
    <t>Hana Salsabila</t>
  </si>
  <si>
    <t>Indah Rahman</t>
  </si>
  <si>
    <t>Reza Saputra</t>
  </si>
  <si>
    <t>Jasmine Halim</t>
  </si>
  <si>
    <t>Agus Lestari</t>
  </si>
  <si>
    <t>Fitri Permata</t>
  </si>
  <si>
    <t>Gita Santoso</t>
  </si>
  <si>
    <t>Zaki Anggraini</t>
  </si>
  <si>
    <t>Wulan Saputra</t>
  </si>
  <si>
    <t>Farah Maharani</t>
  </si>
  <si>
    <t>Gunawan Salsabila</t>
  </si>
  <si>
    <t>Nur Yulianto</t>
  </si>
  <si>
    <t>Oscar Hidayat</t>
  </si>
  <si>
    <t>Anisa Salsabila</t>
  </si>
  <si>
    <t>Rizky Ramadhan</t>
  </si>
  <si>
    <t>Umar Kurniawan</t>
  </si>
  <si>
    <t>Tono Maharani</t>
  </si>
  <si>
    <t>Reza Iskandar</t>
  </si>
  <si>
    <t>Qonaah Kurniawan</t>
  </si>
  <si>
    <t>Ulfa Anggraini</t>
  </si>
  <si>
    <t>Sinta Iskandar</t>
  </si>
  <si>
    <t>Citra Permata</t>
  </si>
  <si>
    <t>Qonaah Utami</t>
  </si>
  <si>
    <t>Sari Halim</t>
  </si>
  <si>
    <t>Zainal Handoko</t>
  </si>
  <si>
    <t>Hadi Iskandar</t>
  </si>
  <si>
    <t>Putri Anggraini</t>
  </si>
  <si>
    <t>Salsa Maharani</t>
  </si>
  <si>
    <t>Lutfi Halim</t>
  </si>
  <si>
    <t>Ahmad Maharani</t>
  </si>
  <si>
    <t>Zaki Suryadi</t>
  </si>
  <si>
    <t>Dian Puspita</t>
  </si>
  <si>
    <t>Budi Susanto</t>
  </si>
  <si>
    <t>Tono Amelia</t>
  </si>
  <si>
    <t>Miko Kusuma</t>
  </si>
  <si>
    <t>Widya Puspita</t>
  </si>
  <si>
    <t>Qori Pratama</t>
  </si>
  <si>
    <t>Fitri Anggraini</t>
  </si>
  <si>
    <t>Maya Firmansyah</t>
  </si>
  <si>
    <t>Fitri Kusuma</t>
  </si>
  <si>
    <t>Bella Wijaya</t>
  </si>
  <si>
    <t>Qori Wijaya</t>
  </si>
  <si>
    <t>Erna Maharani</t>
  </si>
  <si>
    <t>Ulfa Ramadhan</t>
  </si>
  <si>
    <t>Teguh Salsabila</t>
  </si>
  <si>
    <t>Yoga Amelia</t>
  </si>
  <si>
    <t>Panji Wardani</t>
  </si>
  <si>
    <t>Teguh Wardani</t>
  </si>
  <si>
    <t>Maya Kurniawan</t>
  </si>
  <si>
    <t>Dewi Pratama</t>
  </si>
  <si>
    <t>Indah Wijaya</t>
  </si>
  <si>
    <t>Bella Pratama</t>
  </si>
  <si>
    <t>Sari Iskandar</t>
  </si>
  <si>
    <t>Umar Handoko</t>
  </si>
  <si>
    <t>Laila Wardani</t>
  </si>
  <si>
    <t>Salsa Pratama</t>
  </si>
  <si>
    <t>Hana Permata</t>
  </si>
  <si>
    <t>Yudha Wijaya</t>
  </si>
  <si>
    <t>Candra Iskandar</t>
  </si>
  <si>
    <t>Xena Halim</t>
  </si>
  <si>
    <t>Panji Kurniawan</t>
  </si>
  <si>
    <t>Candra Wijaya</t>
  </si>
  <si>
    <t>Lutfi Setiawan</t>
  </si>
  <si>
    <t>Fajar Puspita</t>
  </si>
  <si>
    <t>Oscar Suryadi</t>
  </si>
  <si>
    <t>Joko Santoso</t>
  </si>
  <si>
    <t>Umar Santoso</t>
  </si>
  <si>
    <t>Candra Yulianto</t>
  </si>
  <si>
    <t>Zaki Santoso</t>
  </si>
  <si>
    <t>Gita Kusuma</t>
  </si>
  <si>
    <t>Taufik Kusuma</t>
  </si>
  <si>
    <t>Putri Salsabila</t>
  </si>
  <si>
    <t>Oki Lestari</t>
  </si>
  <si>
    <t>Erna Kusuma</t>
  </si>
  <si>
    <t>Utari Handoko</t>
  </si>
  <si>
    <t>Qonaah Firmansyah</t>
  </si>
  <si>
    <t>Dian Permata</t>
  </si>
  <si>
    <t>Ahmad Rahman</t>
  </si>
  <si>
    <t>Galih Permata</t>
  </si>
  <si>
    <t>Dian Pratama</t>
  </si>
  <si>
    <t>Zainal Hidayat</t>
  </si>
  <si>
    <t>Wahyu Saputra</t>
  </si>
  <si>
    <t>Miko Rahman</t>
  </si>
  <si>
    <t>Vera Santoso</t>
  </si>
  <si>
    <t>Ratna Wardani</t>
  </si>
  <si>
    <t>Puti Saputra</t>
  </si>
  <si>
    <t>Novi Saputra</t>
  </si>
  <si>
    <t>Ilham Firmansyah</t>
  </si>
  <si>
    <t>Puti Iskandar</t>
  </si>
  <si>
    <t>Zahra Lestari</t>
  </si>
  <si>
    <t>Xena Iskandar</t>
  </si>
  <si>
    <t>Joko Maharani</t>
  </si>
  <si>
    <t>Kartika Nugraha</t>
  </si>
  <si>
    <t>Nanda Amelia</t>
  </si>
  <si>
    <t>Laila Ramadhan</t>
  </si>
  <si>
    <t>Hana Kurniawan</t>
  </si>
  <si>
    <t>Taufik Salsabila</t>
  </si>
  <si>
    <t>Wahyu Wardani</t>
  </si>
  <si>
    <t>Yudha Ramadhan</t>
  </si>
  <si>
    <t>Jasmine Permata</t>
  </si>
  <si>
    <t>Salsa Santoso</t>
  </si>
  <si>
    <t>Utari Utami</t>
  </si>
  <si>
    <t>Qonita Kusuma</t>
  </si>
  <si>
    <t>Hadi Kurniawan</t>
  </si>
  <si>
    <t>Tono Wirawan</t>
  </si>
  <si>
    <t>Ahmad Lestari</t>
  </si>
  <si>
    <t>Hadi Ramadhan</t>
  </si>
  <si>
    <t>Cahyo Ramadhan</t>
  </si>
  <si>
    <t>Sinta Susanto</t>
  </si>
  <si>
    <t>Novi Iskandar</t>
  </si>
  <si>
    <t>Citra Prasetyo</t>
  </si>
  <si>
    <t>Anisa Wijaya</t>
  </si>
  <si>
    <t>Kevin Saputra</t>
  </si>
  <si>
    <t>Widya Utami</t>
  </si>
  <si>
    <t>Yusuf Ramadhan</t>
  </si>
  <si>
    <t>Gunawan Utami</t>
  </si>
  <si>
    <t>Rizky Utami</t>
  </si>
  <si>
    <t>Reza Wirawan</t>
  </si>
  <si>
    <t>Cahyo Salsabila</t>
  </si>
  <si>
    <t>Hadi Hidayat</t>
  </si>
  <si>
    <t>Gita Suryadi</t>
  </si>
  <si>
    <t>Utari Rahman</t>
  </si>
  <si>
    <t>Ulfa Prasetyo</t>
  </si>
  <si>
    <t>Hana Lestari</t>
  </si>
  <si>
    <t>Cahyo Saputra</t>
  </si>
  <si>
    <t>Galih Firmansyah</t>
  </si>
  <si>
    <t>Novi Hidayat</t>
  </si>
  <si>
    <t>Vina Suryadi</t>
  </si>
  <si>
    <t>Vino Iskandar</t>
  </si>
  <si>
    <t>Vina Maharani</t>
  </si>
  <si>
    <t>Ilham Susanto</t>
  </si>
  <si>
    <t>Ulfa Lestari</t>
  </si>
  <si>
    <t>Qonaah Lestari</t>
  </si>
  <si>
    <t>Lutfi Wardani</t>
  </si>
  <si>
    <t>Sari Santoso</t>
  </si>
  <si>
    <t>Rizky Wardani</t>
  </si>
  <si>
    <t>Zaki Yulianto</t>
  </si>
  <si>
    <t>Yusuf Firmansyah</t>
  </si>
  <si>
    <t>Kurnia Yulianto</t>
  </si>
  <si>
    <t>Fitri Susanto</t>
  </si>
  <si>
    <t>Ulfa Rahman</t>
  </si>
  <si>
    <t>Ahmad Saputra</t>
  </si>
  <si>
    <t>Candra Salsabila</t>
  </si>
  <si>
    <t>Utari Lestari</t>
  </si>
  <si>
    <t>Ratna Santoso</t>
  </si>
  <si>
    <t>Indah Suryadi</t>
  </si>
  <si>
    <t>Jasmine Puspita</t>
  </si>
  <si>
    <t>Cahyo Firmansyah</t>
  </si>
  <si>
    <t>Dewi Kusuma</t>
  </si>
  <si>
    <t>Taufik Handoko</t>
  </si>
  <si>
    <t>Jihan Amelia</t>
  </si>
  <si>
    <t>Putri Santoso</t>
  </si>
  <si>
    <t>Yudha Rahman</t>
  </si>
  <si>
    <t>Dewi Maharani</t>
  </si>
  <si>
    <t>Reza Permata</t>
  </si>
  <si>
    <t>Sinta Firmansyah</t>
  </si>
  <si>
    <t>Kurnia Iskandar</t>
  </si>
  <si>
    <t>Erna Ramadhan</t>
  </si>
  <si>
    <t>Hadi Permata</t>
  </si>
  <si>
    <t>Vina Iskandar</t>
  </si>
  <si>
    <t>Jihan Lestari</t>
  </si>
  <si>
    <t>Ratna Saputra</t>
  </si>
  <si>
    <t>Agus Iskandar</t>
  </si>
  <si>
    <t>Sinta Pratama</t>
  </si>
  <si>
    <t>Agus Suryadi</t>
  </si>
  <si>
    <t>Kartika Ramadhan</t>
  </si>
  <si>
    <t>Xena Santoso</t>
  </si>
  <si>
    <t>Taufik Rahman</t>
  </si>
  <si>
    <t>Zaki Prasetyo</t>
  </si>
  <si>
    <t>Maya Salsabila</t>
  </si>
  <si>
    <t>Vera Hidayat</t>
  </si>
  <si>
    <t>Jihan Wijaya</t>
  </si>
  <si>
    <t>Yudha Suryadi</t>
  </si>
  <si>
    <t>Wulan Nugraha</t>
  </si>
  <si>
    <t>Zaki Wijaya</t>
  </si>
  <si>
    <t>Ulfa Wijaya</t>
  </si>
  <si>
    <t>Panji Lestari</t>
  </si>
  <si>
    <t>Ovi Wardani</t>
  </si>
  <si>
    <t>Laila Suryadi</t>
  </si>
  <si>
    <t>Sari Lestari</t>
  </si>
  <si>
    <t>Ovi Iskandar</t>
  </si>
  <si>
    <t>Yusuf Susanto</t>
  </si>
  <si>
    <t>Nanda Kurniawan</t>
  </si>
  <si>
    <t>Hana Utami</t>
  </si>
  <si>
    <t>Widya Rahman</t>
  </si>
  <si>
    <t>Sinta Saputra</t>
  </si>
  <si>
    <t>Lina Kurniawan</t>
  </si>
  <si>
    <t>Kurnia Lestari</t>
  </si>
  <si>
    <t>Kartika Wirawan</t>
  </si>
  <si>
    <t>Sinta Suryadi</t>
  </si>
  <si>
    <t>Qori Halim</t>
  </si>
  <si>
    <t>Elang Prasetyo</t>
  </si>
  <si>
    <t>Teguh Setiawan</t>
  </si>
  <si>
    <t>Hesti Puspita</t>
  </si>
  <si>
    <t>Hesti Kusuma</t>
  </si>
  <si>
    <t>Kedai Kopi Dago</t>
  </si>
  <si>
    <t>Kedai Kopi Senayan</t>
  </si>
  <si>
    <t>Kedai Kopi Tunjungan</t>
  </si>
  <si>
    <t>Kedai Kopi Merdeka</t>
  </si>
  <si>
    <t>Kedai Kopi Losari</t>
  </si>
  <si>
    <t>Bandung</t>
  </si>
  <si>
    <t>Jakarta</t>
  </si>
  <si>
    <t>Surabaya</t>
  </si>
  <si>
    <t>Medan</t>
  </si>
  <si>
    <t>Makassar</t>
  </si>
  <si>
    <t>Cappuccino</t>
  </si>
  <si>
    <t>Red Velvet Cake</t>
  </si>
  <si>
    <t>Kopi Susu Gula Aren</t>
  </si>
  <si>
    <t>Matcha Latte</t>
  </si>
  <si>
    <t>Croissant</t>
  </si>
  <si>
    <t>Sandwich Ayam</t>
  </si>
  <si>
    <t>Chocolate Latte</t>
  </si>
  <si>
    <t>Americano</t>
  </si>
  <si>
    <t>Kentang Goreng</t>
  </si>
  <si>
    <t>Espresso</t>
  </si>
  <si>
    <t>Kopi</t>
  </si>
  <si>
    <t>Makanan</t>
  </si>
  <si>
    <t>Non-Kopi</t>
  </si>
  <si>
    <t>QRIS</t>
  </si>
  <si>
    <t>Cash</t>
  </si>
  <si>
    <t>Kartu Kredit</t>
  </si>
  <si>
    <t>Transfer</t>
  </si>
  <si>
    <t>id_cust</t>
  </si>
  <si>
    <t>CNA0101</t>
  </si>
  <si>
    <t>CNA0102</t>
  </si>
  <si>
    <t>CNA0103</t>
  </si>
  <si>
    <t>CNA0104</t>
  </si>
  <si>
    <t>CNA0105</t>
  </si>
  <si>
    <t>CNA0106</t>
  </si>
  <si>
    <t>CNA0107</t>
  </si>
  <si>
    <t>CNA0108</t>
  </si>
  <si>
    <t>CNA0109</t>
  </si>
  <si>
    <t>CNA0110</t>
  </si>
  <si>
    <t>CNA0111</t>
  </si>
  <si>
    <t>CNA0112</t>
  </si>
  <si>
    <t>CNA0113</t>
  </si>
  <si>
    <t>CNA0114</t>
  </si>
  <si>
    <t>CNA0115</t>
  </si>
  <si>
    <t>CNA0116</t>
  </si>
  <si>
    <t>CNA0117</t>
  </si>
  <si>
    <t>CNA0118</t>
  </si>
  <si>
    <t>CNA0119</t>
  </si>
  <si>
    <t>CNA0120</t>
  </si>
  <si>
    <t>CNA0121</t>
  </si>
  <si>
    <t>CNA0122</t>
  </si>
  <si>
    <t>CNA0123</t>
  </si>
  <si>
    <t>CNA0124</t>
  </si>
  <si>
    <t>CNA0126</t>
  </si>
  <si>
    <t>CNA0127</t>
  </si>
  <si>
    <t>CNA0128</t>
  </si>
  <si>
    <t>CNA0129</t>
  </si>
  <si>
    <t>CNA0130</t>
  </si>
  <si>
    <t>CNA0131</t>
  </si>
  <si>
    <t>CNA0132</t>
  </si>
  <si>
    <t>CNA0133</t>
  </si>
  <si>
    <t>CNA0134</t>
  </si>
  <si>
    <t>CNA0136</t>
  </si>
  <si>
    <t>CNA0137</t>
  </si>
  <si>
    <t>CNA0138</t>
  </si>
  <si>
    <t>CNA0139</t>
  </si>
  <si>
    <t>CNA0140</t>
  </si>
  <si>
    <t>CNA0143</t>
  </si>
  <si>
    <t>CNA0144</t>
  </si>
  <si>
    <t>CNA0145</t>
  </si>
  <si>
    <t>CNA0146</t>
  </si>
  <si>
    <t>CNA0147</t>
  </si>
  <si>
    <t>CNA0148</t>
  </si>
  <si>
    <t>CNA0149</t>
  </si>
  <si>
    <t>CNA0150</t>
  </si>
  <si>
    <t>CNA0151</t>
  </si>
  <si>
    <t>CNA0152</t>
  </si>
  <si>
    <t>CNA0153</t>
  </si>
  <si>
    <t>CNA0154</t>
  </si>
  <si>
    <t>CNA0155</t>
  </si>
  <si>
    <t>CNA0157</t>
  </si>
  <si>
    <t>CNA0158</t>
  </si>
  <si>
    <t>CNA0159</t>
  </si>
  <si>
    <t>CNA0162</t>
  </si>
  <si>
    <t>CNA0164</t>
  </si>
  <si>
    <t>CNA0165</t>
  </si>
  <si>
    <t>CNA0166</t>
  </si>
  <si>
    <t>CNA0167</t>
  </si>
  <si>
    <t>CNA0168</t>
  </si>
  <si>
    <t>CNA0169</t>
  </si>
  <si>
    <t>CNA0170</t>
  </si>
  <si>
    <t>CNA0171</t>
  </si>
  <si>
    <t>CNA0172</t>
  </si>
  <si>
    <t>CNA0173</t>
  </si>
  <si>
    <t>CNA0174</t>
  </si>
  <si>
    <t>CNA0175</t>
  </si>
  <si>
    <t>CNA0176</t>
  </si>
  <si>
    <t>CNA0177</t>
  </si>
  <si>
    <t>CNA0180</t>
  </si>
  <si>
    <t>CNA0181</t>
  </si>
  <si>
    <t>CNA0183</t>
  </si>
  <si>
    <t>CNA0184</t>
  </si>
  <si>
    <t>CNA0185</t>
  </si>
  <si>
    <t>CNA0186</t>
  </si>
  <si>
    <t>CNA0187</t>
  </si>
  <si>
    <t>CNA0188</t>
  </si>
  <si>
    <t>CNA0191</t>
  </si>
  <si>
    <t>CNA0192</t>
  </si>
  <si>
    <t>CNA0195</t>
  </si>
  <si>
    <t>CNA0199</t>
  </si>
  <si>
    <t>CNA0200</t>
  </si>
  <si>
    <t>CNA0201</t>
  </si>
  <si>
    <t>CNA0202</t>
  </si>
  <si>
    <t>CNA0203</t>
  </si>
  <si>
    <t>CNA0204</t>
  </si>
  <si>
    <t>CNA0205</t>
  </si>
  <si>
    <t>CNA0207</t>
  </si>
  <si>
    <t>CNA0208</t>
  </si>
  <si>
    <t>CNA0211</t>
  </si>
  <si>
    <t>CNA0212</t>
  </si>
  <si>
    <t>CNA0214</t>
  </si>
  <si>
    <t>CNA0215</t>
  </si>
  <si>
    <t>CNA0217</t>
  </si>
  <si>
    <t>CNA0219</t>
  </si>
  <si>
    <t>CNA0222</t>
  </si>
  <si>
    <t>CNA0223</t>
  </si>
  <si>
    <t>CNA0224</t>
  </si>
  <si>
    <t>CNA0225</t>
  </si>
  <si>
    <t>CNA0227</t>
  </si>
  <si>
    <t>CNA0228</t>
  </si>
  <si>
    <t>CNA0230</t>
  </si>
  <si>
    <t>CNA0232</t>
  </si>
  <si>
    <t>CNA0233</t>
  </si>
  <si>
    <t>CNA0234</t>
  </si>
  <si>
    <t>CNA0235</t>
  </si>
  <si>
    <t>CNA0236</t>
  </si>
  <si>
    <t>CNA0239</t>
  </si>
  <si>
    <t>CNA0240</t>
  </si>
  <si>
    <t>CNA0242</t>
  </si>
  <si>
    <t>CNA0244</t>
  </si>
  <si>
    <t>CNA0245</t>
  </si>
  <si>
    <t>CNA0247</t>
  </si>
  <si>
    <t>CNA0252</t>
  </si>
  <si>
    <t>CNA0255</t>
  </si>
  <si>
    <t>CNA0256</t>
  </si>
  <si>
    <t>CNA0262</t>
  </si>
  <si>
    <t>CNA0263</t>
  </si>
  <si>
    <t>CNA0265</t>
  </si>
  <si>
    <t>CNA0268</t>
  </si>
  <si>
    <t>CNA0269</t>
  </si>
  <si>
    <t>CNA0271</t>
  </si>
  <si>
    <t>CNA0272</t>
  </si>
  <si>
    <t>CNA0274</t>
  </si>
  <si>
    <t>CNA0277</t>
  </si>
  <si>
    <t>CNA0278</t>
  </si>
  <si>
    <t>CNA0280</t>
  </si>
  <si>
    <t>CNA0284</t>
  </si>
  <si>
    <t>CNA0287</t>
  </si>
  <si>
    <t>CNA0289</t>
  </si>
  <si>
    <t>CNA0290</t>
  </si>
  <si>
    <t>CNA0291</t>
  </si>
  <si>
    <t>CNA0292</t>
  </si>
  <si>
    <t>CNA0295</t>
  </si>
  <si>
    <t>CNA0297</t>
  </si>
  <si>
    <t>CNA0299</t>
  </si>
  <si>
    <t>CNA0301</t>
  </si>
  <si>
    <t>CNA0302</t>
  </si>
  <si>
    <t>CNA0303</t>
  </si>
  <si>
    <t>CNA0310</t>
  </si>
  <si>
    <t>CNA0312</t>
  </si>
  <si>
    <t>CNA0315</t>
  </si>
  <si>
    <t>CNA0317</t>
  </si>
  <si>
    <t>CNA0318</t>
  </si>
  <si>
    <t>CNA0319</t>
  </si>
  <si>
    <t>CNA0323</t>
  </si>
  <si>
    <t>CNA0325</t>
  </si>
  <si>
    <t>CNA0333</t>
  </si>
  <si>
    <t>CNA0342</t>
  </si>
  <si>
    <t>CNA0344</t>
  </si>
  <si>
    <t>CNA0348</t>
  </si>
  <si>
    <t>CNA0350</t>
  </si>
  <si>
    <t>CNA0357</t>
  </si>
  <si>
    <t>CNA0374</t>
  </si>
  <si>
    <t>CNA0381</t>
  </si>
  <si>
    <t>CNA0385</t>
  </si>
  <si>
    <t>CNA0390</t>
  </si>
  <si>
    <t>CNA0391</t>
  </si>
  <si>
    <t>CNA0396</t>
  </si>
  <si>
    <t>CNA0402</t>
  </si>
  <si>
    <t>CNA0410</t>
  </si>
  <si>
    <t>CNA0411</t>
  </si>
  <si>
    <t>CNA0414</t>
  </si>
  <si>
    <t>CNA0420</t>
  </si>
  <si>
    <t>CNA0426</t>
  </si>
  <si>
    <t>CNA0434</t>
  </si>
  <si>
    <t>CNA0448</t>
  </si>
  <si>
    <t>CNA0453</t>
  </si>
  <si>
    <t>CNA0468</t>
  </si>
  <si>
    <t>CNA0494</t>
  </si>
  <si>
    <t>CNA0497</t>
  </si>
  <si>
    <t>CNA0507</t>
  </si>
  <si>
    <t>CNA0511</t>
  </si>
  <si>
    <t>CNA0513</t>
  </si>
  <si>
    <t>CNA0531</t>
  </si>
  <si>
    <t>CNA0537</t>
  </si>
  <si>
    <t>CNA0541</t>
  </si>
  <si>
    <t>CNA0558</t>
  </si>
  <si>
    <t>CNA0560</t>
  </si>
  <si>
    <t>CNA0581</t>
  </si>
  <si>
    <t>CNA0641</t>
  </si>
  <si>
    <t>CNA0646</t>
  </si>
  <si>
    <t>CNA0654</t>
  </si>
  <si>
    <t>CNA0670</t>
  </si>
  <si>
    <t>CNA0674</t>
  </si>
  <si>
    <t>CNA0696</t>
  </si>
  <si>
    <t>CNA0708</t>
  </si>
  <si>
    <t>CNA0727</t>
  </si>
  <si>
    <t>CNA0748</t>
  </si>
  <si>
    <t>CNA0760</t>
  </si>
  <si>
    <t>CNA0772</t>
  </si>
  <si>
    <t>CNA0821</t>
  </si>
  <si>
    <t>CNA0847</t>
  </si>
  <si>
    <t>CNA0853</t>
  </si>
  <si>
    <t>CNA0856</t>
  </si>
  <si>
    <t>CNA0885</t>
  </si>
  <si>
    <t>CNA0904</t>
  </si>
  <si>
    <t>CNA0976</t>
  </si>
  <si>
    <t>CNA1010</t>
  </si>
  <si>
    <t>id_branch</t>
  </si>
  <si>
    <t>BRCH001</t>
  </si>
  <si>
    <t>BRCH002</t>
  </si>
  <si>
    <t>BRCH003</t>
  </si>
  <si>
    <t>BRCH004</t>
  </si>
  <si>
    <t>BRCH005</t>
  </si>
  <si>
    <t>KOA0102</t>
  </si>
  <si>
    <t>KOA0103</t>
  </si>
  <si>
    <t>KOA0104</t>
  </si>
  <si>
    <t>KOA0105</t>
  </si>
  <si>
    <t>KOA0106</t>
  </si>
  <si>
    <t>id_menu</t>
  </si>
  <si>
    <t>MENU001</t>
  </si>
  <si>
    <t>MENU002</t>
  </si>
  <si>
    <t>MENU003</t>
  </si>
  <si>
    <t>MENU004</t>
  </si>
  <si>
    <t>MENU005</t>
  </si>
  <si>
    <t>MENU006</t>
  </si>
  <si>
    <t>MENU007</t>
  </si>
  <si>
    <t>MENU008</t>
  </si>
  <si>
    <t>MENU009</t>
  </si>
  <si>
    <t>MENU010</t>
  </si>
  <si>
    <t>KTG0205</t>
  </si>
  <si>
    <t>KTG0206</t>
  </si>
  <si>
    <t>KTG0207</t>
  </si>
  <si>
    <t>PAY0709</t>
  </si>
  <si>
    <t>PAY0710</t>
  </si>
  <si>
    <t>PAY0711</t>
  </si>
  <si>
    <t>PAY0712</t>
  </si>
  <si>
    <t>year</t>
  </si>
  <si>
    <t>month</t>
  </si>
  <si>
    <t>day</t>
  </si>
  <si>
    <t>TGL0501</t>
  </si>
  <si>
    <t>TGL0502</t>
  </si>
  <si>
    <t>TGL0503</t>
  </si>
  <si>
    <t>TGL0504</t>
  </si>
  <si>
    <t>TGL0505</t>
  </si>
  <si>
    <t>TGL0506</t>
  </si>
  <si>
    <t>TGL0507</t>
  </si>
  <si>
    <t>TGL0508</t>
  </si>
  <si>
    <t>TGL0509</t>
  </si>
  <si>
    <t>TGL0510</t>
  </si>
  <si>
    <t>TGL0511</t>
  </si>
  <si>
    <t>TGL0512</t>
  </si>
  <si>
    <t>TGL0513</t>
  </si>
  <si>
    <t>TGL0514</t>
  </si>
  <si>
    <t>TGL0515</t>
  </si>
  <si>
    <t>TGL0516</t>
  </si>
  <si>
    <t>TGL0517</t>
  </si>
  <si>
    <t>TGL0518</t>
  </si>
  <si>
    <t>TGL0519</t>
  </si>
  <si>
    <t>TGL0520</t>
  </si>
  <si>
    <t>TGL0521</t>
  </si>
  <si>
    <t>TGL0522</t>
  </si>
  <si>
    <t>TGL0523</t>
  </si>
  <si>
    <t>TGL0524</t>
  </si>
  <si>
    <t>TGL0525</t>
  </si>
  <si>
    <t>TGL0526</t>
  </si>
  <si>
    <t>TGL0527</t>
  </si>
  <si>
    <t>TGL0528</t>
  </si>
  <si>
    <t>TGL0529</t>
  </si>
  <si>
    <t>TGL0530</t>
  </si>
  <si>
    <t>TGL0531</t>
  </si>
  <si>
    <t>TGL0532</t>
  </si>
  <si>
    <t>TGL0533</t>
  </si>
  <si>
    <t>TGL0534</t>
  </si>
  <si>
    <t>TGL0535</t>
  </si>
  <si>
    <t>TGL0536</t>
  </si>
  <si>
    <t>TGL0537</t>
  </si>
  <si>
    <t>TGL0538</t>
  </si>
  <si>
    <t>TGL0539</t>
  </si>
  <si>
    <t>TGL0540</t>
  </si>
  <si>
    <t>TGL0541</t>
  </si>
  <si>
    <t>TGL0542</t>
  </si>
  <si>
    <t>TGL0543</t>
  </si>
  <si>
    <t>TGL0544</t>
  </si>
  <si>
    <t>TGL0545</t>
  </si>
  <si>
    <t>TGL0546</t>
  </si>
  <si>
    <t>TGL0547</t>
  </si>
  <si>
    <t>TGL0548</t>
  </si>
  <si>
    <t>TGL0549</t>
  </si>
  <si>
    <t>TGL0550</t>
  </si>
  <si>
    <t>TGL0551</t>
  </si>
  <si>
    <t>TGL0552</t>
  </si>
  <si>
    <t>TGL0553</t>
  </si>
  <si>
    <t>TGL0554</t>
  </si>
  <si>
    <t>TGL0555</t>
  </si>
  <si>
    <t>TGL0556</t>
  </si>
  <si>
    <t>TGL0557</t>
  </si>
  <si>
    <t>TGL0558</t>
  </si>
  <si>
    <t>TGL0559</t>
  </si>
  <si>
    <t>TGL0560</t>
  </si>
  <si>
    <t>TGL0561</t>
  </si>
  <si>
    <t>TGL0562</t>
  </si>
  <si>
    <t>TGL0563</t>
  </si>
  <si>
    <t>TGL0564</t>
  </si>
  <si>
    <t>TGL0565</t>
  </si>
  <si>
    <t>TGL0566</t>
  </si>
  <si>
    <t>TGL0567</t>
  </si>
  <si>
    <t>TGL0568</t>
  </si>
  <si>
    <t>TGL0569</t>
  </si>
  <si>
    <t>TGL0570</t>
  </si>
  <si>
    <t>TGL0571</t>
  </si>
  <si>
    <t>TGL0572</t>
  </si>
  <si>
    <t>TGL0573</t>
  </si>
  <si>
    <t>TGL0574</t>
  </si>
  <si>
    <t>TGL0575</t>
  </si>
  <si>
    <t>TGL0576</t>
  </si>
  <si>
    <t>TGL0577</t>
  </si>
  <si>
    <t>TGL0578</t>
  </si>
  <si>
    <t>TGL0579</t>
  </si>
  <si>
    <t>TGL0580</t>
  </si>
  <si>
    <t>TGL0581</t>
  </si>
  <si>
    <t>TGL0582</t>
  </si>
  <si>
    <t>TGL0583</t>
  </si>
  <si>
    <t>TGL0584</t>
  </si>
  <si>
    <t>TGL0585</t>
  </si>
  <si>
    <t>TGL0586</t>
  </si>
  <si>
    <t>TGL0587</t>
  </si>
  <si>
    <t>TGL0588</t>
  </si>
  <si>
    <t>TGL0589</t>
  </si>
  <si>
    <t>TGL0590</t>
  </si>
  <si>
    <t>TGL0591</t>
  </si>
  <si>
    <t>TGL0592</t>
  </si>
  <si>
    <t>TGL0593</t>
  </si>
  <si>
    <t>TGL0594</t>
  </si>
  <si>
    <t>TGL0595</t>
  </si>
  <si>
    <t>TGL0596</t>
  </si>
  <si>
    <t>TGL0597</t>
  </si>
  <si>
    <t>TGL0598</t>
  </si>
  <si>
    <t>TGL0599</t>
  </si>
  <si>
    <t>TGL0600</t>
  </si>
  <si>
    <t>TGL0601</t>
  </si>
  <si>
    <t>TGL0602</t>
  </si>
  <si>
    <t>TGL0603</t>
  </si>
  <si>
    <t>TGL0604</t>
  </si>
  <si>
    <t>TGL0605</t>
  </si>
  <si>
    <t>TGL0606</t>
  </si>
  <si>
    <t>TGL0607</t>
  </si>
  <si>
    <t>TGL0608</t>
  </si>
  <si>
    <t>TGL0609</t>
  </si>
  <si>
    <t>TGL0610</t>
  </si>
  <si>
    <t>TGL0611</t>
  </si>
  <si>
    <t>TGL0612</t>
  </si>
  <si>
    <t>TGL0613</t>
  </si>
  <si>
    <t>TGL0614</t>
  </si>
  <si>
    <t>TGL0615</t>
  </si>
  <si>
    <t>TGL0616</t>
  </si>
  <si>
    <t>TGL0617</t>
  </si>
  <si>
    <t>TGL0618</t>
  </si>
  <si>
    <t>TGL0619</t>
  </si>
  <si>
    <t>TGL0620</t>
  </si>
  <si>
    <t>TGL0621</t>
  </si>
  <si>
    <t>TGL0622</t>
  </si>
  <si>
    <t>TGL0623</t>
  </si>
  <si>
    <t>TGL0624</t>
  </si>
  <si>
    <t>TGL0625</t>
  </si>
  <si>
    <t>TGL0626</t>
  </si>
  <si>
    <t>TGL0627</t>
  </si>
  <si>
    <t>TGL0628</t>
  </si>
  <si>
    <t>TGL0629</t>
  </si>
  <si>
    <t>TGL0630</t>
  </si>
  <si>
    <t>TGL0631</t>
  </si>
  <si>
    <t>TGL0632</t>
  </si>
  <si>
    <t>TGL0633</t>
  </si>
  <si>
    <t>TGL0634</t>
  </si>
  <si>
    <t>TGL0635</t>
  </si>
  <si>
    <t>TGL0636</t>
  </si>
  <si>
    <t>TGL0637</t>
  </si>
  <si>
    <t>TGL0638</t>
  </si>
  <si>
    <t>TGL0639</t>
  </si>
  <si>
    <t>TGL0640</t>
  </si>
  <si>
    <t>TGL0641</t>
  </si>
  <si>
    <t>TGL0642</t>
  </si>
  <si>
    <t>TGL0643</t>
  </si>
  <si>
    <t>TGL0644</t>
  </si>
  <si>
    <t>TGL0645</t>
  </si>
  <si>
    <t>TGL0646</t>
  </si>
  <si>
    <t>TGL0647</t>
  </si>
  <si>
    <t>TGL0648</t>
  </si>
  <si>
    <t>TGL0649</t>
  </si>
  <si>
    <t>TGL0650</t>
  </si>
  <si>
    <t>TGL0651</t>
  </si>
  <si>
    <t>TGL0652</t>
  </si>
  <si>
    <t>TGL0653</t>
  </si>
  <si>
    <t>TGL0654</t>
  </si>
  <si>
    <t>TGL0655</t>
  </si>
  <si>
    <t>TGL0656</t>
  </si>
  <si>
    <t>TGL0657</t>
  </si>
  <si>
    <t>TGL0658</t>
  </si>
  <si>
    <t>TGL0659</t>
  </si>
  <si>
    <t>TGL0660</t>
  </si>
  <si>
    <t>TGL0661</t>
  </si>
  <si>
    <t>TGL0662</t>
  </si>
  <si>
    <t>TGL0663</t>
  </si>
  <si>
    <t>TGL0664</t>
  </si>
  <si>
    <t>TGL0665</t>
  </si>
  <si>
    <t>TGL0666</t>
  </si>
  <si>
    <t>TGL0667</t>
  </si>
  <si>
    <t>TGL0668</t>
  </si>
  <si>
    <t>TGL0669</t>
  </si>
  <si>
    <t>TGL0670</t>
  </si>
  <si>
    <t>TGL0671</t>
  </si>
  <si>
    <t>TGL0672</t>
  </si>
  <si>
    <t>TGL0673</t>
  </si>
  <si>
    <t>TGL0674</t>
  </si>
  <si>
    <t>TGL0675</t>
  </si>
  <si>
    <t>TGL0676</t>
  </si>
  <si>
    <t>TGL0677</t>
  </si>
  <si>
    <t>TGL0678</t>
  </si>
  <si>
    <t>TGL0679</t>
  </si>
  <si>
    <t>TGL0680</t>
  </si>
  <si>
    <t>TGL0681</t>
  </si>
  <si>
    <t>TGL0682</t>
  </si>
  <si>
    <t>TGL0683</t>
  </si>
  <si>
    <t>TGL0684</t>
  </si>
  <si>
    <t>TGL0685</t>
  </si>
  <si>
    <t>TGL0686</t>
  </si>
  <si>
    <t>TGL0687</t>
  </si>
  <si>
    <t>TGL0688</t>
  </si>
  <si>
    <t>TGL0689</t>
  </si>
  <si>
    <t>TGL0690</t>
  </si>
  <si>
    <t>TGL0691</t>
  </si>
  <si>
    <t>TGL0692</t>
  </si>
  <si>
    <t>TGL0693</t>
  </si>
  <si>
    <t>TGL0694</t>
  </si>
  <si>
    <t>TGL0695</t>
  </si>
  <si>
    <t>TGL0696</t>
  </si>
  <si>
    <t>TGL0697</t>
  </si>
  <si>
    <t>TGL0698</t>
  </si>
  <si>
    <t>TGL0699</t>
  </si>
  <si>
    <t>TGL0700</t>
  </si>
  <si>
    <t>TGL0701</t>
  </si>
  <si>
    <t>TGL0702</t>
  </si>
  <si>
    <t>TGL0703</t>
  </si>
  <si>
    <t>TGL0704</t>
  </si>
  <si>
    <t>TGL0705</t>
  </si>
  <si>
    <t>TGL0706</t>
  </si>
  <si>
    <t>TGL0707</t>
  </si>
  <si>
    <t>TGL0708</t>
  </si>
  <si>
    <t>TGL0709</t>
  </si>
  <si>
    <t>TGL0710</t>
  </si>
  <si>
    <t>TGL0711</t>
  </si>
  <si>
    <t>TGL0712</t>
  </si>
  <si>
    <t>TGL0713</t>
  </si>
  <si>
    <t>TGL0714</t>
  </si>
  <si>
    <t>TGL0715</t>
  </si>
  <si>
    <t>TGL0716</t>
  </si>
  <si>
    <t>TGL0717</t>
  </si>
  <si>
    <t>TGL0718</t>
  </si>
  <si>
    <t>TGL0719</t>
  </si>
  <si>
    <t>TGL0720</t>
  </si>
  <si>
    <t>TGL0721</t>
  </si>
  <si>
    <t>TGL0722</t>
  </si>
  <si>
    <t>TGL0723</t>
  </si>
  <si>
    <t>TGL0724</t>
  </si>
  <si>
    <t>TGL0725</t>
  </si>
  <si>
    <t>TGL0726</t>
  </si>
  <si>
    <t>TGL0727</t>
  </si>
  <si>
    <t>TGL0728</t>
  </si>
  <si>
    <t>TGL0729</t>
  </si>
  <si>
    <t>TGL0730</t>
  </si>
  <si>
    <t>TGL0731</t>
  </si>
  <si>
    <t>TGL0732</t>
  </si>
  <si>
    <t>TGL0733</t>
  </si>
  <si>
    <t>TGL0734</t>
  </si>
  <si>
    <t>TGL0735</t>
  </si>
  <si>
    <t>TGL0736</t>
  </si>
  <si>
    <t>TGL0737</t>
  </si>
  <si>
    <t>TGL0738</t>
  </si>
  <si>
    <t>TGL0739</t>
  </si>
  <si>
    <t>TGL0740</t>
  </si>
  <si>
    <t>TGL0741</t>
  </si>
  <si>
    <t>TGL0742</t>
  </si>
  <si>
    <t>TGL0743</t>
  </si>
  <si>
    <t>TGL0744</t>
  </si>
  <si>
    <t>TGL0745</t>
  </si>
  <si>
    <t>TGL0746</t>
  </si>
  <si>
    <t>TGL0747</t>
  </si>
  <si>
    <t>TGL0748</t>
  </si>
  <si>
    <t>TGL0749</t>
  </si>
  <si>
    <t>TGL0750</t>
  </si>
  <si>
    <t>TGL0751</t>
  </si>
  <si>
    <t>TGL0752</t>
  </si>
  <si>
    <t>TGL0753</t>
  </si>
  <si>
    <t>TGL0754</t>
  </si>
  <si>
    <t>TGL0755</t>
  </si>
  <si>
    <t>TGL0756</t>
  </si>
  <si>
    <t>TGL0757</t>
  </si>
  <si>
    <t>TGL0758</t>
  </si>
  <si>
    <t>TGL0759</t>
  </si>
  <si>
    <t>TGL0760</t>
  </si>
  <si>
    <t>TGL0761</t>
  </si>
  <si>
    <t>TGL0762</t>
  </si>
  <si>
    <t>TGL0763</t>
  </si>
  <si>
    <t>TGL0764</t>
  </si>
  <si>
    <t>TGL0765</t>
  </si>
  <si>
    <t>TGL0766</t>
  </si>
  <si>
    <t>TGL0767</t>
  </si>
  <si>
    <t>TGL0768</t>
  </si>
  <si>
    <t>TGL0769</t>
  </si>
  <si>
    <t>TGL0770</t>
  </si>
  <si>
    <t>TGL0771</t>
  </si>
  <si>
    <t>TGL0772</t>
  </si>
  <si>
    <t>TGL0773</t>
  </si>
  <si>
    <t>TGL0774</t>
  </si>
  <si>
    <t>TGL0775</t>
  </si>
  <si>
    <t>TGL0776</t>
  </si>
  <si>
    <t>TGL0777</t>
  </si>
  <si>
    <t>TGL0778</t>
  </si>
  <si>
    <t>TGL0779</t>
  </si>
  <si>
    <t>TGL0780</t>
  </si>
  <si>
    <t>TGL0781</t>
  </si>
  <si>
    <t>TGL0782</t>
  </si>
  <si>
    <t>TGL0783</t>
  </si>
  <si>
    <t>TGL0784</t>
  </si>
  <si>
    <t>TGL0785</t>
  </si>
  <si>
    <t>TGL0786</t>
  </si>
  <si>
    <t>TGL0787</t>
  </si>
  <si>
    <t>TGL0788</t>
  </si>
  <si>
    <t>TGL0789</t>
  </si>
  <si>
    <t>TGL0790</t>
  </si>
  <si>
    <t>TGL0791</t>
  </si>
  <si>
    <t>TGL0792</t>
  </si>
  <si>
    <t>TGL0793</t>
  </si>
  <si>
    <t>TGL0794</t>
  </si>
  <si>
    <t>TGL0795</t>
  </si>
  <si>
    <t>TGL0796</t>
  </si>
  <si>
    <t>TGL0797</t>
  </si>
  <si>
    <t>TGL0798</t>
  </si>
  <si>
    <t>TGL0799</t>
  </si>
  <si>
    <t>TGL0800</t>
  </si>
  <si>
    <t>TGL0801</t>
  </si>
  <si>
    <t>TGL0802</t>
  </si>
  <si>
    <t>TGL0803</t>
  </si>
  <si>
    <t>TGL0804</t>
  </si>
  <si>
    <t>TGL0805</t>
  </si>
  <si>
    <t>TGL0806</t>
  </si>
  <si>
    <t>TGL0807</t>
  </si>
  <si>
    <t>TGL0808</t>
  </si>
  <si>
    <t>TGL0809</t>
  </si>
  <si>
    <t>TGL0810</t>
  </si>
  <si>
    <t>TGL0811</t>
  </si>
  <si>
    <t>TGL0812</t>
  </si>
  <si>
    <t>TGL0813</t>
  </si>
  <si>
    <t>TGL0814</t>
  </si>
  <si>
    <t>TGL0815</t>
  </si>
  <si>
    <t>TGL0816</t>
  </si>
  <si>
    <t>TGL0817</t>
  </si>
  <si>
    <t>TGL0818</t>
  </si>
  <si>
    <t>TGL0819</t>
  </si>
  <si>
    <t>TGL0820</t>
  </si>
  <si>
    <t>TGL0821</t>
  </si>
  <si>
    <t>TGL0822</t>
  </si>
  <si>
    <t>TGL0823</t>
  </si>
  <si>
    <t>TGL0824</t>
  </si>
  <si>
    <t>TGL0825</t>
  </si>
  <si>
    <t>TGL0826</t>
  </si>
  <si>
    <t>TGL0827</t>
  </si>
  <si>
    <t>TGL0828</t>
  </si>
  <si>
    <t>TGL0829</t>
  </si>
  <si>
    <t>TGL0830</t>
  </si>
  <si>
    <t>TGL0831</t>
  </si>
  <si>
    <t>TGL0832</t>
  </si>
  <si>
    <t>TGL0833</t>
  </si>
  <si>
    <t>TGL0834</t>
  </si>
  <si>
    <t>TGL0835</t>
  </si>
  <si>
    <t>TGL0836</t>
  </si>
  <si>
    <t>TGL0837</t>
  </si>
  <si>
    <t>TGL0838</t>
  </si>
  <si>
    <t>TGL0839</t>
  </si>
  <si>
    <t>TGL0840</t>
  </si>
  <si>
    <t>TGL0841</t>
  </si>
  <si>
    <t>TGL0842</t>
  </si>
  <si>
    <t>TGL0843</t>
  </si>
  <si>
    <t>TGL0844</t>
  </si>
  <si>
    <t>TGL0845</t>
  </si>
  <si>
    <t>TGL0846</t>
  </si>
  <si>
    <t>TGL0847</t>
  </si>
  <si>
    <t>TGL0848</t>
  </si>
  <si>
    <t>TGL0849</t>
  </si>
  <si>
    <t>TGL0850</t>
  </si>
  <si>
    <t>TGL0851</t>
  </si>
  <si>
    <t>TGL0852</t>
  </si>
  <si>
    <t>TGL0853</t>
  </si>
  <si>
    <t>TGL0854</t>
  </si>
  <si>
    <t>TGL0855</t>
  </si>
  <si>
    <t>TGL0856</t>
  </si>
  <si>
    <t>TGL0857</t>
  </si>
  <si>
    <t>TGL0858</t>
  </si>
  <si>
    <t>TGL0859</t>
  </si>
  <si>
    <t>TGL0860</t>
  </si>
  <si>
    <t>TGL0861</t>
  </si>
  <si>
    <t>TGL0862</t>
  </si>
  <si>
    <t>TGL0863</t>
  </si>
  <si>
    <t>TGL0864</t>
  </si>
  <si>
    <t>TGL0865</t>
  </si>
  <si>
    <t>TGL0866</t>
  </si>
  <si>
    <t>TGL0867</t>
  </si>
  <si>
    <t>TGL0868</t>
  </si>
  <si>
    <t>TGL0869</t>
  </si>
  <si>
    <t>TGL0870</t>
  </si>
  <si>
    <t>TGL0871</t>
  </si>
  <si>
    <t>TGL0872</t>
  </si>
  <si>
    <t>TGL0873</t>
  </si>
  <si>
    <t>TGL0874</t>
  </si>
  <si>
    <t>TGL0875</t>
  </si>
  <si>
    <t>TGL0876</t>
  </si>
  <si>
    <t>TGL0877</t>
  </si>
  <si>
    <t>TGL0878</t>
  </si>
  <si>
    <t>TGL0879</t>
  </si>
  <si>
    <t>TGL0880</t>
  </si>
  <si>
    <t>TGL0881</t>
  </si>
  <si>
    <t>TGL0882</t>
  </si>
  <si>
    <t>TGL0883</t>
  </si>
  <si>
    <t>TGL0884</t>
  </si>
  <si>
    <t>TGL0885</t>
  </si>
  <si>
    <t>TGL0886</t>
  </si>
  <si>
    <t>TGL0887</t>
  </si>
  <si>
    <t>TGL0888</t>
  </si>
  <si>
    <t>TGL0889</t>
  </si>
  <si>
    <t>TGL0890</t>
  </si>
  <si>
    <t>TGL0891</t>
  </si>
  <si>
    <t>TGL0892</t>
  </si>
  <si>
    <t>TGL0893</t>
  </si>
  <si>
    <t>TGL0894</t>
  </si>
  <si>
    <t>TGL0895</t>
  </si>
  <si>
    <t>TGL0896</t>
  </si>
  <si>
    <t>TGL0897</t>
  </si>
  <si>
    <t>TGL0898</t>
  </si>
  <si>
    <t>TGL0899</t>
  </si>
  <si>
    <t>TGL0900</t>
  </si>
  <si>
    <t>TGL0901</t>
  </si>
  <si>
    <t>TGL0902</t>
  </si>
  <si>
    <t>TGL0903</t>
  </si>
  <si>
    <t>TGL0904</t>
  </si>
  <si>
    <t>TGL0905</t>
  </si>
  <si>
    <t>TGL0906</t>
  </si>
  <si>
    <t>TGL0907</t>
  </si>
  <si>
    <t>TGL0908</t>
  </si>
  <si>
    <t>TGL0909</t>
  </si>
  <si>
    <t>TGL0910</t>
  </si>
  <si>
    <t>TGL0911</t>
  </si>
  <si>
    <t>TGL0912</t>
  </si>
  <si>
    <t>TGL0913</t>
  </si>
  <si>
    <t>TGL0914</t>
  </si>
  <si>
    <t>TGL0915</t>
  </si>
  <si>
    <t>TGL0916</t>
  </si>
  <si>
    <t>TGL0917</t>
  </si>
  <si>
    <t>TGL0918</t>
  </si>
  <si>
    <t>TGL0919</t>
  </si>
  <si>
    <t>TGL0920</t>
  </si>
  <si>
    <t>TGL0921</t>
  </si>
  <si>
    <t>TGL0922</t>
  </si>
  <si>
    <t>TGL0923</t>
  </si>
  <si>
    <t>TGL0924</t>
  </si>
  <si>
    <t>TGL0925</t>
  </si>
  <si>
    <t>TGL0926</t>
  </si>
  <si>
    <t>TGL0927</t>
  </si>
  <si>
    <t>TGL0928</t>
  </si>
  <si>
    <t>TGL0929</t>
  </si>
  <si>
    <t>TGL0930</t>
  </si>
  <si>
    <t>TGL0931</t>
  </si>
  <si>
    <t>TGL0932</t>
  </si>
  <si>
    <t>TGL0933</t>
  </si>
  <si>
    <t>TGL0934</t>
  </si>
  <si>
    <t>TGL0935</t>
  </si>
  <si>
    <t>TGL0936</t>
  </si>
  <si>
    <t>TGL0937</t>
  </si>
  <si>
    <t>TGL0938</t>
  </si>
  <si>
    <t>TGL0939</t>
  </si>
  <si>
    <t>TGL0940</t>
  </si>
  <si>
    <t>TGL0941</t>
  </si>
  <si>
    <t>TGL0942</t>
  </si>
  <si>
    <t>TGL0943</t>
  </si>
  <si>
    <t>TGL0944</t>
  </si>
  <si>
    <t>TGL0945</t>
  </si>
  <si>
    <t>TGL0946</t>
  </si>
  <si>
    <t>TGL0947</t>
  </si>
  <si>
    <t>TGL0948</t>
  </si>
  <si>
    <t>TGL0949</t>
  </si>
  <si>
    <t>TGL0950</t>
  </si>
  <si>
    <t>TGL0951</t>
  </si>
  <si>
    <t>TGL0952</t>
  </si>
  <si>
    <t>TGL0953</t>
  </si>
  <si>
    <t>TGL0954</t>
  </si>
  <si>
    <t>TGL0955</t>
  </si>
  <si>
    <t>TGL0956</t>
  </si>
  <si>
    <t>TGL0957</t>
  </si>
  <si>
    <t>TGL0958</t>
  </si>
  <si>
    <t>TGL0959</t>
  </si>
  <si>
    <t>TGL0960</t>
  </si>
  <si>
    <t>TGL0961</t>
  </si>
  <si>
    <t>TGL0962</t>
  </si>
  <si>
    <t>TGL0963</t>
  </si>
  <si>
    <t>TGL0964</t>
  </si>
  <si>
    <t>TGL0965</t>
  </si>
  <si>
    <t>TGL0966</t>
  </si>
  <si>
    <t>TGL0967</t>
  </si>
  <si>
    <t>TGL0968</t>
  </si>
  <si>
    <t>TGL0969</t>
  </si>
  <si>
    <t>TGL0970</t>
  </si>
  <si>
    <t>TGL0971</t>
  </si>
  <si>
    <t>TGL0972</t>
  </si>
  <si>
    <t>TGL0973</t>
  </si>
  <si>
    <t>TGL0974</t>
  </si>
  <si>
    <t>TGL0975</t>
  </si>
  <si>
    <t>TGL0976</t>
  </si>
  <si>
    <t>TGL0977</t>
  </si>
  <si>
    <t>TGL0978</t>
  </si>
  <si>
    <t>TGL0979</t>
  </si>
  <si>
    <t>TGL0980</t>
  </si>
  <si>
    <t>TGL0981</t>
  </si>
  <si>
    <t>TGL0982</t>
  </si>
  <si>
    <t>TGL0983</t>
  </si>
  <si>
    <t>TGL0984</t>
  </si>
  <si>
    <t>TGL0985</t>
  </si>
  <si>
    <t>TGL0986</t>
  </si>
  <si>
    <t>TGL0987</t>
  </si>
  <si>
    <t>TGL0988</t>
  </si>
  <si>
    <t>TGL0989</t>
  </si>
  <si>
    <t>TGL0990</t>
  </si>
  <si>
    <t>TGL0991</t>
  </si>
  <si>
    <t>TGL0992</t>
  </si>
  <si>
    <t>TGL0993</t>
  </si>
  <si>
    <t>TGL0994</t>
  </si>
  <si>
    <t>TGL0995</t>
  </si>
  <si>
    <t>TGL0996</t>
  </si>
  <si>
    <t>TGL0997</t>
  </si>
  <si>
    <t>TGL0998</t>
  </si>
  <si>
    <t>TGL0999</t>
  </si>
  <si>
    <t>TGL1000</t>
  </si>
  <si>
    <t>TGL1001</t>
  </si>
  <si>
    <t>TGL1002</t>
  </si>
  <si>
    <t>TGL1003</t>
  </si>
  <si>
    <t>TGL1004</t>
  </si>
  <si>
    <t>TGL1005</t>
  </si>
  <si>
    <t>TGL1006</t>
  </si>
  <si>
    <t>TGL1007</t>
  </si>
  <si>
    <t>TGL1008</t>
  </si>
  <si>
    <t>TGL1009</t>
  </si>
  <si>
    <t>TGL1010</t>
  </si>
  <si>
    <t>TGL1011</t>
  </si>
  <si>
    <t>TGL1012</t>
  </si>
  <si>
    <t>TGL1013</t>
  </si>
  <si>
    <t>TGL1014</t>
  </si>
  <si>
    <t>TGL1015</t>
  </si>
  <si>
    <t>TGL1016</t>
  </si>
  <si>
    <t>TGL1017</t>
  </si>
  <si>
    <t>TGL1018</t>
  </si>
  <si>
    <t>TGL1019</t>
  </si>
  <si>
    <t>TGL1020</t>
  </si>
  <si>
    <t>TGL1021</t>
  </si>
  <si>
    <t>TGL1022</t>
  </si>
  <si>
    <t>TGL1023</t>
  </si>
  <si>
    <t>TGL1024</t>
  </si>
  <si>
    <t>TGL1025</t>
  </si>
  <si>
    <t>TGL1026</t>
  </si>
  <si>
    <t>TGL1027</t>
  </si>
  <si>
    <t>TGL1028</t>
  </si>
  <si>
    <t>TGL1029</t>
  </si>
  <si>
    <t>TGL1030</t>
  </si>
  <si>
    <t>TGL1031</t>
  </si>
  <si>
    <t>TGL1032</t>
  </si>
  <si>
    <t>TGL1033</t>
  </si>
  <si>
    <t>TGL1034</t>
  </si>
  <si>
    <t>TGL1035</t>
  </si>
  <si>
    <t>TGL1036</t>
  </si>
  <si>
    <t>TGL1037</t>
  </si>
  <si>
    <t>TGL1038</t>
  </si>
  <si>
    <t>TGL1039</t>
  </si>
  <si>
    <t>TGL1040</t>
  </si>
  <si>
    <t>TGL1041</t>
  </si>
  <si>
    <t>TGL1042</t>
  </si>
  <si>
    <t>TGL1043</t>
  </si>
  <si>
    <t>TGL1044</t>
  </si>
  <si>
    <t>id_date</t>
  </si>
  <si>
    <t>id_city</t>
  </si>
  <si>
    <t>id_method</t>
  </si>
  <si>
    <t>id_category</t>
  </si>
  <si>
    <t>Row Labels</t>
  </si>
  <si>
    <t>Grand Total</t>
  </si>
  <si>
    <t>Count of id_transaction</t>
  </si>
  <si>
    <t>Sum of total_price</t>
  </si>
  <si>
    <t>Jan</t>
  </si>
  <si>
    <t>Feb</t>
  </si>
  <si>
    <t>Mar</t>
  </si>
  <si>
    <t>Apr</t>
  </si>
  <si>
    <t>May</t>
  </si>
  <si>
    <t>Jun</t>
  </si>
  <si>
    <t>Jul</t>
  </si>
  <si>
    <t>Aug</t>
  </si>
  <si>
    <t>Sep</t>
  </si>
  <si>
    <t>Oct</t>
  </si>
  <si>
    <t>Nov</t>
  </si>
  <si>
    <t>Dec</t>
  </si>
  <si>
    <t>Average of rating</t>
  </si>
  <si>
    <t>Average of total_price</t>
  </si>
  <si>
    <t>Total Penjualan</t>
  </si>
  <si>
    <t>Rata Rata Rating</t>
  </si>
  <si>
    <t>Rata Rata Transaksi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</si>
</sst>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Rp]* #,##0.0_-;\-[$Rp]* #,##0.0_-;_-[$Rp]* &quot;-&quot;?_-;_-@_-" x16r2:formatCode16="_-[$Rp-jv-Latn-ID]* #,##0.0_-;\-[$Rp-jv-Latn-ID]* #,##0.0_-;_-[$Rp-jv-Latn-ID]* &quot;-&quot;?_-;_-@_-"/>
  </numFmts>
  <fonts count="4" x14ac:knownFonts="1">
    <font>
      <sz val="11"/>
      <color theme="1"/>
      <name val="Calibri"/>
      <family val="2"/>
      <scheme val="minor"/>
    </font>
    <font>
      <sz val="8"/>
      <name val="Calibri"/>
      <family val="2"/>
      <scheme val="minor"/>
    </font>
    <font>
      <sz val="18"/>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0" fillId="3" borderId="0" xfId="0" applyFill="1"/>
    <xf numFmtId="165" fontId="2" fillId="2" borderId="0" xfId="0" applyNumberFormat="1" applyFont="1" applyFill="1"/>
    <xf numFmtId="0" fontId="2" fillId="3" borderId="0" xfId="0" applyFont="1" applyFill="1"/>
    <xf numFmtId="0" fontId="3" fillId="3" borderId="0" xfId="0" applyFont="1" applyFill="1"/>
  </cellXfs>
  <cellStyles count="1">
    <cellStyle name="Normal" xfId="0" builtinId="0"/>
  </cellStyles>
  <dxfs count="55">
    <dxf>
      <numFmt numFmtId="164" formatCode="yyyy\-mm\-dd;@"/>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0" formatCode="General"/>
    </dxf>
    <dxf>
      <font>
        <color theme="1"/>
      </font>
    </dxf>
    <dxf>
      <fill>
        <patternFill>
          <bgColor theme="3" tint="0.59999389629810485"/>
        </patternFill>
      </fill>
    </dxf>
    <dxf>
      <font>
        <color theme="1"/>
      </font>
    </dxf>
    <dxf>
      <font>
        <sz val="20"/>
      </font>
    </dxf>
    <dxf>
      <fill>
        <patternFill>
          <bgColor theme="4" tint="0.39997558519241921"/>
        </patternFill>
      </fill>
    </dxf>
    <dxf>
      <fill>
        <patternFill>
          <bgColor theme="4" tint="0.39997558519241921"/>
        </patternFill>
      </fill>
    </dxf>
    <dxf>
      <fill>
        <patternFill>
          <bgColor theme="4" tint="0.39997558519241921"/>
        </patternFill>
      </fill>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18"/>
      </font>
    </dxf>
    <dxf>
      <font>
        <sz val="18"/>
      </font>
    </dxf>
    <dxf>
      <font>
        <sz val="18"/>
      </font>
    </dxf>
    <dxf>
      <font>
        <color theme="1"/>
      </font>
    </dxf>
    <dxf>
      <fill>
        <patternFill>
          <bgColor theme="3" tint="0.59999389629810485"/>
        </patternFill>
      </fill>
    </dxf>
    <dxf>
      <numFmt numFmtId="165" formatCode="_-[$Rp]* #,##0.0_-;\-[$Rp]* #,##0.0_-;_-[$Rp]* &quot;-&quot;?_-;_-@_-" x16r2:formatCode16="_-[$Rp-jv-Latn-ID]* #,##0.0_-;\-[$Rp-jv-Latn-ID]* #,##0.0_-;_-[$Rp-jv-Latn-ID]* &quot;-&quot;?_-;_-@_-"/>
    </dxf>
    <dxf>
      <numFmt numFmtId="0" formatCode="General"/>
    </dxf>
    <dxf>
      <font>
        <color theme="1"/>
      </font>
    </dxf>
    <dxf>
      <fill>
        <patternFill>
          <bgColor theme="4" tint="0.39997558519241921"/>
        </patternFill>
      </fill>
    </dxf>
    <dxf>
      <fill>
        <patternFill>
          <bgColor theme="4" tint="0.39997558519241921"/>
        </patternFill>
      </fill>
    </dxf>
    <dxf>
      <font>
        <sz val="18"/>
      </font>
    </dxf>
    <dxf>
      <font>
        <sz val="18"/>
      </font>
    </dxf>
    <dxf>
      <font>
        <sz val="18"/>
      </font>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font>
    </dxf>
    <dxf>
      <fill>
        <patternFill>
          <bgColor theme="3" tint="0.59999389629810485"/>
        </patternFill>
      </fill>
    </dxf>
    <dxf>
      <font>
        <color theme="1"/>
      </font>
    </dxf>
    <dxf>
      <fill>
        <patternFill>
          <bgColor theme="4" tint="0.39997558519241921"/>
        </patternFill>
      </fill>
    </dxf>
    <dxf>
      <fill>
        <patternFill>
          <bgColor theme="4" tint="0.39997558519241921"/>
        </patternFill>
      </fill>
    </dxf>
    <dxf>
      <font>
        <sz val="18"/>
      </font>
    </dxf>
    <dxf>
      <font>
        <sz val="18"/>
      </font>
    </dxf>
    <dxf>
      <font>
        <sz val="18"/>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Penjualan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Sheet2!$E$4</c:f>
              <c:strCache>
                <c:ptCount val="1"/>
                <c:pt idx="0">
                  <c:v>Total</c:v>
                </c:pt>
              </c:strCache>
            </c:strRef>
          </c:tx>
          <c:spPr>
            <a:solidFill>
              <a:schemeClr val="accent1"/>
            </a:solidFill>
            <a:ln>
              <a:noFill/>
            </a:ln>
            <a:effectLst/>
          </c:spPr>
          <c:invertIfNegative val="0"/>
          <c:cat>
            <c:strRef>
              <c:f>Sheet2!$D$5:$D$10</c:f>
              <c:strCache>
                <c:ptCount val="5"/>
                <c:pt idx="0">
                  <c:v>Kedai Kopi Dago</c:v>
                </c:pt>
                <c:pt idx="1">
                  <c:v>Kedai Kopi Losari</c:v>
                </c:pt>
                <c:pt idx="2">
                  <c:v>Kedai Kopi Merdeka</c:v>
                </c:pt>
                <c:pt idx="3">
                  <c:v>Kedai Kopi Tunjungan</c:v>
                </c:pt>
                <c:pt idx="4">
                  <c:v>Kedai Kopi Senayan</c:v>
                </c:pt>
              </c:strCache>
            </c:strRef>
          </c:cat>
          <c:val>
            <c:numRef>
              <c:f>Sheet2!$E$5:$E$10</c:f>
              <c:numCache>
                <c:formatCode>General</c:formatCode>
                <c:ptCount val="5"/>
                <c:pt idx="0">
                  <c:v>13168100</c:v>
                </c:pt>
                <c:pt idx="1">
                  <c:v>13505350</c:v>
                </c:pt>
                <c:pt idx="2">
                  <c:v>13698050</c:v>
                </c:pt>
                <c:pt idx="3">
                  <c:v>13992400</c:v>
                </c:pt>
                <c:pt idx="4">
                  <c:v>14272350</c:v>
                </c:pt>
              </c:numCache>
            </c:numRef>
          </c:val>
          <c:extLst>
            <c:ext xmlns:c16="http://schemas.microsoft.com/office/drawing/2014/chart" uri="{C3380CC4-5D6E-409C-BE32-E72D297353CC}">
              <c16:uniqueId val="{00000000-5C0A-40CC-99CA-D048811FA10B}"/>
            </c:ext>
          </c:extLst>
        </c:ser>
        <c:dLbls>
          <c:showLegendKey val="0"/>
          <c:showVal val="0"/>
          <c:showCatName val="0"/>
          <c:showSerName val="0"/>
          <c:showPercent val="0"/>
          <c:showBubbleSize val="0"/>
        </c:dLbls>
        <c:gapWidth val="219"/>
        <c:overlap val="-27"/>
        <c:axId val="1957567168"/>
        <c:axId val="1957568608"/>
      </c:barChart>
      <c:catAx>
        <c:axId val="19575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68608"/>
        <c:crosses val="autoZero"/>
        <c:auto val="1"/>
        <c:lblAlgn val="ctr"/>
        <c:lblOffset val="100"/>
        <c:noMultiLvlLbl val="0"/>
      </c:catAx>
      <c:valAx>
        <c:axId val="19575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5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Rata</a:t>
            </a:r>
            <a:r>
              <a:rPr lang="en-US" baseline="0"/>
              <a:t> Rata Penjualan per Kategori Menu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75-40CA-9915-24A8AFF159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75-40CA-9915-24A8AFF159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75-40CA-9915-24A8AFF15983}"/>
              </c:ext>
            </c:extLst>
          </c:dPt>
          <c:cat>
            <c:strRef>
              <c:f>Sheet2!$A$4:$A$7</c:f>
              <c:strCache>
                <c:ptCount val="3"/>
                <c:pt idx="0">
                  <c:v>Kopi</c:v>
                </c:pt>
                <c:pt idx="1">
                  <c:v>Makanan</c:v>
                </c:pt>
                <c:pt idx="2">
                  <c:v>Non-Kopi</c:v>
                </c:pt>
              </c:strCache>
            </c:strRef>
          </c:cat>
          <c:val>
            <c:numRef>
              <c:f>Sheet2!$B$4:$B$7</c:f>
              <c:numCache>
                <c:formatCode>General</c:formatCode>
                <c:ptCount val="3"/>
                <c:pt idx="0">
                  <c:v>398</c:v>
                </c:pt>
                <c:pt idx="1">
                  <c:v>392</c:v>
                </c:pt>
                <c:pt idx="2">
                  <c:v>210</c:v>
                </c:pt>
              </c:numCache>
            </c:numRef>
          </c:val>
          <c:extLst>
            <c:ext xmlns:c16="http://schemas.microsoft.com/office/drawing/2014/chart" uri="{C3380CC4-5D6E-409C-BE32-E72D297353CC}">
              <c16:uniqueId val="{00000000-4699-4969-80E0-3394AFB80D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Sheet2!$N$6</c:f>
              <c:strCache>
                <c:ptCount val="1"/>
                <c:pt idx="0">
                  <c:v>Total</c:v>
                </c:pt>
              </c:strCache>
            </c:strRef>
          </c:tx>
          <c:spPr>
            <a:ln w="28575" cap="rnd">
              <a:solidFill>
                <a:schemeClr val="accent1"/>
              </a:solidFill>
              <a:round/>
            </a:ln>
            <a:effectLst/>
          </c:spPr>
          <c:marker>
            <c:symbol val="none"/>
          </c:marker>
          <c:cat>
            <c:strRef>
              <c:f>Sheet2!$M$7:$M$19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Sheet2!$N$7:$N$19</c:f>
              <c:numCache>
                <c:formatCode>General</c:formatCode>
                <c:ptCount val="12"/>
                <c:pt idx="0">
                  <c:v>6062550</c:v>
                </c:pt>
                <c:pt idx="1">
                  <c:v>6476600</c:v>
                </c:pt>
                <c:pt idx="2">
                  <c:v>5399250</c:v>
                </c:pt>
                <c:pt idx="3">
                  <c:v>6038750</c:v>
                </c:pt>
                <c:pt idx="4">
                  <c:v>5932700</c:v>
                </c:pt>
                <c:pt idx="5">
                  <c:v>5918500</c:v>
                </c:pt>
                <c:pt idx="6">
                  <c:v>4557500</c:v>
                </c:pt>
                <c:pt idx="7">
                  <c:v>5840800</c:v>
                </c:pt>
                <c:pt idx="8">
                  <c:v>5825350</c:v>
                </c:pt>
                <c:pt idx="9">
                  <c:v>6705450</c:v>
                </c:pt>
                <c:pt idx="10">
                  <c:v>5342950</c:v>
                </c:pt>
                <c:pt idx="11">
                  <c:v>4535850</c:v>
                </c:pt>
              </c:numCache>
            </c:numRef>
          </c:val>
          <c:smooth val="0"/>
          <c:extLst>
            <c:ext xmlns:c16="http://schemas.microsoft.com/office/drawing/2014/chart" uri="{C3380CC4-5D6E-409C-BE32-E72D297353CC}">
              <c16:uniqueId val="{00000000-DBA9-4DCA-AF13-6E6115BEC2D1}"/>
            </c:ext>
          </c:extLst>
        </c:ser>
        <c:dLbls>
          <c:showLegendKey val="0"/>
          <c:showVal val="0"/>
          <c:showCatName val="0"/>
          <c:showSerName val="0"/>
          <c:showPercent val="0"/>
          <c:showBubbleSize val="0"/>
        </c:dLbls>
        <c:smooth val="0"/>
        <c:axId val="2117557520"/>
        <c:axId val="2117555600"/>
      </c:lineChart>
      <c:catAx>
        <c:axId val="21175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55600"/>
        <c:crosses val="autoZero"/>
        <c:auto val="1"/>
        <c:lblAlgn val="ctr"/>
        <c:lblOffset val="100"/>
        <c:noMultiLvlLbl val="0"/>
      </c:catAx>
      <c:valAx>
        <c:axId val="21175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Rata</a:t>
            </a:r>
            <a:r>
              <a:rPr lang="en-US" baseline="0"/>
              <a:t> Rata Transaksi per Metode Pembayaran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Sheet2!$D$13</c:f>
              <c:strCache>
                <c:ptCount val="1"/>
                <c:pt idx="0">
                  <c:v>Total</c:v>
                </c:pt>
              </c:strCache>
            </c:strRef>
          </c:tx>
          <c:spPr>
            <a:solidFill>
              <a:schemeClr val="accent1"/>
            </a:solidFill>
            <a:ln>
              <a:noFill/>
            </a:ln>
            <a:effectLst/>
          </c:spPr>
          <c:invertIfNegative val="0"/>
          <c:cat>
            <c:strRef>
              <c:f>Sheet2!$C$14:$C$18</c:f>
              <c:strCache>
                <c:ptCount val="4"/>
                <c:pt idx="0">
                  <c:v>Cash</c:v>
                </c:pt>
                <c:pt idx="1">
                  <c:v>Transfer</c:v>
                </c:pt>
                <c:pt idx="2">
                  <c:v>Kartu Kredit</c:v>
                </c:pt>
                <c:pt idx="3">
                  <c:v>QRIS</c:v>
                </c:pt>
              </c:strCache>
            </c:strRef>
          </c:cat>
          <c:val>
            <c:numRef>
              <c:f>Sheet2!$D$14:$D$18</c:f>
              <c:numCache>
                <c:formatCode>General</c:formatCode>
                <c:ptCount val="4"/>
                <c:pt idx="0">
                  <c:v>243</c:v>
                </c:pt>
                <c:pt idx="1">
                  <c:v>247</c:v>
                </c:pt>
                <c:pt idx="2">
                  <c:v>251</c:v>
                </c:pt>
                <c:pt idx="3">
                  <c:v>259</c:v>
                </c:pt>
              </c:numCache>
            </c:numRef>
          </c:val>
          <c:extLst>
            <c:ext xmlns:c16="http://schemas.microsoft.com/office/drawing/2014/chart" uri="{C3380CC4-5D6E-409C-BE32-E72D297353CC}">
              <c16:uniqueId val="{00000000-E65E-4B35-A325-8C039B51D1F8}"/>
            </c:ext>
          </c:extLst>
        </c:ser>
        <c:dLbls>
          <c:showLegendKey val="0"/>
          <c:showVal val="0"/>
          <c:showCatName val="0"/>
          <c:showSerName val="0"/>
          <c:showPercent val="0"/>
          <c:showBubbleSize val="0"/>
        </c:dLbls>
        <c:gapWidth val="182"/>
        <c:axId val="2117554640"/>
        <c:axId val="2117555120"/>
      </c:barChart>
      <c:catAx>
        <c:axId val="211755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55120"/>
        <c:crosses val="autoZero"/>
        <c:auto val="1"/>
        <c:lblAlgn val="ctr"/>
        <c:lblOffset val="100"/>
        <c:noMultiLvlLbl val="0"/>
      </c:catAx>
      <c:valAx>
        <c:axId val="211755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Sheet2!$H$37</c:f>
              <c:strCache>
                <c:ptCount val="1"/>
                <c:pt idx="0">
                  <c:v>Total</c:v>
                </c:pt>
              </c:strCache>
            </c:strRef>
          </c:tx>
          <c:spPr>
            <a:solidFill>
              <a:schemeClr val="accent1"/>
            </a:solidFill>
            <a:ln>
              <a:noFill/>
            </a:ln>
            <a:effectLst/>
          </c:spPr>
          <c:invertIfNegative val="0"/>
          <c:cat>
            <c:strRef>
              <c:f>Sheet2!$G$38:$G$43</c:f>
              <c:strCache>
                <c:ptCount val="5"/>
                <c:pt idx="0">
                  <c:v>Kedai Kopi Losari</c:v>
                </c:pt>
                <c:pt idx="1">
                  <c:v>Kedai Kopi Senayan</c:v>
                </c:pt>
                <c:pt idx="2">
                  <c:v>Kedai Kopi Merdeka</c:v>
                </c:pt>
                <c:pt idx="3">
                  <c:v>Kedai Kopi Dago</c:v>
                </c:pt>
                <c:pt idx="4">
                  <c:v>Kedai Kopi Tunjungan</c:v>
                </c:pt>
              </c:strCache>
            </c:strRef>
          </c:cat>
          <c:val>
            <c:numRef>
              <c:f>Sheet2!$H$38:$H$43</c:f>
              <c:numCache>
                <c:formatCode>General</c:formatCode>
                <c:ptCount val="5"/>
                <c:pt idx="0">
                  <c:v>2.8453201970443347</c:v>
                </c:pt>
                <c:pt idx="1">
                  <c:v>2.9731707317073188</c:v>
                </c:pt>
                <c:pt idx="2">
                  <c:v>2.9849246231155768</c:v>
                </c:pt>
                <c:pt idx="3">
                  <c:v>2.9999999999999996</c:v>
                </c:pt>
                <c:pt idx="4">
                  <c:v>3.0114285714285711</c:v>
                </c:pt>
              </c:numCache>
            </c:numRef>
          </c:val>
          <c:extLst>
            <c:ext xmlns:c16="http://schemas.microsoft.com/office/drawing/2014/chart" uri="{C3380CC4-5D6E-409C-BE32-E72D297353CC}">
              <c16:uniqueId val="{00000000-7F57-428A-AE2E-BC6DD9498A1E}"/>
            </c:ext>
          </c:extLst>
        </c:ser>
        <c:dLbls>
          <c:showLegendKey val="0"/>
          <c:showVal val="0"/>
          <c:showCatName val="0"/>
          <c:showSerName val="0"/>
          <c:showPercent val="0"/>
          <c:showBubbleSize val="0"/>
        </c:dLbls>
        <c:gapWidth val="219"/>
        <c:overlap val="-27"/>
        <c:axId val="2117575280"/>
        <c:axId val="2117588720"/>
      </c:barChart>
      <c:catAx>
        <c:axId val="211757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88720"/>
        <c:crosses val="autoZero"/>
        <c:auto val="1"/>
        <c:lblAlgn val="ctr"/>
        <c:lblOffset val="100"/>
        <c:noMultiLvlLbl val="0"/>
      </c:catAx>
      <c:valAx>
        <c:axId val="211758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7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Sheet2!$P$37</c:f>
              <c:strCache>
                <c:ptCount val="1"/>
                <c:pt idx="0">
                  <c:v>Total</c:v>
                </c:pt>
              </c:strCache>
            </c:strRef>
          </c:tx>
          <c:spPr>
            <a:solidFill>
              <a:schemeClr val="accent1"/>
            </a:solidFill>
            <a:ln>
              <a:noFill/>
            </a:ln>
            <a:effectLst/>
          </c:spPr>
          <c:invertIfNegative val="0"/>
          <c:cat>
            <c:strRef>
              <c:f>Sheet2!$O$38:$O$48</c:f>
              <c:strCache>
                <c:ptCount val="10"/>
                <c:pt idx="0">
                  <c:v>Salsa Maharani</c:v>
                </c:pt>
                <c:pt idx="1">
                  <c:v>Qonaah Firmansyah</c:v>
                </c:pt>
                <c:pt idx="2">
                  <c:v>Candra Wijaya</c:v>
                </c:pt>
                <c:pt idx="3">
                  <c:v>Xena Iskandar</c:v>
                </c:pt>
                <c:pt idx="4">
                  <c:v>Ulfa Ramadhan</c:v>
                </c:pt>
                <c:pt idx="5">
                  <c:v>Oki Lestari</c:v>
                </c:pt>
                <c:pt idx="6">
                  <c:v>Tono Wirawan</c:v>
                </c:pt>
                <c:pt idx="7">
                  <c:v>Jasmine Permata</c:v>
                </c:pt>
                <c:pt idx="8">
                  <c:v>Hana Permata</c:v>
                </c:pt>
                <c:pt idx="9">
                  <c:v>Ulfa Prasetyo</c:v>
                </c:pt>
              </c:strCache>
            </c:strRef>
          </c:cat>
          <c:val>
            <c:numRef>
              <c:f>Sheet2!$P$38:$P$48</c:f>
              <c:numCache>
                <c:formatCode>General</c:formatCode>
                <c:ptCount val="10"/>
                <c:pt idx="0">
                  <c:v>615650</c:v>
                </c:pt>
                <c:pt idx="1">
                  <c:v>619800</c:v>
                </c:pt>
                <c:pt idx="2">
                  <c:v>655800</c:v>
                </c:pt>
                <c:pt idx="3">
                  <c:v>671700</c:v>
                </c:pt>
                <c:pt idx="4">
                  <c:v>692550</c:v>
                </c:pt>
                <c:pt idx="5">
                  <c:v>722000</c:v>
                </c:pt>
                <c:pt idx="6">
                  <c:v>752400</c:v>
                </c:pt>
                <c:pt idx="7">
                  <c:v>756650</c:v>
                </c:pt>
                <c:pt idx="8">
                  <c:v>804200</c:v>
                </c:pt>
                <c:pt idx="9">
                  <c:v>879000</c:v>
                </c:pt>
              </c:numCache>
            </c:numRef>
          </c:val>
          <c:extLst>
            <c:ext xmlns:c16="http://schemas.microsoft.com/office/drawing/2014/chart" uri="{C3380CC4-5D6E-409C-BE32-E72D297353CC}">
              <c16:uniqueId val="{00000000-1F47-4C84-B4BA-163C8DD085DD}"/>
            </c:ext>
          </c:extLst>
        </c:ser>
        <c:dLbls>
          <c:showLegendKey val="0"/>
          <c:showVal val="0"/>
          <c:showCatName val="0"/>
          <c:showSerName val="0"/>
          <c:showPercent val="0"/>
          <c:showBubbleSize val="0"/>
        </c:dLbls>
        <c:gapWidth val="182"/>
        <c:axId val="2117591600"/>
        <c:axId val="2117602160"/>
      </c:barChart>
      <c:catAx>
        <c:axId val="211759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02160"/>
        <c:crosses val="autoZero"/>
        <c:auto val="1"/>
        <c:lblAlgn val="ctr"/>
        <c:lblOffset val="100"/>
        <c:noMultiLvlLbl val="0"/>
      </c:catAx>
      <c:valAx>
        <c:axId val="2117602160"/>
        <c:scaling>
          <c:orientation val="minMax"/>
          <c:max val="9000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[DatasetKopidularya.xlsx]Sheet2!PivotTable1</c:name>
    <c:fmtId val="3"/>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a:solidFill>
                  <a:sysClr val="windowText" lastClr="000000"/>
                </a:solidFill>
              </a:rPr>
              <a:t>Rata Rata Penjualan per Kategori Menu</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Sheet2!$B$3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DD8-45BE-8F2D-267AE8E197D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DD8-45BE-8F2D-267AE8E197D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DD8-45BE-8F2D-267AE8E197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Sheet2!$A$4:$A$7</c:f>
              <c:strCache>
                <c:ptCount val="3"/>
                <c:pt idx="0">
                  <c:v>Kopi</c:v>
                </c:pt>
                <c:pt idx="1">
                  <c:v>Makanan</c:v>
                </c:pt>
                <c:pt idx="2">
                  <c:v>Non-Kopi</c:v>
                </c:pt>
              </c:strCache>
            </c:strRef>
          </c:cat>
          <c:val>
            <c:numRef>
              <c:f>Sheet2!$B$4:$B$7</c:f>
              <c:numCache>
                <c:formatCode>General</c:formatCode>
                <c:ptCount val="3"/>
                <c:pt idx="0">
                  <c:v>398</c:v>
                </c:pt>
                <c:pt idx="1">
                  <c:v>392</c:v>
                </c:pt>
                <c:pt idx="2">
                  <c:v>210</c:v>
                </c:pt>
              </c:numCache>
            </c:numRef>
          </c:val>
          <c:extLst>
            <c:ext xmlns:c16="http://schemas.microsoft.com/office/drawing/2014/chart" uri="{C3380CC4-5D6E-409C-BE32-E72D297353CC}">
              <c16:uniqueId val="{00000006-EDD8-45BE-8F2D-267AE8E197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[DatasetKopidularya.xlsx]Sheet2!PivotTable6</c:name>
    <c:fmtId val="3"/>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a:solidFill>
                  <a:sysClr val="windowText" lastClr="000000"/>
                </a:solidFill>
              </a:rPr>
              <a:t>Rata Rata Transaksi per Metode Pembayaran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Sheet2!$D$13</c:f>
              <c:strCache>
                <c:ptCount val="1"/>
                <c:pt idx="0">
                  <c:v>Total</c:v>
                </c:pt>
              </c:strCache>
            </c:strRef>
          </c:tx>
          <c:spPr>
            <a:solidFill>
              <a:schemeClr val="accent3">
                <a:lumMod val="40000"/>
                <a:lumOff val="60000"/>
              </a:schemeClr>
            </a:solidFill>
            <a:ln>
              <a:noFill/>
            </a:ln>
            <a:effectLst>
              <a:innerShdw blurRad="114300">
                <a:schemeClr val="accent1"/>
              </a:innerShdw>
            </a:effectLst>
          </c:spPr>
          <c:invertIfNegative val="0"/>
          <c:cat>
            <c:strRef>
              <c:f>Sheet2!$C$14:$C$18</c:f>
              <c:strCache>
                <c:ptCount val="4"/>
                <c:pt idx="0">
                  <c:v>Cash</c:v>
                </c:pt>
                <c:pt idx="1">
                  <c:v>Transfer</c:v>
                </c:pt>
                <c:pt idx="2">
                  <c:v>Kartu Kredit</c:v>
                </c:pt>
                <c:pt idx="3">
                  <c:v>QRIS</c:v>
                </c:pt>
              </c:strCache>
            </c:strRef>
          </c:cat>
          <c:val>
            <c:numRef>
              <c:f>Sheet2!$D$14:$D$18</c:f>
              <c:numCache>
                <c:formatCode>General</c:formatCode>
                <c:ptCount val="4"/>
                <c:pt idx="0">
                  <c:v>243</c:v>
                </c:pt>
                <c:pt idx="1">
                  <c:v>247</c:v>
                </c:pt>
                <c:pt idx="2">
                  <c:v>251</c:v>
                </c:pt>
                <c:pt idx="3">
                  <c:v>259</c:v>
                </c:pt>
              </c:numCache>
            </c:numRef>
          </c:val>
          <c:extLst>
            <c:ext xmlns:c16="http://schemas.microsoft.com/office/drawing/2014/chart" uri="{C3380CC4-5D6E-409C-BE32-E72D297353CC}">
              <c16:uniqueId val="{00000002-94F4-43ED-895C-5CDB395E2C12}"/>
            </c:ext>
          </c:extLst>
        </c:ser>
        <c:dLbls>
          <c:showLegendKey val="0"/>
          <c:showVal val="0"/>
          <c:showCatName val="0"/>
          <c:showSerName val="0"/>
          <c:showPercent val="0"/>
          <c:showBubbleSize val="0"/>
        </c:dLbls>
        <c:gapWidth val="164"/>
        <c:overlap val="-22"/>
        <c:axId val="2117575280"/>
        <c:axId val="2117588720"/>
      </c:barChart>
      <c:catAx>
        <c:axId val="21175752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588720"/>
        <c:crosses val="autoZero"/>
        <c:auto val="1"/>
        <c:lblAlgn val="ctr"/>
        <c:lblOffset val="100"/>
        <c:noMultiLvlLbl val="0"/>
      </c:catAx>
      <c:valAx>
        <c:axId val="211758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57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[DatasetKopidularya.xlsx]Sheet2!PivotTable8</c:name>
    <c:fmtId val="4"/>
  </c:pivotSource>
  <c:chart>
    <c:title>
      <c:tx>
        <c:rich>
          <a:bodyPr rot="0" spcFirstLastPara="1" vertOverflow="ellipsis" vert="horz" wrap="square" anchor="ctr" anchorCtr="1"/>
          <a:lstStyle/>
          <a:p>
            <a:pPr>
              <a:defRPr sz="1600" b="0" i="0" u="none" strike="noStrike" kern="1200" cap="none" spc="20" baseline="0">
                <a:solidFill>
                  <a:sysClr val="windowText" lastClr="000000"/>
                </a:solidFill>
                <a:latin typeface="+mn-lt"/>
                <a:ea typeface="+mn-ea"/>
                <a:cs typeface="+mn-cs"/>
              </a:defRPr>
            </a:pPr>
            <a:r>
              <a:rPr lang="en-US" sz="1600">
                <a:solidFill>
                  <a:sysClr val="windowText" lastClr="000000"/>
                </a:solidFill>
              </a:rPr>
              <a:t>Top</a:t>
            </a:r>
            <a:r>
              <a:rPr lang="en-US" sz="1600" baseline="0">
                <a:solidFill>
                  <a:sysClr val="windowText" lastClr="000000"/>
                </a:solidFill>
              </a:rPr>
              <a:t> 10 Spender</a:t>
            </a:r>
            <a:endParaRPr lang="en-US" sz="1600">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Sheet2!$P$37</c:f>
              <c:strCache>
                <c:ptCount val="1"/>
                <c:pt idx="0">
                  <c:v>Total</c:v>
                </c:pt>
              </c:strCache>
            </c:strRef>
          </c:tx>
          <c:spPr>
            <a:solidFill>
              <a:schemeClr val="accent3">
                <a:lumMod val="40000"/>
                <a:lumOff val="60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Sheet2!$O$38:$O$48</c:f>
              <c:strCache>
                <c:ptCount val="10"/>
                <c:pt idx="0">
                  <c:v>Salsa Maharani</c:v>
                </c:pt>
                <c:pt idx="1">
                  <c:v>Qonaah Firmansyah</c:v>
                </c:pt>
                <c:pt idx="2">
                  <c:v>Candra Wijaya</c:v>
                </c:pt>
                <c:pt idx="3">
                  <c:v>Xena Iskandar</c:v>
                </c:pt>
                <c:pt idx="4">
                  <c:v>Ulfa Ramadhan</c:v>
                </c:pt>
                <c:pt idx="5">
                  <c:v>Oki Lestari</c:v>
                </c:pt>
                <c:pt idx="6">
                  <c:v>Tono Wirawan</c:v>
                </c:pt>
                <c:pt idx="7">
                  <c:v>Jasmine Permata</c:v>
                </c:pt>
                <c:pt idx="8">
                  <c:v>Hana Permata</c:v>
                </c:pt>
                <c:pt idx="9">
                  <c:v>Ulfa Prasetyo</c:v>
                </c:pt>
              </c:strCache>
            </c:strRef>
          </c:cat>
          <c:val>
            <c:numRef>
              <c:f>Sheet2!$P$38:$P$48</c:f>
              <c:numCache>
                <c:formatCode>General</c:formatCode>
                <c:ptCount val="10"/>
                <c:pt idx="0">
                  <c:v>615650</c:v>
                </c:pt>
                <c:pt idx="1">
                  <c:v>619800</c:v>
                </c:pt>
                <c:pt idx="2">
                  <c:v>655800</c:v>
                </c:pt>
                <c:pt idx="3">
                  <c:v>671700</c:v>
                </c:pt>
                <c:pt idx="4">
                  <c:v>692550</c:v>
                </c:pt>
                <c:pt idx="5">
                  <c:v>722000</c:v>
                </c:pt>
                <c:pt idx="6">
                  <c:v>752400</c:v>
                </c:pt>
                <c:pt idx="7">
                  <c:v>756650</c:v>
                </c:pt>
                <c:pt idx="8">
                  <c:v>804200</c:v>
                </c:pt>
                <c:pt idx="9">
                  <c:v>879000</c:v>
                </c:pt>
              </c:numCache>
            </c:numRef>
          </c:val>
          <c:extLst>
            <c:ext xmlns:c16="http://schemas.microsoft.com/office/drawing/2014/chart" uri="{C3380CC4-5D6E-409C-BE32-E72D297353CC}">
              <c16:uniqueId val="{00000000-1F94-4180-BDAF-F044C3FB8C36}"/>
            </c:ext>
          </c:extLst>
        </c:ser>
        <c:dLbls>
          <c:showLegendKey val="0"/>
          <c:showVal val="0"/>
          <c:showCatName val="0"/>
          <c:showSerName val="0"/>
          <c:showPercent val="0"/>
          <c:showBubbleSize val="0"/>
        </c:dLbls>
        <c:gapWidth val="100"/>
        <c:axId val="2117591600"/>
        <c:axId val="2117602160"/>
      </c:barChart>
      <c:catAx>
        <c:axId val="211759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602160"/>
        <c:crosses val="autoZero"/>
        <c:auto val="1"/>
        <c:lblAlgn val="ctr"/>
        <c:lblOffset val="100"/>
        <c:noMultiLvlLbl val="0"/>
      </c:catAx>
      <c:valAx>
        <c:axId val="2117602160"/>
        <c:scaling>
          <c:orientation val="minMax"/>
          <c:max val="9000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5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[DatasetKopidularya.xlsx]Sheet2!PivotTable7</c:name>
    <c:fmtId val="5"/>
  </c:pivotSource>
  <c:chart>
    <c:title>
      <c:tx>
        <c:rich>
          <a:bodyPr rot="0" spcFirstLastPara="1" vertOverflow="ellipsis" vert="horz" wrap="square" anchor="ctr" anchorCtr="1"/>
          <a:lstStyle/>
          <a:p>
            <a:pPr>
              <a:defRPr sz="2000" b="0" i="0" u="none" strike="noStrike" kern="1200" cap="none" spc="0" normalizeH="0" baseline="0">
                <a:solidFill>
                  <a:sysClr val="windowText" lastClr="000000"/>
                </a:solidFill>
                <a:latin typeface="+mj-lt"/>
                <a:ea typeface="+mj-ea"/>
                <a:cs typeface="+mj-cs"/>
              </a:defRPr>
            </a:pPr>
            <a:r>
              <a:rPr lang="en-US">
                <a:solidFill>
                  <a:sysClr val="windowText" lastClr="000000"/>
                </a:solidFill>
              </a:rPr>
              <a:t>Rata Rata Rating per Cabang</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Sheet2!$H$37</c:f>
              <c:strCache>
                <c:ptCount val="1"/>
                <c:pt idx="0">
                  <c:v>Total</c:v>
                </c:pt>
              </c:strCache>
            </c:strRef>
          </c:tx>
          <c:spPr>
            <a:solidFill>
              <a:schemeClr val="accent3">
                <a:lumMod val="40000"/>
                <a:lumOff val="60000"/>
              </a:schemeClr>
            </a:solidFill>
            <a:ln>
              <a:noFill/>
            </a:ln>
            <a:effectLst/>
          </c:spPr>
          <c:invertIfNegative val="0"/>
          <c:cat>
            <c:strRef>
              <c:f>Sheet2!$G$38:$G$43</c:f>
              <c:strCache>
                <c:ptCount val="5"/>
                <c:pt idx="0">
                  <c:v>Kedai Kopi Losari</c:v>
                </c:pt>
                <c:pt idx="1">
                  <c:v>Kedai Kopi Senayan</c:v>
                </c:pt>
                <c:pt idx="2">
                  <c:v>Kedai Kopi Merdeka</c:v>
                </c:pt>
                <c:pt idx="3">
                  <c:v>Kedai Kopi Dago</c:v>
                </c:pt>
                <c:pt idx="4">
                  <c:v>Kedai Kopi Tunjungan</c:v>
                </c:pt>
              </c:strCache>
            </c:strRef>
          </c:cat>
          <c:val>
            <c:numRef>
              <c:f>Sheet2!$H$38:$H$43</c:f>
              <c:numCache>
                <c:formatCode>General</c:formatCode>
                <c:ptCount val="5"/>
                <c:pt idx="0">
                  <c:v>2.8453201970443347</c:v>
                </c:pt>
                <c:pt idx="1">
                  <c:v>2.9731707317073188</c:v>
                </c:pt>
                <c:pt idx="2">
                  <c:v>2.9849246231155768</c:v>
                </c:pt>
                <c:pt idx="3">
                  <c:v>2.9999999999999996</c:v>
                </c:pt>
                <c:pt idx="4">
                  <c:v>3.0114285714285711</c:v>
                </c:pt>
              </c:numCache>
            </c:numRef>
          </c:val>
          <c:extLst>
            <c:ext xmlns:c16="http://schemas.microsoft.com/office/drawing/2014/chart" uri="{C3380CC4-5D6E-409C-BE32-E72D297353CC}">
              <c16:uniqueId val="{00000000-7072-45D0-9821-05DC076638C5}"/>
            </c:ext>
          </c:extLst>
        </c:ser>
        <c:dLbls>
          <c:showLegendKey val="0"/>
          <c:showVal val="0"/>
          <c:showCatName val="0"/>
          <c:showSerName val="0"/>
          <c:showPercent val="0"/>
          <c:showBubbleSize val="0"/>
        </c:dLbls>
        <c:gapWidth val="199"/>
        <c:axId val="2117575280"/>
        <c:axId val="2117588720"/>
      </c:barChart>
      <c:catAx>
        <c:axId val="211757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n-US"/>
          </a:p>
        </c:txPr>
        <c:crossAx val="2117588720"/>
        <c:crosses val="autoZero"/>
        <c:auto val="1"/>
        <c:lblAlgn val="ctr"/>
        <c:lblOffset val="100"/>
        <c:noMultiLvlLbl val="0"/>
      </c:catAx>
      <c:valAx>
        <c:axId val="21175887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57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[DatasetKopidularya.xlsx]Sheet2!PivotTable3</c:name>
    <c:fmtId val="3"/>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a:solidFill>
                  <a:sysClr val="windowText" lastClr="000000"/>
                </a:solidFill>
              </a:rPr>
              <a:t>Total Penjualan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Sheet2!$E$4</c:f>
              <c:strCache>
                <c:ptCount val="1"/>
                <c:pt idx="0">
                  <c:v>Total</c:v>
                </c:pt>
              </c:strCache>
            </c:strRef>
          </c:tx>
          <c:spPr>
            <a:solidFill>
              <a:schemeClr val="accent3">
                <a:lumMod val="40000"/>
                <a:lumOff val="60000"/>
              </a:schemeClr>
            </a:solidFill>
            <a:ln>
              <a:noFill/>
            </a:ln>
            <a:effectLst>
              <a:innerShdw blurRad="114300">
                <a:schemeClr val="accent1"/>
              </a:innerShdw>
            </a:effectLst>
          </c:spPr>
          <c:invertIfNegative val="0"/>
          <c:cat>
            <c:strRef>
              <c:f>Sheet2!$D$5:$D$10</c:f>
              <c:strCache>
                <c:ptCount val="5"/>
                <c:pt idx="0">
                  <c:v>Kedai Kopi Dago</c:v>
                </c:pt>
                <c:pt idx="1">
                  <c:v>Kedai Kopi Losari</c:v>
                </c:pt>
                <c:pt idx="2">
                  <c:v>Kedai Kopi Merdeka</c:v>
                </c:pt>
                <c:pt idx="3">
                  <c:v>Kedai Kopi Tunjungan</c:v>
                </c:pt>
                <c:pt idx="4">
                  <c:v>Kedai Kopi Senayan</c:v>
                </c:pt>
              </c:strCache>
            </c:strRef>
          </c:cat>
          <c:val>
            <c:numRef>
              <c:f>Sheet2!$E$5:$E$10</c:f>
              <c:numCache>
                <c:formatCode>General</c:formatCode>
                <c:ptCount val="5"/>
                <c:pt idx="0">
                  <c:v>13168100</c:v>
                </c:pt>
                <c:pt idx="1">
                  <c:v>13505350</c:v>
                </c:pt>
                <c:pt idx="2">
                  <c:v>13698050</c:v>
                </c:pt>
                <c:pt idx="3">
                  <c:v>13992400</c:v>
                </c:pt>
                <c:pt idx="4">
                  <c:v>14272350</c:v>
                </c:pt>
              </c:numCache>
            </c:numRef>
          </c:val>
          <c:extLst>
            <c:ext xmlns:c16="http://schemas.microsoft.com/office/drawing/2014/chart" uri="{C3380CC4-5D6E-409C-BE32-E72D297353CC}">
              <c16:uniqueId val="{00000000-8A81-42BB-A119-CA5FE2CC1CE9}"/>
            </c:ext>
          </c:extLst>
        </c:ser>
        <c:dLbls>
          <c:showLegendKey val="0"/>
          <c:showVal val="0"/>
          <c:showCatName val="0"/>
          <c:showSerName val="0"/>
          <c:showPercent val="0"/>
          <c:showBubbleSize val="0"/>
        </c:dLbls>
        <c:gapWidth val="164"/>
        <c:overlap val="-22"/>
        <c:axId val="1957567168"/>
        <c:axId val="1957568608"/>
      </c:barChart>
      <c:catAx>
        <c:axId val="19575671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57568608"/>
        <c:crosses val="autoZero"/>
        <c:auto val="1"/>
        <c:lblAlgn val="ctr"/>
        <c:lblOffset val="100"/>
        <c:noMultiLvlLbl val="0"/>
      </c:catAx>
      <c:valAx>
        <c:axId val="1957568608"/>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575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[DatasetKopidularya.xlsx]Sheet2!PivotTable4</c:name>
    <c:fmtId val="3"/>
  </c:pivotSource>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solidFill>
                  <a:sysClr val="windowText" lastClr="000000"/>
                </a:solidFill>
              </a:rPr>
              <a:t>Total Penjualan Bulanan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3">
                <a:lumMod val="40000"/>
                <a:lumOff val="6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3">
                  <a:lumMod val="40000"/>
                  <a:lumOff val="60000"/>
                </a:schemeClr>
              </a:solidFill>
              <a:ln w="22225">
                <a:solidFill>
                  <a:schemeClr val="lt1"/>
                </a:solidFill>
                <a:round/>
              </a:ln>
              <a:effectLst/>
            </c:spPr>
          </c:marker>
          <c:cat>
            <c:strRef>
              <c:f>Sheet2!$M$7:$M$19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Sheet2!$N$7:$N$19</c:f>
              <c:numCache>
                <c:formatCode>General</c:formatCode>
                <c:ptCount val="12"/>
                <c:pt idx="0">
                  <c:v>6062550</c:v>
                </c:pt>
                <c:pt idx="1">
                  <c:v>6476600</c:v>
                </c:pt>
                <c:pt idx="2">
                  <c:v>5399250</c:v>
                </c:pt>
                <c:pt idx="3">
                  <c:v>6038750</c:v>
                </c:pt>
                <c:pt idx="4">
                  <c:v>5932700</c:v>
                </c:pt>
                <c:pt idx="5">
                  <c:v>5918500</c:v>
                </c:pt>
                <c:pt idx="6">
                  <c:v>4557500</c:v>
                </c:pt>
                <c:pt idx="7">
                  <c:v>5840800</c:v>
                </c:pt>
                <c:pt idx="8">
                  <c:v>5825350</c:v>
                </c:pt>
                <c:pt idx="9">
                  <c:v>6705450</c:v>
                </c:pt>
                <c:pt idx="10">
                  <c:v>5342950</c:v>
                </c:pt>
                <c:pt idx="11">
                  <c:v>4535850</c:v>
                </c:pt>
              </c:numCache>
            </c:numRef>
          </c:val>
          <c:smooth val="0"/>
          <c:extLst>
            <c:ext xmlns:c16="http://schemas.microsoft.com/office/drawing/2014/chart" uri="{C3380CC4-5D6E-409C-BE32-E72D297353CC}">
              <c16:uniqueId val="{00000000-D078-4238-B6D1-DB4C854E4A2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17557520"/>
        <c:axId val="2117555600"/>
      </c:lineChart>
      <c:catAx>
        <c:axId val="21175575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2117555600"/>
        <c:crosses val="autoZero"/>
        <c:auto val="1"/>
        <c:lblAlgn val="ctr"/>
        <c:lblOffset val="100"/>
        <c:noMultiLvlLbl val="0"/>
      </c:catAx>
      <c:valAx>
        <c:axId val="2117555600"/>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5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238125</xdr:colOff>
      <xdr:row>4</xdr:row>
      <xdr:rowOff>52387</xdr:rowOff>
    </xdr:from>
    <xdr:to>
      <xdr:col>11</xdr:col>
      <xdr:colOff>180975</xdr:colOff>
      <xdr:row>18</xdr:row>
      <xdr:rowOff>128587</xdr:rowOff>
    </xdr:to>
    <xdr:graphicFrame macro="">
      <xdr:nvGraphicFramePr>
        <xdr:cNvPr id="2" name="Chart 1">
          <a:extLst>
            <a:ext uri="{FF2B5EF4-FFF2-40B4-BE49-F238E27FC236}">
              <a16:creationId xmlns:a16="http://schemas.microsoft.com/office/drawing/2014/main" id="{49A1F27E-24EC-BF99-62B9-F39DCA775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971550</xdr:colOff>
      <xdr:row>35</xdr:row>
      <xdr:rowOff>152400</xdr:rowOff>
    </xdr:from>
    <xdr:to>
      <xdr:col>5</xdr:col>
      <xdr:colOff>276225</xdr:colOff>
      <xdr:row>49</xdr:row>
      <xdr:rowOff>9525</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14F37540-B3CB-6010-3212-C8668A207E3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191000" y="6819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1247775</xdr:colOff>
      <xdr:row>35</xdr:row>
      <xdr:rowOff>95250</xdr:rowOff>
    </xdr:from>
    <xdr:to>
      <xdr:col>3</xdr:col>
      <xdr:colOff>733425</xdr:colOff>
      <xdr:row>48</xdr:row>
      <xdr:rowOff>142875</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2767BC4C-3034-B0A7-2673-85D41923ED8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124075" y="676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19</xdr:row>
      <xdr:rowOff>61912</xdr:rowOff>
    </xdr:from>
    <xdr:to>
      <xdr:col>11</xdr:col>
      <xdr:colOff>171450</xdr:colOff>
      <xdr:row>33</xdr:row>
      <xdr:rowOff>138112</xdr:rowOff>
    </xdr:to>
    <xdr:graphicFrame macro="">
      <xdr:nvGraphicFramePr>
        <xdr:cNvPr id="5" name="Chart 4">
          <a:extLst>
            <a:ext uri="{FF2B5EF4-FFF2-40B4-BE49-F238E27FC236}">
              <a16:creationId xmlns:a16="http://schemas.microsoft.com/office/drawing/2014/main" id="{E25CE3AA-05A1-2EBE-FF3F-E0A069CCC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323850</xdr:colOff>
      <xdr:row>19</xdr:row>
      <xdr:rowOff>176212</xdr:rowOff>
    </xdr:from>
    <xdr:to>
      <xdr:col>15</xdr:col>
      <xdr:colOff>819150</xdr:colOff>
      <xdr:row>34</xdr:row>
      <xdr:rowOff>61912</xdr:rowOff>
    </xdr:to>
    <xdr:graphicFrame macro="">
      <xdr:nvGraphicFramePr>
        <xdr:cNvPr id="6" name="Chart 5">
          <a:extLst>
            <a:ext uri="{FF2B5EF4-FFF2-40B4-BE49-F238E27FC236}">
              <a16:creationId xmlns:a16="http://schemas.microsoft.com/office/drawing/2014/main" id="{6AD80D0C-5D7D-E66B-1CF7-A8CD895C5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xdr:colOff>
      <xdr:row>18</xdr:row>
      <xdr:rowOff>157162</xdr:rowOff>
    </xdr:from>
    <xdr:to>
      <xdr:col>5</xdr:col>
      <xdr:colOff>1133475</xdr:colOff>
      <xdr:row>33</xdr:row>
      <xdr:rowOff>42862</xdr:rowOff>
    </xdr:to>
    <xdr:graphicFrame macro="">
      <xdr:nvGraphicFramePr>
        <xdr:cNvPr id="7" name="Chart 6">
          <a:extLst>
            <a:ext uri="{FF2B5EF4-FFF2-40B4-BE49-F238E27FC236}">
              <a16:creationId xmlns:a16="http://schemas.microsoft.com/office/drawing/2014/main" id="{A28D2E9E-1F25-BFC8-FB0D-2633CD036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36</xdr:row>
      <xdr:rowOff>52387</xdr:rowOff>
    </xdr:from>
    <xdr:to>
      <xdr:col>13</xdr:col>
      <xdr:colOff>457200</xdr:colOff>
      <xdr:row>50</xdr:row>
      <xdr:rowOff>128587</xdr:rowOff>
    </xdr:to>
    <xdr:graphicFrame macro="">
      <xdr:nvGraphicFramePr>
        <xdr:cNvPr id="8" name="Chart 7">
          <a:extLst>
            <a:ext uri="{FF2B5EF4-FFF2-40B4-BE49-F238E27FC236}">
              <a16:creationId xmlns:a16="http://schemas.microsoft.com/office/drawing/2014/main" id="{C9CF424A-13E5-1FDB-44A3-250E41AF3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828675</xdr:colOff>
      <xdr:row>51</xdr:row>
      <xdr:rowOff>52387</xdr:rowOff>
    </xdr:from>
    <xdr:to>
      <xdr:col>15</xdr:col>
      <xdr:colOff>47626</xdr:colOff>
      <xdr:row>65</xdr:row>
      <xdr:rowOff>128587</xdr:rowOff>
    </xdr:to>
    <xdr:graphicFrame macro="">
      <xdr:nvGraphicFramePr>
        <xdr:cNvPr id="10" name="Chart 9">
          <a:extLst>
            <a:ext uri="{FF2B5EF4-FFF2-40B4-BE49-F238E27FC236}">
              <a16:creationId xmlns:a16="http://schemas.microsoft.com/office/drawing/2014/main" id="{51BA18CF-AA75-93C4-42A4-46BF9385D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552451</xdr:colOff>
      <xdr:row>0</xdr:row>
      <xdr:rowOff>0</xdr:rowOff>
    </xdr:from>
    <xdr:to>
      <xdr:col>16</xdr:col>
      <xdr:colOff>511969</xdr:colOff>
      <xdr:row>3</xdr:row>
      <xdr:rowOff>114300</xdr:rowOff>
    </xdr:to>
    <xdr:sp macro="" textlink="">
      <xdr:nvSpPr>
        <xdr:cNvPr id="3" name="Rectangle 2">
          <a:extLst>
            <a:ext uri="{FF2B5EF4-FFF2-40B4-BE49-F238E27FC236}">
              <a16:creationId xmlns:a16="http://schemas.microsoft.com/office/drawing/2014/main" id="{DA4E810D-147D-800A-0AB0-CDC46C2D9DD1}"/>
            </a:ext>
          </a:extLst>
        </xdr:cNvPr>
        <xdr:cNvSpPr/>
      </xdr:nvSpPr>
      <xdr:spPr>
        <a:xfrm>
          <a:off x="6588920" y="0"/>
          <a:ext cx="5424487" cy="685800"/>
        </a:xfrm>
        <a:prstGeom prst="rect">
          <a:avLst/>
        </a:prstGeom>
        <a:solidFill>
          <a:schemeClr val="tx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3200">
              <a:solidFill>
                <a:schemeClr val="bg1"/>
              </a:solidFill>
            </a:rPr>
            <a:t>Sales Report - Kedai Kopi </a:t>
          </a:r>
        </a:p>
      </xdr:txBody>
    </xdr:sp>
    <xdr:clientData/>
  </xdr:twoCellAnchor>
  <xdr:twoCellAnchor>
    <xdr:from>
      <xdr:col>0</xdr:col>
      <xdr:colOff>0</xdr:colOff>
      <xdr:row>16</xdr:row>
      <xdr:rowOff>183356</xdr:rowOff>
    </xdr:from>
    <xdr:to>
      <xdr:col>7</xdr:col>
      <xdr:colOff>171450</xdr:colOff>
      <xdr:row>31</xdr:row>
      <xdr:rowOff>69056</xdr:rowOff>
    </xdr:to>
    <xdr:graphicFrame macro="">
      <xdr:nvGraphicFramePr>
        <xdr:cNvPr id="5" name="Chart 4">
          <a:extLst>
            <a:ext uri="{FF2B5EF4-FFF2-40B4-BE49-F238E27FC236}">
              <a16:creationId xmlns:a16="http://schemas.microsoft.com/office/drawing/2014/main" id="{B3E9095B-B55D-4155-BA51-198507AE8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361950</xdr:colOff>
      <xdr:row>17</xdr:row>
      <xdr:rowOff>26194</xdr:rowOff>
    </xdr:from>
    <xdr:to>
      <xdr:col>16</xdr:col>
      <xdr:colOff>59531</xdr:colOff>
      <xdr:row>31</xdr:row>
      <xdr:rowOff>102394</xdr:rowOff>
    </xdr:to>
    <xdr:graphicFrame macro="">
      <xdr:nvGraphicFramePr>
        <xdr:cNvPr id="6" name="Chart 5">
          <a:extLst>
            <a:ext uri="{FF2B5EF4-FFF2-40B4-BE49-F238E27FC236}">
              <a16:creationId xmlns:a16="http://schemas.microsoft.com/office/drawing/2014/main" id="{61C460FB-0A31-4651-90B5-490C69D28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604838</xdr:colOff>
      <xdr:row>50</xdr:row>
      <xdr:rowOff>38100</xdr:rowOff>
    </xdr:from>
    <xdr:to>
      <xdr:col>17</xdr:col>
      <xdr:colOff>207169</xdr:colOff>
      <xdr:row>64</xdr:row>
      <xdr:rowOff>114300</xdr:rowOff>
    </xdr:to>
    <xdr:graphicFrame macro="">
      <xdr:nvGraphicFramePr>
        <xdr:cNvPr id="7" name="Chart 6">
          <a:extLst>
            <a:ext uri="{FF2B5EF4-FFF2-40B4-BE49-F238E27FC236}">
              <a16:creationId xmlns:a16="http://schemas.microsoft.com/office/drawing/2014/main" id="{B81F6F96-1646-4C70-9511-7C545CDB9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831056</xdr:colOff>
      <xdr:row>16</xdr:row>
      <xdr:rowOff>188120</xdr:rowOff>
    </xdr:from>
    <xdr:to>
      <xdr:col>22</xdr:col>
      <xdr:colOff>326231</xdr:colOff>
      <xdr:row>31</xdr:row>
      <xdr:rowOff>73820</xdr:rowOff>
    </xdr:to>
    <xdr:graphicFrame macro="">
      <xdr:nvGraphicFramePr>
        <xdr:cNvPr id="8" name="Chart 7">
          <a:extLst>
            <a:ext uri="{FF2B5EF4-FFF2-40B4-BE49-F238E27FC236}">
              <a16:creationId xmlns:a16="http://schemas.microsoft.com/office/drawing/2014/main" id="{08CD4D4D-3DAB-4A43-BA4D-2C9B2954A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240506</xdr:colOff>
      <xdr:row>33</xdr:row>
      <xdr:rowOff>38100</xdr:rowOff>
    </xdr:from>
    <xdr:to>
      <xdr:col>21</xdr:col>
      <xdr:colOff>285749</xdr:colOff>
      <xdr:row>47</xdr:row>
      <xdr:rowOff>114300</xdr:rowOff>
    </xdr:to>
    <xdr:graphicFrame macro="">
      <xdr:nvGraphicFramePr>
        <xdr:cNvPr id="9" name="Chart 8">
          <a:extLst>
            <a:ext uri="{FF2B5EF4-FFF2-40B4-BE49-F238E27FC236}">
              <a16:creationId xmlns:a16="http://schemas.microsoft.com/office/drawing/2014/main" id="{098EA522-3C8A-429D-94C5-AD53A3B00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1090612</xdr:colOff>
      <xdr:row>33</xdr:row>
      <xdr:rowOff>161927</xdr:rowOff>
    </xdr:from>
    <xdr:to>
      <xdr:col>8</xdr:col>
      <xdr:colOff>273843</xdr:colOff>
      <xdr:row>48</xdr:row>
      <xdr:rowOff>47627</xdr:rowOff>
    </xdr:to>
    <xdr:graphicFrame macro="">
      <xdr:nvGraphicFramePr>
        <xdr:cNvPr id="10" name="Chart 9">
          <a:extLst>
            <a:ext uri="{FF2B5EF4-FFF2-40B4-BE49-F238E27FC236}">
              <a16:creationId xmlns:a16="http://schemas.microsoft.com/office/drawing/2014/main" id="{7ED15B40-95D4-434C-8CE1-59C520D78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1964532</xdr:colOff>
      <xdr:row>2</xdr:row>
      <xdr:rowOff>95251</xdr:rowOff>
    </xdr:from>
    <xdr:to>
      <xdr:col>19</xdr:col>
      <xdr:colOff>554832</xdr:colOff>
      <xdr:row>13</xdr:row>
      <xdr:rowOff>59532</xdr:rowOff>
    </xdr:to>
    <mc:AlternateContent xmlns:mc="http://schemas.openxmlformats.org/markup-compatibility/2006" xmlns:a14="http://schemas.microsoft.com/office/drawing/2010/main">
      <mc:Choice Requires="a14">
        <xdr:graphicFrame macro="">
          <xdr:nvGraphicFramePr>
            <xdr:cNvPr id="12" name="Years (date) 1">
              <a:extLst>
                <a:ext uri="{FF2B5EF4-FFF2-40B4-BE49-F238E27FC236}">
                  <a16:creationId xmlns:a16="http://schemas.microsoft.com/office/drawing/2014/main" id="{55809567-E138-4409-BF6D-2CF4486A0524}"/>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3465970" y="47625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130971</xdr:colOff>
      <xdr:row>2</xdr:row>
      <xdr:rowOff>107157</xdr:rowOff>
    </xdr:from>
    <xdr:to>
      <xdr:col>23</xdr:col>
      <xdr:colOff>138114</xdr:colOff>
      <xdr:row>13</xdr:row>
      <xdr:rowOff>71438</xdr:rowOff>
    </xdr:to>
    <mc:AlternateContent xmlns:mc="http://schemas.openxmlformats.org/markup-compatibility/2006" xmlns:a14="http://schemas.microsoft.com/office/drawing/2010/main">
      <mc:Choice Requires="a14">
        <xdr:graphicFrame macro="">
          <xdr:nvGraphicFramePr>
            <xdr:cNvPr id="13" name="Months (date) 1">
              <a:extLst>
                <a:ext uri="{FF2B5EF4-FFF2-40B4-BE49-F238E27FC236}">
                  <a16:creationId xmlns:a16="http://schemas.microsoft.com/office/drawing/2014/main" id="{67928297-789C-4F83-B1D0-DFC23F8861B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5478127" y="48815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PKDJSDG" refreshedDate="46232.332778124997" createdVersion="8" refreshedVersion="8" minRefreshableVersion="3" recordCount="1000" xr:uid="{77AF964F-9A1E-4381-9117-8B1206A1321F}">
  <cacheSource type="worksheet">
    <worksheetSource name="Table1"/>
  </cacheSource>
  <cacheFields count="23">
    <cacheField name="id_transaction" numFmtId="0">
      <sharedItems/>
    </cacheField>
    <cacheField name="id_date" numFmtId="0">
      <sharedItems/>
    </cacheField>
    <cacheField name="date" numFmtId="164">
      <sharedItems containsSemiMixedTypes="0" containsNonDate="0" containsDate="1" containsString="0" minDate="2024-01-01T00:00:00" maxDate="2025-12-31T00:00:00" count="544">
        <d v="2024-01-01T00:00:00"/>
        <d v="2024-01-02T00:00:00"/>
        <d v="2024-01-03T00:00:00"/>
        <d v="2024-01-04T00:00:00"/>
        <d v="2024-01-05T00:00:00"/>
        <d v="2024-01-06T00:00:00"/>
        <d v="2024-01-07T00:00:00"/>
        <d v="2024-01-08T00:00:00"/>
        <d v="2024-01-09T00:00:00"/>
        <d v="2024-01-10T00:00:00"/>
        <d v="2024-01-11T00:00:00"/>
        <d v="2024-01-12T00:00:00"/>
        <d v="2024-01-13T00:00:00"/>
        <d v="2024-01-15T00:00:00"/>
        <d v="2024-01-16T00:00:00"/>
        <d v="2024-01-17T00:00:00"/>
        <d v="2024-01-18T00:00:00"/>
        <d v="2024-01-19T00:00:00"/>
        <d v="2024-01-20T00:00:00"/>
        <d v="2024-01-22T00:00:00"/>
        <d v="2024-01-23T00:00:00"/>
        <d v="2024-01-25T00:00:00"/>
        <d v="2024-01-26T00:00:00"/>
        <d v="2024-01-27T00:00:00"/>
        <d v="2024-01-28T00:00:00"/>
        <d v="2024-01-29T00:00:00"/>
        <d v="2024-02-01T00:00:00"/>
        <d v="2024-02-02T00:00:00"/>
        <d v="2024-02-03T00:00:00"/>
        <d v="2024-02-04T00:00:00"/>
        <d v="2024-02-05T00:00:00"/>
        <d v="2024-02-06T00:00:00"/>
        <d v="2024-02-07T00:00:00"/>
        <d v="2024-02-08T00:00:00"/>
        <d v="2024-02-09T00:00:00"/>
        <d v="2024-02-10T00:00:00"/>
        <d v="2024-02-11T00:00:00"/>
        <d v="2024-02-12T00:00:00"/>
        <d v="2024-02-15T00:00:00"/>
        <d v="2024-02-16T00:00:00"/>
        <d v="2024-02-17T00:00:00"/>
        <d v="2024-02-18T00:00:00"/>
        <d v="2024-02-20T00:00:00"/>
        <d v="2024-02-22T00:00:00"/>
        <d v="2024-02-23T00:00:00"/>
        <d v="2024-02-24T00:00:00"/>
        <d v="2024-02-25T00:00:00"/>
        <d v="2024-02-27T00:00:00"/>
        <d v="2024-03-01T00:00:00"/>
        <d v="2024-03-02T00:00:00"/>
        <d v="2024-03-03T00:00:00"/>
        <d v="2024-03-05T00:00:00"/>
        <d v="2024-03-07T00:00:00"/>
        <d v="2024-03-09T00:00:00"/>
        <d v="2024-03-10T00:00:00"/>
        <d v="2024-03-12T00:00:00"/>
        <d v="2024-03-13T00:00:00"/>
        <d v="2024-03-14T00:00:00"/>
        <d v="2024-03-15T00:00:00"/>
        <d v="2024-03-16T00:00:00"/>
        <d v="2024-03-18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2T00:00:00"/>
        <d v="2024-04-13T00:00:00"/>
        <d v="2024-04-14T00:00:00"/>
        <d v="2024-04-15T00:00:00"/>
        <d v="2024-04-16T00:00:00"/>
        <d v="2024-04-18T00:00:00"/>
        <d v="2024-04-20T00:00:00"/>
        <d v="2024-04-21T00:00:00"/>
        <d v="2024-04-22T00:00:00"/>
        <d v="2024-04-23T00:00:00"/>
        <d v="2024-04-24T00:00:00"/>
        <d v="2024-04-25T00:00:00"/>
        <d v="2024-04-26T00:00:00"/>
        <d v="2024-04-27T00:00:00"/>
        <d v="2024-04-28T00:00:00"/>
        <d v="2024-04-29T00:00:00"/>
        <d v="2024-04-30T00:00:00"/>
        <d v="2024-05-01T00:00:00"/>
        <d v="2024-05-04T00:00:00"/>
        <d v="2024-05-05T00:00:00"/>
        <d v="2024-05-06T00:00:00"/>
        <d v="2024-05-07T00:00:00"/>
        <d v="2024-05-09T00:00:00"/>
        <d v="2024-05-10T00:00:00"/>
        <d v="2024-05-11T00:00:00"/>
        <d v="2024-05-12T00:00:00"/>
        <d v="2024-05-13T00:00:00"/>
        <d v="2024-05-14T00:00:00"/>
        <d v="2024-05-16T00:00:00"/>
        <d v="2024-05-17T00:00:00"/>
        <d v="2024-05-18T00:00:00"/>
        <d v="2024-05-19T00:00:00"/>
        <d v="2024-05-20T00:00:00"/>
        <d v="2024-05-22T00:00:00"/>
        <d v="2024-05-23T00:00:00"/>
        <d v="2024-05-24T00:00:00"/>
        <d v="2024-05-25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3T00:00:00"/>
        <d v="2024-06-14T00:00:00"/>
        <d v="2024-06-15T00:00:00"/>
        <d v="2024-06-16T00:00:00"/>
        <d v="2024-06-18T00:00:00"/>
        <d v="2024-06-20T00:00:00"/>
        <d v="2024-06-21T00:00:00"/>
        <d v="2024-06-22T00:00:00"/>
        <d v="2024-06-23T00:00:00"/>
        <d v="2024-06-24T00:00:00"/>
        <d v="2024-06-25T00:00:00"/>
        <d v="2024-06-26T00:00:00"/>
        <d v="2024-06-27T00:00:00"/>
        <d v="2024-06-28T00:00:00"/>
        <d v="2024-06-29T00:00:00"/>
        <d v="2024-06-30T00:00:00"/>
        <d v="2024-07-01T00:00:00"/>
        <d v="2024-07-02T00:00:00"/>
        <d v="2024-07-04T00:00:00"/>
        <d v="2024-07-07T00:00:00"/>
        <d v="2024-07-08T00:00:00"/>
        <d v="2024-07-09T00:00:00"/>
        <d v="2024-07-10T00:00:00"/>
        <d v="2024-07-12T00:00:00"/>
        <d v="2024-07-13T00:00:00"/>
        <d v="2024-07-14T00:00:00"/>
        <d v="2024-07-16T00:00:00"/>
        <d v="2024-07-19T00:00:00"/>
        <d v="2024-07-20T00:00:00"/>
        <d v="2024-07-21T00:00:00"/>
        <d v="2024-07-22T00:00:00"/>
        <d v="2024-07-23T00:00:00"/>
        <d v="2024-07-25T00:00:00"/>
        <d v="2024-07-26T00:00:00"/>
        <d v="2024-07-28T00:00:00"/>
        <d v="2024-07-30T00:00:00"/>
        <d v="2024-07-31T00:00:00"/>
        <d v="2024-08-01T00:00:00"/>
        <d v="2024-08-02T00:00:00"/>
        <d v="2024-08-03T00:00:00"/>
        <d v="2024-08-04T00:00:00"/>
        <d v="2024-08-05T00:00:00"/>
        <d v="2024-08-07T00:00:00"/>
        <d v="2024-08-09T00:00:00"/>
        <d v="2024-08-10T00:00:00"/>
        <d v="2024-08-11T00:00:00"/>
        <d v="2024-08-12T00:00:00"/>
        <d v="2024-08-13T00:00:00"/>
        <d v="2024-08-14T00:00:00"/>
        <d v="2024-08-15T00:00:00"/>
        <d v="2024-08-16T00:00:00"/>
        <d v="2024-08-17T00:00:00"/>
        <d v="2024-08-18T00:00:00"/>
        <d v="2024-08-20T00:00:00"/>
        <d v="2024-08-22T00:00:00"/>
        <d v="2024-08-23T00:00:00"/>
        <d v="2024-08-24T00:00:00"/>
        <d v="2024-08-26T00:00:00"/>
        <d v="2024-08-29T00:00:00"/>
        <d v="2024-08-30T00:00:00"/>
        <d v="2024-08-31T00:00:00"/>
        <d v="2024-09-02T00:00:00"/>
        <d v="2024-09-03T00:00:00"/>
        <d v="2024-09-05T00:00:00"/>
        <d v="2024-09-06T00:00:00"/>
        <d v="2024-09-07T00:00:00"/>
        <d v="2024-09-08T00:00:00"/>
        <d v="2024-09-09T00:00:00"/>
        <d v="2024-09-10T00:00:00"/>
        <d v="2024-09-12T00:00:00"/>
        <d v="2024-09-13T00:00:00"/>
        <d v="2024-09-14T00:00:00"/>
        <d v="2024-09-15T00:00:00"/>
        <d v="2024-09-17T00:00:00"/>
        <d v="2024-09-19T00:00:00"/>
        <d v="2024-09-20T00:00:00"/>
        <d v="2024-09-21T00:00:00"/>
        <d v="2024-09-24T00:00:00"/>
        <d v="2024-09-25T00:00:00"/>
        <d v="2024-09-26T00:00:00"/>
        <d v="2024-09-28T00:00:00"/>
        <d v="2024-09-29T00:00:00"/>
        <d v="2024-09-30T00:00:00"/>
        <d v="2024-10-03T00:00:00"/>
        <d v="2024-10-05T00:00:00"/>
        <d v="2024-10-06T00:00:00"/>
        <d v="2024-10-07T00:00:00"/>
        <d v="2024-10-08T00:00:00"/>
        <d v="2024-10-09T00:00:00"/>
        <d v="2024-10-10T00:00:00"/>
        <d v="2024-10-11T00:00:00"/>
        <d v="2024-10-12T00:00:00"/>
        <d v="2024-10-14T00:00:00"/>
        <d v="2024-10-15T00:00:00"/>
        <d v="2024-10-17T00:00:00"/>
        <d v="2024-10-18T00:00:00"/>
        <d v="2024-10-21T00:00:00"/>
        <d v="2024-10-22T00:00:00"/>
        <d v="2024-10-23T00:00:00"/>
        <d v="2024-10-24T00:00:00"/>
        <d v="2024-10-26T00:00:00"/>
        <d v="2024-10-27T00:00:00"/>
        <d v="2024-10-28T00:00:00"/>
        <d v="2024-10-29T00:00:00"/>
        <d v="2024-10-30T00:00:00"/>
        <d v="2024-10-31T00:00:00"/>
        <d v="2024-11-01T00:00:00"/>
        <d v="2024-11-03T00:00:00"/>
        <d v="2024-11-04T00:00:00"/>
        <d v="2024-11-07T00:00:00"/>
        <d v="2024-11-08T00:00:00"/>
        <d v="2024-11-09T00:00:00"/>
        <d v="2024-11-10T00:00:00"/>
        <d v="2024-11-11T00:00:00"/>
        <d v="2024-11-13T00:00:00"/>
        <d v="2024-11-14T00:00:00"/>
        <d v="2024-11-15T00:00:00"/>
        <d v="2024-11-16T00:00:00"/>
        <d v="2024-11-17T00:00:00"/>
        <d v="2024-11-18T00:00:00"/>
        <d v="2024-11-19T00:00:00"/>
        <d v="2024-11-20T00:00:00"/>
        <d v="2024-11-21T00:00:00"/>
        <d v="2024-11-22T00:00:00"/>
        <d v="2024-11-23T00:00:00"/>
        <d v="2024-11-24T00:00:00"/>
        <d v="2024-11-25T00:00:00"/>
        <d v="2024-11-29T00:00:00"/>
        <d v="2024-11-30T00:00:00"/>
        <d v="2024-12-01T00:00:00"/>
        <d v="2024-12-02T00:00:00"/>
        <d v="2024-12-03T00:00:00"/>
        <d v="2024-12-04T00:00:00"/>
        <d v="2024-12-06T00:00:00"/>
        <d v="2024-12-07T00:00:00"/>
        <d v="2024-12-11T00:00:00"/>
        <d v="2024-12-12T00:00:00"/>
        <d v="2024-12-13T00:00:00"/>
        <d v="2024-12-14T00:00:00"/>
        <d v="2024-12-15T00:00:00"/>
        <d v="2024-12-19T00:00:00"/>
        <d v="2024-12-21T00:00:00"/>
        <d v="2024-12-22T00:00:00"/>
        <d v="2024-12-23T00:00:00"/>
        <d v="2024-12-25T00:00:00"/>
        <d v="2024-12-26T00:00:00"/>
        <d v="2024-12-28T00:00:00"/>
        <d v="2024-12-30T00:00:00"/>
        <d v="2025-01-01T00:00:00"/>
        <d v="2025-01-03T00:00:00"/>
        <d v="2025-01-04T00:00:00"/>
        <d v="2025-01-05T00:00:00"/>
        <d v="2025-01-07T00:00:00"/>
        <d v="2025-01-08T00:00:00"/>
        <d v="2025-01-09T00:00:00"/>
        <d v="2025-01-10T00:00:00"/>
        <d v="2025-01-11T00:00:00"/>
        <d v="2025-01-12T00:00:00"/>
        <d v="2025-01-13T00:00:00"/>
        <d v="2025-01-14T00:00:00"/>
        <d v="2025-01-18T00:00:00"/>
        <d v="2025-01-19T00:00:00"/>
        <d v="2025-01-20T00:00:00"/>
        <d v="2025-01-21T00:00:00"/>
        <d v="2025-01-23T00:00:00"/>
        <d v="2025-01-24T00:00:00"/>
        <d v="2025-01-25T00:00:00"/>
        <d v="2025-01-26T00:00:00"/>
        <d v="2025-01-27T00:00:00"/>
        <d v="2025-01-28T00:00:00"/>
        <d v="2025-01-30T00:00:00"/>
        <d v="2025-01-31T00:00:00"/>
        <d v="2025-02-01T00:00:00"/>
        <d v="2025-02-03T00:00:00"/>
        <d v="2025-02-04T00:00:00"/>
        <d v="2025-02-05T00:00:00"/>
        <d v="2025-02-06T00:00:00"/>
        <d v="2025-02-07T00:00:00"/>
        <d v="2025-02-08T00:00:00"/>
        <d v="2025-02-10T00:00:00"/>
        <d v="2025-02-11T00:00:00"/>
        <d v="2025-02-12T00:00:00"/>
        <d v="2025-02-13T00:00:00"/>
        <d v="2025-02-14T00:00:00"/>
        <d v="2025-02-16T00:00:00"/>
        <d v="2025-02-18T00:00:00"/>
        <d v="2025-02-20T00:00:00"/>
        <d v="2025-02-21T00:00:00"/>
        <d v="2025-02-22T00:00:00"/>
        <d v="2025-02-23T00:00:00"/>
        <d v="2025-02-25T00:00:00"/>
        <d v="2025-02-27T00:00:00"/>
        <d v="2025-02-28T00:00:00"/>
        <d v="2025-03-02T00:00:00"/>
        <d v="2025-03-04T00:00:00"/>
        <d v="2025-03-06T00:00:00"/>
        <d v="2025-03-07T00:00:00"/>
        <d v="2025-03-10T00:00:00"/>
        <d v="2025-03-11T00:00:00"/>
        <d v="2025-03-12T00:00:00"/>
        <d v="2025-03-13T00:00:00"/>
        <d v="2025-03-16T00:00:00"/>
        <d v="2025-03-17T00:00:00"/>
        <d v="2025-03-18T00:00:00"/>
        <d v="2025-03-19T00:00:00"/>
        <d v="2025-03-20T00:00:00"/>
        <d v="2025-03-21T00:00:00"/>
        <d v="2025-03-22T00:00:00"/>
        <d v="2025-03-23T00:00:00"/>
        <d v="2025-03-24T00:00:00"/>
        <d v="2025-03-25T00:00:00"/>
        <d v="2025-03-26T00:00:00"/>
        <d v="2025-03-27T00:00:00"/>
        <d v="2025-03-28T00:00:00"/>
        <d v="2025-03-30T00:00:00"/>
        <d v="2025-03-31T00:00:00"/>
        <d v="2025-04-01T00:00:00"/>
        <d v="2025-04-02T00:00:00"/>
        <d v="2025-04-03T00:00:00"/>
        <d v="2025-04-04T00:00:00"/>
        <d v="2025-04-05T00:00:00"/>
        <d v="2025-04-06T00:00:00"/>
        <d v="2025-04-10T00:00:00"/>
        <d v="2025-04-12T00:00:00"/>
        <d v="2025-04-13T00:00:00"/>
        <d v="2025-04-14T00:00:00"/>
        <d v="2025-04-15T00:00:00"/>
        <d v="2025-04-17T00:00:00"/>
        <d v="2025-04-18T00:00:00"/>
        <d v="2025-04-19T00:00:00"/>
        <d v="2025-04-20T00:00:00"/>
        <d v="2025-04-21T00:00:00"/>
        <d v="2025-04-22T00:00:00"/>
        <d v="2025-04-25T00:00:00"/>
        <d v="2025-04-28T00:00:00"/>
        <d v="2025-04-29T00:00:00"/>
        <d v="2025-05-02T00:00:00"/>
        <d v="2025-05-04T00:00:00"/>
        <d v="2025-05-05T00:00:00"/>
        <d v="2025-05-06T00:00:00"/>
        <d v="2025-05-07T00:00:00"/>
        <d v="2025-05-10T00:00:00"/>
        <d v="2025-05-11T00:00:00"/>
        <d v="2025-05-13T00:00:00"/>
        <d v="2025-05-14T00:00:00"/>
        <d v="2025-05-15T00:00:00"/>
        <d v="2025-05-16T00:00:00"/>
        <d v="2025-05-17T00:00:00"/>
        <d v="2025-05-18T00:00:00"/>
        <d v="2025-05-19T00:00:00"/>
        <d v="2025-05-20T00:00:00"/>
        <d v="2025-05-22T00:00:00"/>
        <d v="2025-05-24T00:00:00"/>
        <d v="2025-05-25T00:00:00"/>
        <d v="2025-05-26T00:00:00"/>
        <d v="2025-05-27T00:00:00"/>
        <d v="2025-05-30T00:00:00"/>
        <d v="2025-05-31T00:00:00"/>
        <d v="2025-06-01T00:00:00"/>
        <d v="2025-06-02T00:00:00"/>
        <d v="2025-06-03T00:00:00"/>
        <d v="2025-06-05T00:00:00"/>
        <d v="2025-06-07T00:00:00"/>
        <d v="2025-06-08T00:00:00"/>
        <d v="2025-06-09T00:00:00"/>
        <d v="2025-06-12T00:00:00"/>
        <d v="2025-06-14T00:00:00"/>
        <d v="2025-06-15T00:00:00"/>
        <d v="2025-06-17T00:00:00"/>
        <d v="2025-06-20T00:00:00"/>
        <d v="2025-06-21T00:00:00"/>
        <d v="2025-06-23T00:00:00"/>
        <d v="2025-06-25T00:00:00"/>
        <d v="2025-06-26T00:00:00"/>
        <d v="2025-06-28T00:00:00"/>
        <d v="2025-06-29T00:00:00"/>
        <d v="2025-06-30T00:00:00"/>
        <d v="2025-07-01T00:00:00"/>
        <d v="2025-07-03T00:00:00"/>
        <d v="2025-07-04T00:00:00"/>
        <d v="2025-07-07T00:00:00"/>
        <d v="2025-07-09T00:00:00"/>
        <d v="2025-07-11T00:00:00"/>
        <d v="2025-07-12T00:00:00"/>
        <d v="2025-07-13T00:00:00"/>
        <d v="2025-07-14T00:00:00"/>
        <d v="2025-07-16T00:00:00"/>
        <d v="2025-07-17T00:00:00"/>
        <d v="2025-07-18T00:00:00"/>
        <d v="2025-07-19T00:00:00"/>
        <d v="2025-07-20T00:00:00"/>
        <d v="2025-07-22T00:00:00"/>
        <d v="2025-07-23T00:00:00"/>
        <d v="2025-07-25T00:00:00"/>
        <d v="2025-07-26T00:00:00"/>
        <d v="2025-07-27T00:00:00"/>
        <d v="2025-07-28T00:00:00"/>
        <d v="2025-07-30T00:00:00"/>
        <d v="2025-07-31T00:00:00"/>
        <d v="2025-08-01T00:00:00"/>
        <d v="2025-08-02T00:00:00"/>
        <d v="2025-08-03T00:00:00"/>
        <d v="2025-08-04T00:00:00"/>
        <d v="2025-08-09T00:00:00"/>
        <d v="2025-08-10T00:00:00"/>
        <d v="2025-08-12T00:00:00"/>
        <d v="2025-08-16T00:00:00"/>
        <d v="2025-08-17T00:00:00"/>
        <d v="2025-08-18T00:00:00"/>
        <d v="2025-08-20T00:00:00"/>
        <d v="2025-08-23T00:00:00"/>
        <d v="2025-08-24T00:00:00"/>
        <d v="2025-08-26T00:00:00"/>
        <d v="2025-08-27T00:00:00"/>
        <d v="2025-08-28T00:00:00"/>
        <d v="2025-08-29T00:00:00"/>
        <d v="2025-08-30T00:00:00"/>
        <d v="2025-08-31T00:00:00"/>
        <d v="2025-09-01T00:00:00"/>
        <d v="2025-09-02T00:00:00"/>
        <d v="2025-09-03T00:00:00"/>
        <d v="2025-09-04T00:00:00"/>
        <d v="2025-09-07T00:00:00"/>
        <d v="2025-09-08T00:00:00"/>
        <d v="2025-09-11T00:00:00"/>
        <d v="2025-09-13T00:00:00"/>
        <d v="2025-09-14T00:00:00"/>
        <d v="2025-09-15T00:00:00"/>
        <d v="2025-09-16T00:00:00"/>
        <d v="2025-09-17T00:00:00"/>
        <d v="2025-09-18T00:00:00"/>
        <d v="2025-09-19T00:00:00"/>
        <d v="2025-09-21T00:00:00"/>
        <d v="2025-09-22T00:00:00"/>
        <d v="2025-09-25T00:00:00"/>
        <d v="2025-09-26T00:00:00"/>
        <d v="2025-09-27T00:00:00"/>
        <d v="2025-09-28T00:00:00"/>
        <d v="2025-09-29T00:00:00"/>
        <d v="2025-09-30T00:00:00"/>
        <d v="2025-10-01T00:00:00"/>
        <d v="2025-10-02T00:00:00"/>
        <d v="2025-10-03T00:00:00"/>
        <d v="2025-10-04T00:00:00"/>
        <d v="2025-10-05T00:00:00"/>
        <d v="2025-10-06T00:00:00"/>
        <d v="2025-10-07T00:00:00"/>
        <d v="2025-10-09T00:00:00"/>
        <d v="2025-10-11T00:00:00"/>
        <d v="2025-10-13T00:00:00"/>
        <d v="2025-10-14T00:00:00"/>
        <d v="2025-10-15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2T00:00:00"/>
        <d v="2025-11-03T00:00:00"/>
        <d v="2025-11-04T00:00:00"/>
        <d v="2025-11-05T00:00:00"/>
        <d v="2025-11-06T00:00:00"/>
        <d v="2025-11-07T00:00:00"/>
        <d v="2025-11-08T00:00:00"/>
        <d v="2025-11-11T00:00:00"/>
        <d v="2025-11-12T00:00:00"/>
        <d v="2025-11-13T00:00:00"/>
        <d v="2025-11-15T00:00:00"/>
        <d v="2025-11-16T00:00:00"/>
        <d v="2025-11-18T00:00:00"/>
        <d v="2025-11-19T00:00:00"/>
        <d v="2025-11-20T00:00:00"/>
        <d v="2025-11-21T00:00:00"/>
        <d v="2025-11-22T00:00:00"/>
        <d v="2025-11-23T00:00:00"/>
        <d v="2025-11-25T00:00:00"/>
        <d v="2025-11-26T00:00:00"/>
        <d v="2025-11-27T00:00:00"/>
        <d v="2025-11-28T00:00:00"/>
        <d v="2025-11-29T00:00:00"/>
        <d v="2025-11-30T00:00:00"/>
        <d v="2025-12-01T00:00:00"/>
        <d v="2025-12-04T00:00:00"/>
        <d v="2025-12-06T00:00:00"/>
        <d v="2025-12-09T00:00:00"/>
        <d v="2025-12-10T00:00:00"/>
        <d v="2025-12-12T00:00:00"/>
        <d v="2025-12-14T00:00:00"/>
        <d v="2025-12-15T00:00:00"/>
        <d v="2025-12-17T00:00:00"/>
        <d v="2025-12-18T00:00:00"/>
        <d v="2025-12-19T00:00:00"/>
        <d v="2025-12-20T00:00:00"/>
        <d v="2025-12-23T00:00:00"/>
        <d v="2025-12-24T00:00:00"/>
        <d v="2025-12-25T00:00:00"/>
        <d v="2025-12-26T00:00:00"/>
        <d v="2025-12-27T00:00:00"/>
        <d v="2025-12-29T00:00:00"/>
        <d v="2025-12-30T00:00:00"/>
      </sharedItems>
      <fieldGroup par="22"/>
    </cacheField>
    <cacheField name="id_cust" numFmtId="164">
      <sharedItems/>
    </cacheField>
    <cacheField name="customer_name" numFmtId="0">
      <sharedItems count="199">
        <s v="Anisa Wirawan"/>
        <s v="Yusuf Kusuma"/>
        <s v="Nanda Nugraha"/>
        <s v="Nur Kusuma"/>
        <s v="Hana Salsabila"/>
        <s v="Indah Rahman"/>
        <s v="Reza Saputra"/>
        <s v="Jasmine Halim"/>
        <s v="Agus Lestari"/>
        <s v="Fitri Permata"/>
        <s v="Gita Santoso"/>
        <s v="Zaki Anggraini"/>
        <s v="Wulan Saputra"/>
        <s v="Farah Maharani"/>
        <s v="Gunawan Salsabila"/>
        <s v="Nur Yulianto"/>
        <s v="Oscar Hidayat"/>
        <s v="Anisa Salsabila"/>
        <s v="Rizky Ramadhan"/>
        <s v="Umar Kurniawan"/>
        <s v="Tono Maharani"/>
        <s v="Reza Iskandar"/>
        <s v="Qonaah Kurniawan"/>
        <s v="Ulfa Anggraini"/>
        <s v="Sinta Iskandar"/>
        <s v="Citra Permata"/>
        <s v="Qonaah Utami"/>
        <s v="Sari Halim"/>
        <s v="Zainal Handoko"/>
        <s v="Hadi Iskandar"/>
        <s v="Putri Anggraini"/>
        <s v="Salsa Maharani"/>
        <s v="Lutfi Halim"/>
        <s v="Ahmad Maharani"/>
        <s v="Zaki Suryadi"/>
        <s v="Dian Puspita"/>
        <s v="Budi Susanto"/>
        <s v="Tono Amelia"/>
        <s v="Miko Kusuma"/>
        <s v="Widya Puspita"/>
        <s v="Qori Pratama"/>
        <s v="Fitri Anggraini"/>
        <s v="Maya Firmansyah"/>
        <s v="Fitri Kusuma"/>
        <s v="Bella Wijaya"/>
        <s v="Qori Wijaya"/>
        <s v="Erna Maharani"/>
        <s v="Ulfa Ramadhan"/>
        <s v="Teguh Salsabila"/>
        <s v="Yoga Amelia"/>
        <s v="Panji Wardani"/>
        <s v="Teguh Wardani"/>
        <s v="Maya Kurniawan"/>
        <s v="Dewi Pratama"/>
        <s v="Indah Wijaya"/>
        <s v="Bella Pratama"/>
        <s v="Sari Iskandar"/>
        <s v="Umar Handoko"/>
        <s v="Laila Wardani"/>
        <s v="Salsa Pratama"/>
        <s v="Hana Permata"/>
        <s v="Yudha Wijaya"/>
        <s v="Candra Iskandar"/>
        <s v="Xena Halim"/>
        <s v="Panji Kurniawan"/>
        <s v="Candra Wijaya"/>
        <s v="Lutfi Setiawan"/>
        <s v="Fajar Puspita"/>
        <s v="Oscar Suryadi"/>
        <s v="Joko Santoso"/>
        <s v="Umar Santoso"/>
        <s v="Candra Yulianto"/>
        <s v="Zaki Santoso"/>
        <s v="Gita Kusuma"/>
        <s v="Taufik Kusuma"/>
        <s v="Putri Salsabila"/>
        <s v="Oki Lestari"/>
        <s v="Erna Kusuma"/>
        <s v="Utari Handoko"/>
        <s v="Qonaah Firmansyah"/>
        <s v="Dian Permata"/>
        <s v="Ahmad Rahman"/>
        <s v="Galih Permata"/>
        <s v="Dian Pratama"/>
        <s v="Zainal Hidayat"/>
        <s v="Wahyu Saputra"/>
        <s v="Miko Rahman"/>
        <s v="Vera Santoso"/>
        <s v="Ratna Wardani"/>
        <s v="Puti Saputra"/>
        <s v="Novi Saputra"/>
        <s v="Ilham Firmansyah"/>
        <s v="Puti Iskandar"/>
        <s v="Zahra Lestari"/>
        <s v="Xena Iskandar"/>
        <s v="Joko Maharani"/>
        <s v="Kartika Nugraha"/>
        <s v="Nanda Amelia"/>
        <s v="Laila Ramadhan"/>
        <s v="Hana Kurniawan"/>
        <s v="Taufik Salsabila"/>
        <s v="Wahyu Wardani"/>
        <s v="Yudha Ramadhan"/>
        <s v="Jasmine Permata"/>
        <s v="Salsa Santoso"/>
        <s v="Utari Utami"/>
        <s v="Qonita Kusuma"/>
        <s v="Hadi Kurniawan"/>
        <s v="Tono Wirawan"/>
        <s v="Ahmad Lestari"/>
        <s v="Hadi Ramadhan"/>
        <s v="Cahyo Ramadhan"/>
        <s v="Sinta Susanto"/>
        <s v="Novi Iskandar"/>
        <s v="Citra Prasetyo"/>
        <s v="Anisa Wijaya"/>
        <s v="Kevin Saputra"/>
        <s v="Widya Utami"/>
        <s v="Yusuf Ramadhan"/>
        <s v="Gunawan Utami"/>
        <s v="Rizky Utami"/>
        <s v="Reza Wirawan"/>
        <s v="Cahyo Salsabila"/>
        <s v="Hadi Hidayat"/>
        <s v="Gita Suryadi"/>
        <s v="Utari Rahman"/>
        <s v="Ulfa Prasetyo"/>
        <s v="Hana Lestari"/>
        <s v="Cahyo Saputra"/>
        <s v="Galih Firmansyah"/>
        <s v="Novi Hidayat"/>
        <s v="Vina Suryadi"/>
        <s v="Vino Iskandar"/>
        <s v="Vina Maharani"/>
        <s v="Ilham Susanto"/>
        <s v="Ulfa Lestari"/>
        <s v="Qonaah Lestari"/>
        <s v="Lutfi Wardani"/>
        <s v="Sari Santoso"/>
        <s v="Rizky Wardani"/>
        <s v="Zaki Yulianto"/>
        <s v="Yusuf Firmansyah"/>
        <s v="Kurnia Yulianto"/>
        <s v="Fitri Susanto"/>
        <s v="Ulfa Rahman"/>
        <s v="Ahmad Saputra"/>
        <s v="Candra Salsabila"/>
        <s v="Utari Lestari"/>
        <s v="Ratna Santoso"/>
        <s v="Indah Suryadi"/>
        <s v="Jasmine Puspita"/>
        <s v="Cahyo Firmansyah"/>
        <s v="Dewi Kusuma"/>
        <s v="Taufik Handoko"/>
        <s v="Jihan Amelia"/>
        <s v="Putri Santoso"/>
        <s v="Yudha Rahman"/>
        <s v="Dewi Maharani"/>
        <s v="Reza Permata"/>
        <s v="Sinta Firmansyah"/>
        <s v="Kurnia Iskandar"/>
        <s v="Erna Ramadhan"/>
        <s v="Hadi Permata"/>
        <s v="Vina Iskandar"/>
        <s v="Jihan Lestari"/>
        <s v="Ratna Saputra"/>
        <s v="Agus Iskandar"/>
        <s v="Sinta Pratama"/>
        <s v="Agus Suryadi"/>
        <s v="Kartika Ramadhan"/>
        <s v="Xena Santoso"/>
        <s v="Taufik Rahman"/>
        <s v="Zaki Prasetyo"/>
        <s v="Maya Salsabila"/>
        <s v="Vera Hidayat"/>
        <s v="Jihan Wijaya"/>
        <s v="Yudha Suryadi"/>
        <s v="Wulan Nugraha"/>
        <s v="Zaki Wijaya"/>
        <s v="Ulfa Wijaya"/>
        <s v="Panji Lestari"/>
        <s v="Ovi Wardani"/>
        <s v="Laila Suryadi"/>
        <s v="Sari Lestari"/>
        <s v="Ovi Iskandar"/>
        <s v="Yusuf Susanto"/>
        <s v="Nanda Kurniawan"/>
        <s v="Hana Utami"/>
        <s v="Widya Rahman"/>
        <s v="Sinta Saputra"/>
        <s v="Lina Kurniawan"/>
        <s v="Kurnia Lestari"/>
        <s v="Kartika Wirawan"/>
        <s v="Sinta Suryadi"/>
        <s v="Qori Halim"/>
        <s v="Elang Prasetyo"/>
        <s v="Teguh Setiawan"/>
        <s v="Hesti Puspita"/>
        <s v="Hesti Kusuma"/>
      </sharedItems>
    </cacheField>
    <cacheField name="age" numFmtId="0">
      <sharedItems containsSemiMixedTypes="0" containsString="0" containsNumber="1" containsInteger="1" minValue="17" maxValue="54"/>
    </cacheField>
    <cacheField name="id_branch" numFmtId="0">
      <sharedItems/>
    </cacheField>
    <cacheField name="branch_name" numFmtId="0">
      <sharedItems count="5">
        <s v="Kedai Kopi Dago"/>
        <s v="Kedai Kopi Senayan"/>
        <s v="Kedai Kopi Tunjungan"/>
        <s v="Kedai Kopi Merdeka"/>
        <s v="Kedai Kopi Losari"/>
      </sharedItems>
    </cacheField>
    <cacheField name="id_city" numFmtId="0">
      <sharedItems/>
    </cacheField>
    <cacheField name="city" numFmtId="0">
      <sharedItems/>
    </cacheField>
    <cacheField name="id_menu" numFmtId="0">
      <sharedItems/>
    </cacheField>
    <cacheField name="menu_name" numFmtId="0">
      <sharedItems/>
    </cacheField>
    <cacheField name="id_category" numFmtId="0">
      <sharedItems/>
    </cacheField>
    <cacheField name="category" numFmtId="0">
      <sharedItems count="3">
        <s v="Kopi"/>
        <s v="Makanan"/>
        <s v="Non-Kopi"/>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8000" maxValue="32000"/>
    </cacheField>
    <cacheField name="discount_percent" numFmtId="0">
      <sharedItems containsSemiMixedTypes="0" containsString="0" containsNumber="1" containsInteger="1" minValue="0" maxValue="20"/>
    </cacheField>
    <cacheField name="rating" numFmtId="0">
      <sharedItems containsSemiMixedTypes="0" containsString="0" containsNumber="1" minValue="1" maxValue="5"/>
    </cacheField>
    <cacheField name="id_method" numFmtId="0">
      <sharedItems/>
    </cacheField>
    <cacheField name="method" numFmtId="0">
      <sharedItems count="4">
        <s v="QRIS"/>
        <s v="Cash"/>
        <s v="Kartu Kredit"/>
        <s v="Transfer"/>
      </sharedItems>
    </cacheField>
    <cacheField name="total_price" numFmtId="0">
      <sharedItems containsSemiMixedTypes="0" containsString="0" containsNumber="1" containsInteger="1" minValue="14400" maxValue="160000"/>
    </cacheField>
    <cacheField name="Months (date)" numFmtId="0" databaseField="0">
      <fieldGroup base="2">
        <rangePr groupBy="months" startDate="2024-01-01T00:00:00" endDate="2025-12-31T00:00:00"/>
        <groupItems count="14">
          <s v="&lt;1/1/2024"/>
          <s v="Jan"/>
          <s v="Feb"/>
          <s v="Mar"/>
          <s v="Apr"/>
          <s v="May"/>
          <s v="Jun"/>
          <s v="Jul"/>
          <s v="Aug"/>
          <s v="Sep"/>
          <s v="Oct"/>
          <s v="Nov"/>
          <s v="Dec"/>
          <s v="&gt;12/31/2025"/>
        </groupItems>
      </fieldGroup>
    </cacheField>
    <cacheField name="Years (date)" numFmtId="0" databaseField="0">
      <fieldGroup base="2">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927669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395"/>
    <s v="TGL0501"/>
    <x v="0"/>
    <s v="CNA0101"/>
    <x v="0"/>
    <n v="27"/>
    <s v="BRCH001"/>
    <x v="0"/>
    <s v="KOA0102"/>
    <s v="Bandung"/>
    <s v="MENU001"/>
    <s v="Cappuccino"/>
    <s v="KTG0205"/>
    <x v="0"/>
    <n v="5"/>
    <n v="25000"/>
    <n v="15"/>
    <n v="3.1"/>
    <s v="PAY0709"/>
    <x v="0"/>
    <n v="106250"/>
  </r>
  <r>
    <s v="TRX0502"/>
    <s v="TGL0501"/>
    <x v="0"/>
    <s v="CNA0102"/>
    <x v="1"/>
    <n v="36"/>
    <s v="BRCH002"/>
    <x v="1"/>
    <s v="KOA0103"/>
    <s v="Jakarta"/>
    <s v="MENU002"/>
    <s v="Red Velvet Cake"/>
    <s v="KTG0206"/>
    <x v="1"/>
    <n v="1"/>
    <n v="30000"/>
    <n v="15"/>
    <n v="1.9"/>
    <s v="PAY0710"/>
    <x v="1"/>
    <n v="25500"/>
  </r>
  <r>
    <s v="TRX0726"/>
    <s v="TGL0501"/>
    <x v="0"/>
    <s v="CNA0103"/>
    <x v="2"/>
    <n v="44"/>
    <s v="BRCH003"/>
    <x v="2"/>
    <s v="KOA0104"/>
    <s v="Surabaya"/>
    <s v="MENU003"/>
    <s v="Kopi Susu Gula Aren"/>
    <s v="KTG0205"/>
    <x v="0"/>
    <n v="3"/>
    <n v="22000"/>
    <n v="0"/>
    <n v="4.5999999999999996"/>
    <s v="PAY0711"/>
    <x v="2"/>
    <n v="66000"/>
  </r>
  <r>
    <s v="TRX0884"/>
    <s v="TGL0501"/>
    <x v="0"/>
    <s v="CNA0104"/>
    <x v="3"/>
    <n v="41"/>
    <s v="BRCH001"/>
    <x v="0"/>
    <s v="KOA0102"/>
    <s v="Bandung"/>
    <s v="MENU004"/>
    <s v="Matcha Latte"/>
    <s v="KTG0207"/>
    <x v="2"/>
    <n v="3"/>
    <n v="28000"/>
    <n v="0"/>
    <n v="3.7"/>
    <s v="PAY0709"/>
    <x v="0"/>
    <n v="84000"/>
  </r>
  <r>
    <s v="TRX0015"/>
    <s v="TGL0502"/>
    <x v="1"/>
    <s v="CNA0105"/>
    <x v="4"/>
    <n v="53"/>
    <s v="BRCH004"/>
    <x v="3"/>
    <s v="KOA0105"/>
    <s v="Medan"/>
    <s v="MENU005"/>
    <s v="Croissant"/>
    <s v="KTG0206"/>
    <x v="1"/>
    <n v="4"/>
    <n v="23000"/>
    <n v="0"/>
    <n v="2.1"/>
    <s v="PAY0712"/>
    <x v="3"/>
    <n v="92000"/>
  </r>
  <r>
    <s v="TRX0630"/>
    <s v="TGL0503"/>
    <x v="2"/>
    <s v="CNA0106"/>
    <x v="5"/>
    <n v="30"/>
    <s v="BRCH005"/>
    <x v="4"/>
    <s v="KOA0106"/>
    <s v="Makassar"/>
    <s v="MENU006"/>
    <s v="Sandwich Ayam"/>
    <s v="KTG0206"/>
    <x v="1"/>
    <n v="1"/>
    <n v="32000"/>
    <n v="0"/>
    <n v="2.2000000000000002"/>
    <s v="PAY0712"/>
    <x v="3"/>
    <n v="32000"/>
  </r>
  <r>
    <s v="TRX0702"/>
    <s v="TGL0504"/>
    <x v="3"/>
    <s v="CNA0107"/>
    <x v="6"/>
    <n v="19"/>
    <s v="BRCH002"/>
    <x v="1"/>
    <s v="KOA0103"/>
    <s v="Jakarta"/>
    <s v="MENU007"/>
    <s v="Chocolate Latte"/>
    <s v="KTG0207"/>
    <x v="2"/>
    <n v="4"/>
    <n v="27000"/>
    <n v="0"/>
    <n v="2.2000000000000002"/>
    <s v="PAY0709"/>
    <x v="0"/>
    <n v="108000"/>
  </r>
  <r>
    <s v="TRX0468"/>
    <s v="TGL0505"/>
    <x v="4"/>
    <s v="CNA0108"/>
    <x v="7"/>
    <n v="21"/>
    <s v="BRCH005"/>
    <x v="4"/>
    <s v="KOA0106"/>
    <s v="Makassar"/>
    <s v="MENU008"/>
    <s v="Americano"/>
    <s v="KTG0205"/>
    <x v="0"/>
    <n v="4"/>
    <n v="20000"/>
    <n v="15"/>
    <n v="3.7"/>
    <s v="PAY0711"/>
    <x v="2"/>
    <n v="68000"/>
  </r>
  <r>
    <s v="TRX0771"/>
    <s v="TGL0505"/>
    <x v="4"/>
    <s v="CNA0109"/>
    <x v="8"/>
    <n v="45"/>
    <s v="BRCH005"/>
    <x v="4"/>
    <s v="KOA0106"/>
    <s v="Makassar"/>
    <s v="MENU004"/>
    <s v="Matcha Latte"/>
    <s v="KTG0207"/>
    <x v="2"/>
    <n v="2"/>
    <n v="28000"/>
    <n v="20"/>
    <n v="3"/>
    <s v="PAY0712"/>
    <x v="3"/>
    <n v="44800"/>
  </r>
  <r>
    <s v="TRX0580"/>
    <s v="TGL0505"/>
    <x v="4"/>
    <s v="CNA0110"/>
    <x v="9"/>
    <n v="39"/>
    <s v="BRCH002"/>
    <x v="1"/>
    <s v="KOA0103"/>
    <s v="Jakarta"/>
    <s v="MENU005"/>
    <s v="Croissant"/>
    <s v="KTG0206"/>
    <x v="1"/>
    <n v="2"/>
    <n v="23000"/>
    <n v="15"/>
    <n v="4.5999999999999996"/>
    <s v="PAY0709"/>
    <x v="0"/>
    <n v="39100"/>
  </r>
  <r>
    <s v="TRX0167"/>
    <s v="TGL0505"/>
    <x v="4"/>
    <s v="CNA0111"/>
    <x v="10"/>
    <n v="40"/>
    <s v="BRCH004"/>
    <x v="3"/>
    <s v="KOA0105"/>
    <s v="Medan"/>
    <s v="MENU008"/>
    <s v="Americano"/>
    <s v="KTG0205"/>
    <x v="0"/>
    <n v="2"/>
    <n v="20000"/>
    <n v="20"/>
    <n v="3.8"/>
    <s v="PAY0710"/>
    <x v="1"/>
    <n v="32000"/>
  </r>
  <r>
    <s v="TRX0698"/>
    <s v="TGL0506"/>
    <x v="5"/>
    <s v="CNA0112"/>
    <x v="11"/>
    <n v="22"/>
    <s v="BRCH005"/>
    <x v="4"/>
    <s v="KOA0106"/>
    <s v="Makassar"/>
    <s v="MENU007"/>
    <s v="Chocolate Latte"/>
    <s v="KTG0207"/>
    <x v="2"/>
    <n v="1"/>
    <n v="27000"/>
    <n v="15"/>
    <n v="4.2"/>
    <s v="PAY0709"/>
    <x v="0"/>
    <n v="22950"/>
  </r>
  <r>
    <s v="TRX0998"/>
    <s v="TGL0507"/>
    <x v="6"/>
    <s v="CNA0113"/>
    <x v="12"/>
    <n v="33"/>
    <s v="BRCH003"/>
    <x v="2"/>
    <s v="KOA0104"/>
    <s v="Surabaya"/>
    <s v="MENU003"/>
    <s v="Kopi Susu Gula Aren"/>
    <s v="KTG0205"/>
    <x v="0"/>
    <n v="1"/>
    <n v="22000"/>
    <n v="15"/>
    <n v="2.4"/>
    <s v="PAY0709"/>
    <x v="0"/>
    <n v="18700"/>
  </r>
  <r>
    <s v="TRX0629"/>
    <s v="TGL0507"/>
    <x v="6"/>
    <s v="CNA0114"/>
    <x v="13"/>
    <n v="51"/>
    <s v="BRCH003"/>
    <x v="2"/>
    <s v="KOA0104"/>
    <s v="Surabaya"/>
    <s v="MENU002"/>
    <s v="Red Velvet Cake"/>
    <s v="KTG0206"/>
    <x v="1"/>
    <n v="2"/>
    <n v="30000"/>
    <n v="5"/>
    <n v="3.8"/>
    <s v="PAY0710"/>
    <x v="1"/>
    <n v="57000"/>
  </r>
  <r>
    <s v="TRX0609"/>
    <s v="TGL0508"/>
    <x v="7"/>
    <s v="CNA0115"/>
    <x v="14"/>
    <n v="46"/>
    <s v="BRCH003"/>
    <x v="2"/>
    <s v="KOA0104"/>
    <s v="Surabaya"/>
    <s v="MENU009"/>
    <s v="Kentang Goreng"/>
    <s v="KTG0206"/>
    <x v="1"/>
    <n v="1"/>
    <n v="18000"/>
    <n v="10"/>
    <n v="4"/>
    <s v="PAY0712"/>
    <x v="3"/>
    <n v="16200"/>
  </r>
  <r>
    <s v="TRX0974"/>
    <s v="TGL0508"/>
    <x v="7"/>
    <s v="CNA0116"/>
    <x v="15"/>
    <n v="45"/>
    <s v="BRCH005"/>
    <x v="4"/>
    <s v="KOA0106"/>
    <s v="Makassar"/>
    <s v="MENU006"/>
    <s v="Sandwich Ayam"/>
    <s v="KTG0206"/>
    <x v="1"/>
    <n v="3"/>
    <n v="32000"/>
    <n v="5"/>
    <n v="1.4"/>
    <s v="PAY0709"/>
    <x v="0"/>
    <n v="91200"/>
  </r>
  <r>
    <s v="TRX0440"/>
    <s v="TGL0508"/>
    <x v="7"/>
    <s v="CNA0117"/>
    <x v="16"/>
    <n v="53"/>
    <s v="BRCH004"/>
    <x v="3"/>
    <s v="KOA0105"/>
    <s v="Medan"/>
    <s v="MENU003"/>
    <s v="Kopi Susu Gula Aren"/>
    <s v="KTG0205"/>
    <x v="0"/>
    <n v="2"/>
    <n v="22000"/>
    <n v="10"/>
    <n v="1.7"/>
    <s v="PAY0709"/>
    <x v="0"/>
    <n v="39600"/>
  </r>
  <r>
    <s v="TRX0345"/>
    <s v="TGL0509"/>
    <x v="8"/>
    <s v="CNA0118"/>
    <x v="17"/>
    <n v="22"/>
    <s v="BRCH002"/>
    <x v="1"/>
    <s v="KOA0103"/>
    <s v="Jakarta"/>
    <s v="MENU006"/>
    <s v="Sandwich Ayam"/>
    <s v="KTG0206"/>
    <x v="1"/>
    <n v="5"/>
    <n v="32000"/>
    <n v="0"/>
    <n v="1.2"/>
    <s v="PAY0710"/>
    <x v="1"/>
    <n v="160000"/>
  </r>
  <r>
    <s v="TRX0022"/>
    <s v="TGL0509"/>
    <x v="8"/>
    <s v="CNA0119"/>
    <x v="18"/>
    <n v="35"/>
    <s v="BRCH005"/>
    <x v="4"/>
    <s v="KOA0106"/>
    <s v="Makassar"/>
    <s v="MENU009"/>
    <s v="Kentang Goreng"/>
    <s v="KTG0206"/>
    <x v="1"/>
    <n v="4"/>
    <n v="18000"/>
    <n v="5"/>
    <n v="2.2000000000000002"/>
    <s v="PAY0711"/>
    <x v="2"/>
    <n v="68400"/>
  </r>
  <r>
    <s v="TRX0736"/>
    <s v="TGL0510"/>
    <x v="9"/>
    <s v="CNA0120"/>
    <x v="19"/>
    <n v="44"/>
    <s v="BRCH005"/>
    <x v="4"/>
    <s v="KOA0106"/>
    <s v="Makassar"/>
    <s v="MENU005"/>
    <s v="Croissant"/>
    <s v="KTG0206"/>
    <x v="1"/>
    <n v="1"/>
    <n v="23000"/>
    <n v="10"/>
    <n v="4.5"/>
    <s v="PAY0709"/>
    <x v="0"/>
    <n v="20700"/>
  </r>
  <r>
    <s v="TRX0465"/>
    <s v="TGL0510"/>
    <x v="9"/>
    <s v="CNA0121"/>
    <x v="20"/>
    <n v="25"/>
    <s v="BRCH004"/>
    <x v="3"/>
    <s v="KOA0105"/>
    <s v="Medan"/>
    <s v="MENU009"/>
    <s v="Kentang Goreng"/>
    <s v="KTG0206"/>
    <x v="1"/>
    <n v="3"/>
    <n v="18000"/>
    <n v="0"/>
    <n v="4.9000000000000004"/>
    <s v="PAY0710"/>
    <x v="1"/>
    <n v="54000"/>
  </r>
  <r>
    <s v="TRX0846"/>
    <s v="TGL0511"/>
    <x v="10"/>
    <s v="CNA0122"/>
    <x v="21"/>
    <n v="20"/>
    <s v="BRCH002"/>
    <x v="1"/>
    <s v="KOA0103"/>
    <s v="Jakarta"/>
    <s v="MENU001"/>
    <s v="Cappuccino"/>
    <s v="KTG0205"/>
    <x v="0"/>
    <n v="1"/>
    <n v="25000"/>
    <n v="15"/>
    <n v="3.6"/>
    <s v="PAY0711"/>
    <x v="2"/>
    <n v="21250"/>
  </r>
  <r>
    <s v="TRX0434"/>
    <s v="TGL0512"/>
    <x v="11"/>
    <s v="CNA0123"/>
    <x v="22"/>
    <n v="31"/>
    <s v="BRCH002"/>
    <x v="1"/>
    <s v="KOA0103"/>
    <s v="Jakarta"/>
    <s v="MENU005"/>
    <s v="Croissant"/>
    <s v="KTG0206"/>
    <x v="1"/>
    <n v="3"/>
    <n v="23000"/>
    <n v="15"/>
    <n v="3.1"/>
    <s v="PAY0711"/>
    <x v="2"/>
    <n v="58650"/>
  </r>
  <r>
    <s v="TRX0259"/>
    <s v="TGL0512"/>
    <x v="11"/>
    <s v="CNA0124"/>
    <x v="23"/>
    <n v="33"/>
    <s v="BRCH005"/>
    <x v="4"/>
    <s v="KOA0106"/>
    <s v="Makassar"/>
    <s v="MENU005"/>
    <s v="Croissant"/>
    <s v="KTG0206"/>
    <x v="1"/>
    <n v="4"/>
    <n v="23000"/>
    <n v="20"/>
    <n v="1.1000000000000001"/>
    <s v="PAY0711"/>
    <x v="2"/>
    <n v="73600"/>
  </r>
  <r>
    <s v="TRX0740"/>
    <s v="TGL0513"/>
    <x v="12"/>
    <s v="CNA0121"/>
    <x v="20"/>
    <n v="25"/>
    <s v="BRCH004"/>
    <x v="3"/>
    <s v="KOA0105"/>
    <s v="Medan"/>
    <s v="MENU002"/>
    <s v="Red Velvet Cake"/>
    <s v="KTG0206"/>
    <x v="1"/>
    <n v="3"/>
    <n v="30000"/>
    <n v="0"/>
    <n v="3.5"/>
    <s v="PAY0709"/>
    <x v="0"/>
    <n v="90000"/>
  </r>
  <r>
    <s v="TRX0830"/>
    <s v="TGL0514"/>
    <x v="13"/>
    <s v="CNA0126"/>
    <x v="24"/>
    <n v="30"/>
    <s v="BRCH003"/>
    <x v="2"/>
    <s v="KOA0104"/>
    <s v="Surabaya"/>
    <s v="MENU003"/>
    <s v="Kopi Susu Gula Aren"/>
    <s v="KTG0205"/>
    <x v="0"/>
    <n v="4"/>
    <n v="22000"/>
    <n v="5"/>
    <n v="3.9"/>
    <s v="PAY0710"/>
    <x v="1"/>
    <n v="83600"/>
  </r>
  <r>
    <s v="TRX0806"/>
    <s v="TGL0514"/>
    <x v="13"/>
    <s v="CNA0127"/>
    <x v="25"/>
    <n v="48"/>
    <s v="BRCH001"/>
    <x v="0"/>
    <s v="KOA0102"/>
    <s v="Bandung"/>
    <s v="MENU003"/>
    <s v="Kopi Susu Gula Aren"/>
    <s v="KTG0205"/>
    <x v="0"/>
    <n v="1"/>
    <n v="22000"/>
    <n v="0"/>
    <n v="2.2000000000000002"/>
    <s v="PAY0712"/>
    <x v="3"/>
    <n v="22000"/>
  </r>
  <r>
    <s v="TRX0636"/>
    <s v="TGL0514"/>
    <x v="13"/>
    <s v="CNA0128"/>
    <x v="26"/>
    <n v="36"/>
    <s v="BRCH003"/>
    <x v="2"/>
    <s v="KOA0104"/>
    <s v="Surabaya"/>
    <s v="MENU004"/>
    <s v="Matcha Latte"/>
    <s v="KTG0207"/>
    <x v="2"/>
    <n v="1"/>
    <n v="28000"/>
    <n v="15"/>
    <n v="1.6"/>
    <s v="PAY0711"/>
    <x v="2"/>
    <n v="23800"/>
  </r>
  <r>
    <s v="TRX0237"/>
    <s v="TGL0515"/>
    <x v="14"/>
    <s v="CNA0129"/>
    <x v="27"/>
    <n v="49"/>
    <s v="BRCH003"/>
    <x v="2"/>
    <s v="KOA0104"/>
    <s v="Surabaya"/>
    <s v="MENU006"/>
    <s v="Sandwich Ayam"/>
    <s v="KTG0206"/>
    <x v="1"/>
    <n v="4"/>
    <n v="32000"/>
    <n v="0"/>
    <n v="3.5"/>
    <s v="PAY0710"/>
    <x v="1"/>
    <n v="128000"/>
  </r>
  <r>
    <s v="TRX0087"/>
    <s v="TGL0516"/>
    <x v="15"/>
    <s v="CNA0130"/>
    <x v="28"/>
    <n v="33"/>
    <s v="BRCH002"/>
    <x v="1"/>
    <s v="KOA0103"/>
    <s v="Jakarta"/>
    <s v="MENU008"/>
    <s v="Americano"/>
    <s v="KTG0205"/>
    <x v="0"/>
    <n v="2"/>
    <n v="20000"/>
    <n v="0"/>
    <n v="4"/>
    <s v="PAY0712"/>
    <x v="3"/>
    <n v="40000"/>
  </r>
  <r>
    <s v="TRX0951"/>
    <s v="TGL0517"/>
    <x v="16"/>
    <s v="CNA0131"/>
    <x v="29"/>
    <n v="45"/>
    <s v="BRCH004"/>
    <x v="3"/>
    <s v="KOA0105"/>
    <s v="Medan"/>
    <s v="MENU005"/>
    <s v="Croissant"/>
    <s v="KTG0206"/>
    <x v="1"/>
    <n v="1"/>
    <n v="23000"/>
    <n v="0"/>
    <n v="2.7"/>
    <s v="PAY0709"/>
    <x v="0"/>
    <n v="23000"/>
  </r>
  <r>
    <s v="TRX0112"/>
    <s v="TGL0517"/>
    <x v="16"/>
    <s v="CNA0132"/>
    <x v="30"/>
    <n v="40"/>
    <s v="BRCH004"/>
    <x v="3"/>
    <s v="KOA0105"/>
    <s v="Medan"/>
    <s v="MENU001"/>
    <s v="Cappuccino"/>
    <s v="KTG0205"/>
    <x v="0"/>
    <n v="3"/>
    <n v="25000"/>
    <n v="20"/>
    <n v="4"/>
    <s v="PAY0712"/>
    <x v="3"/>
    <n v="60000"/>
  </r>
  <r>
    <s v="TRX0950"/>
    <s v="TGL0518"/>
    <x v="17"/>
    <s v="CNA0133"/>
    <x v="31"/>
    <n v="42"/>
    <s v="BRCH002"/>
    <x v="1"/>
    <s v="KOA0103"/>
    <s v="Jakarta"/>
    <s v="MENU001"/>
    <s v="Cappuccino"/>
    <s v="KTG0205"/>
    <x v="0"/>
    <n v="1"/>
    <n v="25000"/>
    <n v="0"/>
    <n v="3.9"/>
    <s v="PAY0709"/>
    <x v="0"/>
    <n v="25000"/>
  </r>
  <r>
    <s v="TRX0306"/>
    <s v="TGL0518"/>
    <x v="17"/>
    <s v="CNA0134"/>
    <x v="32"/>
    <n v="54"/>
    <s v="BRCH002"/>
    <x v="1"/>
    <s v="KOA0103"/>
    <s v="Jakarta"/>
    <s v="MENU008"/>
    <s v="Americano"/>
    <s v="KTG0205"/>
    <x v="0"/>
    <n v="2"/>
    <n v="20000"/>
    <n v="0"/>
    <n v="1"/>
    <s v="PAY0711"/>
    <x v="2"/>
    <n v="40000"/>
  </r>
  <r>
    <s v="TRX0137"/>
    <s v="TGL0519"/>
    <x v="18"/>
    <s v="CNA0108"/>
    <x v="7"/>
    <n v="21"/>
    <s v="BRCH003"/>
    <x v="2"/>
    <s v="KOA0104"/>
    <s v="Surabaya"/>
    <s v="MENU004"/>
    <s v="Matcha Latte"/>
    <s v="KTG0207"/>
    <x v="2"/>
    <n v="3"/>
    <n v="28000"/>
    <n v="20"/>
    <n v="1.9"/>
    <s v="PAY0712"/>
    <x v="3"/>
    <n v="67200"/>
  </r>
  <r>
    <s v="TRX0066"/>
    <s v="TGL0520"/>
    <x v="19"/>
    <s v="CNA0136"/>
    <x v="33"/>
    <n v="31"/>
    <s v="BRCH001"/>
    <x v="0"/>
    <s v="KOA0102"/>
    <s v="Bandung"/>
    <s v="MENU005"/>
    <s v="Croissant"/>
    <s v="KTG0206"/>
    <x v="1"/>
    <n v="5"/>
    <n v="23000"/>
    <n v="0"/>
    <n v="3.8"/>
    <s v="PAY0709"/>
    <x v="0"/>
    <n v="115000"/>
  </r>
  <r>
    <s v="TRX0492"/>
    <s v="TGL0521"/>
    <x v="20"/>
    <s v="CNA0137"/>
    <x v="34"/>
    <n v="32"/>
    <s v="BRCH005"/>
    <x v="4"/>
    <s v="KOA0106"/>
    <s v="Makassar"/>
    <s v="MENU007"/>
    <s v="Chocolate Latte"/>
    <s v="KTG0207"/>
    <x v="2"/>
    <n v="4"/>
    <n v="27000"/>
    <n v="5"/>
    <n v="2.2000000000000002"/>
    <s v="PAY0711"/>
    <x v="2"/>
    <n v="102600"/>
  </r>
  <r>
    <s v="TRX0851"/>
    <s v="TGL0521"/>
    <x v="20"/>
    <s v="CNA0138"/>
    <x v="35"/>
    <n v="53"/>
    <s v="BRCH002"/>
    <x v="1"/>
    <s v="KOA0103"/>
    <s v="Jakarta"/>
    <s v="MENU001"/>
    <s v="Cappuccino"/>
    <s v="KTG0205"/>
    <x v="0"/>
    <n v="4"/>
    <n v="25000"/>
    <n v="20"/>
    <n v="2.9"/>
    <s v="PAY0712"/>
    <x v="3"/>
    <n v="80000"/>
  </r>
  <r>
    <s v="TRX0788"/>
    <s v="TGL0521"/>
    <x v="20"/>
    <s v="CNA0139"/>
    <x v="36"/>
    <n v="51"/>
    <s v="BRCH003"/>
    <x v="2"/>
    <s v="KOA0104"/>
    <s v="Surabaya"/>
    <s v="MENU009"/>
    <s v="Kentang Goreng"/>
    <s v="KTG0206"/>
    <x v="1"/>
    <n v="4"/>
    <n v="18000"/>
    <n v="0"/>
    <n v="1.9"/>
    <s v="PAY0711"/>
    <x v="2"/>
    <n v="72000"/>
  </r>
  <r>
    <s v="TRX0227"/>
    <s v="TGL0521"/>
    <x v="20"/>
    <s v="CNA0140"/>
    <x v="37"/>
    <n v="43"/>
    <s v="BRCH003"/>
    <x v="2"/>
    <s v="KOA0104"/>
    <s v="Surabaya"/>
    <s v="MENU005"/>
    <s v="Croissant"/>
    <s v="KTG0206"/>
    <x v="1"/>
    <n v="4"/>
    <n v="23000"/>
    <n v="0"/>
    <n v="2.2000000000000002"/>
    <s v="PAY0710"/>
    <x v="1"/>
    <n v="92000"/>
  </r>
  <r>
    <s v="TRX0652"/>
    <s v="TGL0522"/>
    <x v="21"/>
    <s v="CNA0126"/>
    <x v="24"/>
    <n v="30"/>
    <s v="BRCH005"/>
    <x v="4"/>
    <s v="KOA0106"/>
    <s v="Makassar"/>
    <s v="MENU008"/>
    <s v="Americano"/>
    <s v="KTG0205"/>
    <x v="0"/>
    <n v="5"/>
    <n v="20000"/>
    <n v="5"/>
    <n v="3.5"/>
    <s v="PAY0710"/>
    <x v="1"/>
    <n v="95000"/>
  </r>
  <r>
    <s v="TRX0324"/>
    <s v="TGL0522"/>
    <x v="21"/>
    <s v="CNA0104"/>
    <x v="3"/>
    <n v="41"/>
    <s v="BRCH004"/>
    <x v="3"/>
    <s v="KOA0105"/>
    <s v="Medan"/>
    <s v="MENU004"/>
    <s v="Matcha Latte"/>
    <s v="KTG0207"/>
    <x v="2"/>
    <n v="3"/>
    <n v="28000"/>
    <n v="20"/>
    <n v="1.2"/>
    <s v="PAY0712"/>
    <x v="3"/>
    <n v="67200"/>
  </r>
  <r>
    <s v="TRX0911"/>
    <s v="TGL0522"/>
    <x v="21"/>
    <s v="CNA0143"/>
    <x v="38"/>
    <n v="49"/>
    <s v="BRCH002"/>
    <x v="1"/>
    <s v="KOA0103"/>
    <s v="Jakarta"/>
    <s v="MENU004"/>
    <s v="Matcha Latte"/>
    <s v="KTG0207"/>
    <x v="2"/>
    <n v="5"/>
    <n v="28000"/>
    <n v="5"/>
    <n v="1.2"/>
    <s v="PAY0711"/>
    <x v="2"/>
    <n v="133000"/>
  </r>
  <r>
    <s v="TRX0712"/>
    <s v="TGL0523"/>
    <x v="22"/>
    <s v="CNA0144"/>
    <x v="39"/>
    <n v="42"/>
    <s v="BRCH003"/>
    <x v="2"/>
    <s v="KOA0104"/>
    <s v="Surabaya"/>
    <s v="MENU003"/>
    <s v="Kopi Susu Gula Aren"/>
    <s v="KTG0205"/>
    <x v="0"/>
    <n v="3"/>
    <n v="22000"/>
    <n v="15"/>
    <n v="1.2"/>
    <s v="PAY0709"/>
    <x v="0"/>
    <n v="56100"/>
  </r>
  <r>
    <s v="TRX0607"/>
    <s v="TGL0523"/>
    <x v="22"/>
    <s v="CNA0145"/>
    <x v="40"/>
    <n v="19"/>
    <s v="BRCH005"/>
    <x v="4"/>
    <s v="KOA0106"/>
    <s v="Makassar"/>
    <s v="MENU009"/>
    <s v="Kentang Goreng"/>
    <s v="KTG0206"/>
    <x v="1"/>
    <n v="5"/>
    <n v="18000"/>
    <n v="0"/>
    <n v="2"/>
    <s v="PAY0711"/>
    <x v="2"/>
    <n v="90000"/>
  </r>
  <r>
    <s v="TRX0074"/>
    <s v="TGL0524"/>
    <x v="23"/>
    <s v="CNA0146"/>
    <x v="41"/>
    <n v="37"/>
    <s v="BRCH001"/>
    <x v="0"/>
    <s v="KOA0102"/>
    <s v="Bandung"/>
    <s v="MENU010"/>
    <s v="Espresso"/>
    <s v="KTG0205"/>
    <x v="0"/>
    <n v="5"/>
    <n v="18000"/>
    <n v="15"/>
    <n v="2.9"/>
    <s v="PAY0711"/>
    <x v="2"/>
    <n v="76500"/>
  </r>
  <r>
    <s v="TRX0640"/>
    <s v="TGL0525"/>
    <x v="24"/>
    <s v="CNA0147"/>
    <x v="42"/>
    <n v="23"/>
    <s v="BRCH005"/>
    <x v="4"/>
    <s v="KOA0106"/>
    <s v="Makassar"/>
    <s v="MENU004"/>
    <s v="Matcha Latte"/>
    <s v="KTG0207"/>
    <x v="2"/>
    <n v="5"/>
    <n v="28000"/>
    <n v="15"/>
    <n v="3"/>
    <s v="PAY0709"/>
    <x v="0"/>
    <n v="119000"/>
  </r>
  <r>
    <s v="TRX0620"/>
    <s v="TGL0525"/>
    <x v="24"/>
    <s v="CNA0148"/>
    <x v="43"/>
    <n v="53"/>
    <s v="BRCH003"/>
    <x v="2"/>
    <s v="KOA0104"/>
    <s v="Surabaya"/>
    <s v="MENU005"/>
    <s v="Croissant"/>
    <s v="KTG0206"/>
    <x v="1"/>
    <n v="1"/>
    <n v="23000"/>
    <n v="20"/>
    <n v="2.1"/>
    <s v="PAY0710"/>
    <x v="1"/>
    <n v="18400"/>
  </r>
  <r>
    <s v="TRX0359"/>
    <s v="TGL0526"/>
    <x v="25"/>
    <s v="CNA0149"/>
    <x v="44"/>
    <n v="33"/>
    <s v="BRCH005"/>
    <x v="4"/>
    <s v="KOA0106"/>
    <s v="Makassar"/>
    <s v="MENU003"/>
    <s v="Kopi Susu Gula Aren"/>
    <s v="KTG0205"/>
    <x v="0"/>
    <n v="1"/>
    <n v="22000"/>
    <n v="0"/>
    <n v="2.4"/>
    <s v="PAY0712"/>
    <x v="3"/>
    <n v="22000"/>
  </r>
  <r>
    <s v="TRX0872"/>
    <s v="TGL0526"/>
    <x v="25"/>
    <s v="CNA0150"/>
    <x v="45"/>
    <n v="24"/>
    <s v="BRCH002"/>
    <x v="1"/>
    <s v="KOA0103"/>
    <s v="Jakarta"/>
    <s v="MENU002"/>
    <s v="Red Velvet Cake"/>
    <s v="KTG0206"/>
    <x v="1"/>
    <n v="4"/>
    <n v="30000"/>
    <n v="10"/>
    <n v="3.5"/>
    <s v="PAY0712"/>
    <x v="3"/>
    <n v="108000"/>
  </r>
  <r>
    <s v="TRX0941"/>
    <s v="TGL0527"/>
    <x v="26"/>
    <s v="CNA0151"/>
    <x v="46"/>
    <n v="20"/>
    <s v="BRCH004"/>
    <x v="3"/>
    <s v="KOA0105"/>
    <s v="Medan"/>
    <s v="MENU008"/>
    <s v="Americano"/>
    <s v="KTG0205"/>
    <x v="0"/>
    <n v="4"/>
    <n v="20000"/>
    <n v="0"/>
    <n v="4.4000000000000004"/>
    <s v="PAY0711"/>
    <x v="2"/>
    <n v="80000"/>
  </r>
  <r>
    <s v="TRX0061"/>
    <s v="TGL0528"/>
    <x v="27"/>
    <s v="CNA0152"/>
    <x v="47"/>
    <n v="49"/>
    <s v="BRCH003"/>
    <x v="2"/>
    <s v="KOA0104"/>
    <s v="Surabaya"/>
    <s v="MENU009"/>
    <s v="Kentang Goreng"/>
    <s v="KTG0206"/>
    <x v="1"/>
    <n v="5"/>
    <n v="18000"/>
    <n v="5"/>
    <n v="4.2"/>
    <s v="PAY0710"/>
    <x v="1"/>
    <n v="85500"/>
  </r>
  <r>
    <s v="TRX0663"/>
    <s v="TGL0529"/>
    <x v="28"/>
    <s v="CNA0153"/>
    <x v="48"/>
    <n v="20"/>
    <s v="BRCH001"/>
    <x v="0"/>
    <s v="KOA0102"/>
    <s v="Bandung"/>
    <s v="MENU009"/>
    <s v="Kentang Goreng"/>
    <s v="KTG0206"/>
    <x v="1"/>
    <n v="5"/>
    <n v="18000"/>
    <n v="0"/>
    <n v="4.5"/>
    <s v="PAY0712"/>
    <x v="3"/>
    <n v="90000"/>
  </r>
  <r>
    <s v="TRX0509"/>
    <s v="TGL0529"/>
    <x v="28"/>
    <s v="CNA0154"/>
    <x v="49"/>
    <n v="44"/>
    <s v="BRCH003"/>
    <x v="2"/>
    <s v="KOA0104"/>
    <s v="Surabaya"/>
    <s v="MENU005"/>
    <s v="Croissant"/>
    <s v="KTG0206"/>
    <x v="1"/>
    <n v="3"/>
    <n v="23000"/>
    <n v="20"/>
    <n v="2.8"/>
    <s v="PAY0710"/>
    <x v="1"/>
    <n v="55200"/>
  </r>
  <r>
    <s v="TRX0264"/>
    <s v="TGL0530"/>
    <x v="29"/>
    <s v="CNA0155"/>
    <x v="50"/>
    <n v="18"/>
    <s v="BRCH002"/>
    <x v="1"/>
    <s v="KOA0103"/>
    <s v="Jakarta"/>
    <s v="MENU005"/>
    <s v="Croissant"/>
    <s v="KTG0206"/>
    <x v="1"/>
    <n v="5"/>
    <n v="23000"/>
    <n v="10"/>
    <n v="3.3"/>
    <s v="PAY0710"/>
    <x v="1"/>
    <n v="103500"/>
  </r>
  <r>
    <s v="TRX0135"/>
    <s v="TGL0531"/>
    <x v="30"/>
    <s v="CNA0133"/>
    <x v="31"/>
    <n v="42"/>
    <s v="BRCH003"/>
    <x v="2"/>
    <s v="KOA0104"/>
    <s v="Surabaya"/>
    <s v="MENU006"/>
    <s v="Sandwich Ayam"/>
    <s v="KTG0206"/>
    <x v="1"/>
    <n v="3"/>
    <n v="32000"/>
    <n v="0"/>
    <n v="3.5"/>
    <s v="PAY0709"/>
    <x v="0"/>
    <n v="96000"/>
  </r>
  <r>
    <s v="TRX0096"/>
    <s v="TGL0532"/>
    <x v="31"/>
    <s v="CNA0157"/>
    <x v="51"/>
    <n v="29"/>
    <s v="BRCH004"/>
    <x v="3"/>
    <s v="KOA0105"/>
    <s v="Medan"/>
    <s v="MENU010"/>
    <s v="Espresso"/>
    <s v="KTG0205"/>
    <x v="0"/>
    <n v="4"/>
    <n v="18000"/>
    <n v="0"/>
    <n v="4.4000000000000004"/>
    <s v="PAY0709"/>
    <x v="0"/>
    <n v="72000"/>
  </r>
  <r>
    <s v="TRX0293"/>
    <s v="TGL0532"/>
    <x v="31"/>
    <s v="CNA0158"/>
    <x v="52"/>
    <n v="48"/>
    <s v="BRCH004"/>
    <x v="3"/>
    <s v="KOA0105"/>
    <s v="Medan"/>
    <s v="MENU010"/>
    <s v="Espresso"/>
    <s v="KTG0205"/>
    <x v="0"/>
    <n v="5"/>
    <n v="18000"/>
    <n v="0"/>
    <n v="1.2"/>
    <s v="PAY0712"/>
    <x v="3"/>
    <n v="90000"/>
  </r>
  <r>
    <s v="TRX0020"/>
    <s v="TGL0532"/>
    <x v="31"/>
    <s v="CNA0159"/>
    <x v="53"/>
    <n v="17"/>
    <s v="BRCH004"/>
    <x v="3"/>
    <s v="KOA0105"/>
    <s v="Medan"/>
    <s v="MENU009"/>
    <s v="Kentang Goreng"/>
    <s v="KTG0206"/>
    <x v="1"/>
    <n v="5"/>
    <n v="18000"/>
    <n v="0"/>
    <n v="4.4000000000000004"/>
    <s v="PAY0712"/>
    <x v="3"/>
    <n v="90000"/>
  </r>
  <r>
    <s v="TRX0068"/>
    <s v="TGL0533"/>
    <x v="32"/>
    <s v="CNA0103"/>
    <x v="2"/>
    <n v="44"/>
    <s v="BRCH002"/>
    <x v="1"/>
    <s v="KOA0103"/>
    <s v="Jakarta"/>
    <s v="MENU001"/>
    <s v="Cappuccino"/>
    <s v="KTG0205"/>
    <x v="0"/>
    <n v="4"/>
    <n v="25000"/>
    <n v="0"/>
    <n v="3.3"/>
    <s v="PAY0709"/>
    <x v="0"/>
    <n v="100000"/>
  </r>
  <r>
    <s v="TRX0642"/>
    <s v="TGL0534"/>
    <x v="33"/>
    <s v="CNA0147"/>
    <x v="42"/>
    <n v="23"/>
    <s v="BRCH004"/>
    <x v="3"/>
    <s v="KOA0105"/>
    <s v="Medan"/>
    <s v="MENU010"/>
    <s v="Espresso"/>
    <s v="KTG0205"/>
    <x v="0"/>
    <n v="4"/>
    <n v="18000"/>
    <n v="5"/>
    <n v="3.9"/>
    <s v="PAY0711"/>
    <x v="2"/>
    <n v="68400"/>
  </r>
  <r>
    <s v="TRX0797"/>
    <s v="TGL0534"/>
    <x v="33"/>
    <s v="CNA0162"/>
    <x v="54"/>
    <n v="24"/>
    <s v="BRCH003"/>
    <x v="2"/>
    <s v="KOA0104"/>
    <s v="Surabaya"/>
    <s v="MENU004"/>
    <s v="Matcha Latte"/>
    <s v="KTG0207"/>
    <x v="2"/>
    <n v="5"/>
    <n v="28000"/>
    <n v="0"/>
    <n v="2.9"/>
    <s v="PAY0712"/>
    <x v="3"/>
    <n v="140000"/>
  </r>
  <r>
    <s v="TRX0331"/>
    <s v="TGL0534"/>
    <x v="33"/>
    <s v="CNA0137"/>
    <x v="34"/>
    <n v="32"/>
    <s v="BRCH001"/>
    <x v="0"/>
    <s v="KOA0102"/>
    <s v="Bandung"/>
    <s v="MENU010"/>
    <s v="Espresso"/>
    <s v="KTG0205"/>
    <x v="0"/>
    <n v="5"/>
    <n v="18000"/>
    <n v="20"/>
    <n v="3.2"/>
    <s v="PAY0710"/>
    <x v="1"/>
    <n v="72000"/>
  </r>
  <r>
    <s v="TRX0128"/>
    <s v="TGL0534"/>
    <x v="33"/>
    <s v="CNA0164"/>
    <x v="55"/>
    <n v="48"/>
    <s v="BRCH004"/>
    <x v="3"/>
    <s v="KOA0105"/>
    <s v="Medan"/>
    <s v="MENU005"/>
    <s v="Croissant"/>
    <s v="KTG0206"/>
    <x v="1"/>
    <n v="3"/>
    <n v="23000"/>
    <n v="0"/>
    <n v="1.4"/>
    <s v="PAY0711"/>
    <x v="2"/>
    <n v="69000"/>
  </r>
  <r>
    <s v="TRX0383"/>
    <s v="TGL0534"/>
    <x v="33"/>
    <s v="CNA0165"/>
    <x v="56"/>
    <n v="18"/>
    <s v="BRCH004"/>
    <x v="3"/>
    <s v="KOA0105"/>
    <s v="Medan"/>
    <s v="MENU001"/>
    <s v="Cappuccino"/>
    <s v="KTG0205"/>
    <x v="0"/>
    <n v="4"/>
    <n v="25000"/>
    <n v="0"/>
    <n v="4.8"/>
    <s v="PAY0712"/>
    <x v="3"/>
    <n v="100000"/>
  </r>
  <r>
    <s v="TRX0694"/>
    <s v="TGL0535"/>
    <x v="34"/>
    <s v="CNA0166"/>
    <x v="57"/>
    <n v="48"/>
    <s v="BRCH005"/>
    <x v="4"/>
    <s v="KOA0106"/>
    <s v="Makassar"/>
    <s v="MENU008"/>
    <s v="Americano"/>
    <s v="KTG0205"/>
    <x v="0"/>
    <n v="3"/>
    <n v="20000"/>
    <n v="20"/>
    <n v="2.2999999999999998"/>
    <s v="PAY0710"/>
    <x v="1"/>
    <n v="48000"/>
  </r>
  <r>
    <s v="TRX0450"/>
    <s v="TGL0536"/>
    <x v="35"/>
    <s v="CNA0167"/>
    <x v="58"/>
    <n v="38"/>
    <s v="BRCH003"/>
    <x v="2"/>
    <s v="KOA0104"/>
    <s v="Surabaya"/>
    <s v="MENU006"/>
    <s v="Sandwich Ayam"/>
    <s v="KTG0206"/>
    <x v="1"/>
    <n v="3"/>
    <n v="32000"/>
    <n v="0"/>
    <n v="3.8"/>
    <s v="PAY0709"/>
    <x v="0"/>
    <n v="96000"/>
  </r>
  <r>
    <s v="TRX0778"/>
    <s v="TGL0537"/>
    <x v="36"/>
    <s v="CNA0168"/>
    <x v="59"/>
    <n v="37"/>
    <s v="BRCH002"/>
    <x v="1"/>
    <s v="KOA0103"/>
    <s v="Jakarta"/>
    <s v="MENU001"/>
    <s v="Cappuccino"/>
    <s v="KTG0205"/>
    <x v="0"/>
    <n v="1"/>
    <n v="25000"/>
    <n v="0"/>
    <n v="3.7"/>
    <s v="PAY0709"/>
    <x v="0"/>
    <n v="25000"/>
  </r>
  <r>
    <s v="TRX0334"/>
    <s v="TGL0537"/>
    <x v="36"/>
    <s v="CNA0169"/>
    <x v="60"/>
    <n v="53"/>
    <s v="BRCH005"/>
    <x v="4"/>
    <s v="KOA0106"/>
    <s v="Makassar"/>
    <s v="MENU003"/>
    <s v="Kopi Susu Gula Aren"/>
    <s v="KTG0205"/>
    <x v="0"/>
    <n v="2"/>
    <n v="22000"/>
    <n v="0"/>
    <n v="3.3"/>
    <s v="PAY0710"/>
    <x v="1"/>
    <n v="44000"/>
  </r>
  <r>
    <s v="TRX0561"/>
    <s v="TGL0538"/>
    <x v="37"/>
    <s v="CNA0170"/>
    <x v="61"/>
    <n v="18"/>
    <s v="BRCH001"/>
    <x v="0"/>
    <s v="KOA0102"/>
    <s v="Bandung"/>
    <s v="MENU010"/>
    <s v="Espresso"/>
    <s v="KTG0205"/>
    <x v="0"/>
    <n v="3"/>
    <n v="18000"/>
    <n v="0"/>
    <n v="2.1"/>
    <s v="PAY0709"/>
    <x v="0"/>
    <n v="54000"/>
  </r>
  <r>
    <s v="TRX0255"/>
    <s v="TGL0538"/>
    <x v="37"/>
    <s v="CNA0171"/>
    <x v="62"/>
    <n v="43"/>
    <s v="BRCH001"/>
    <x v="0"/>
    <s v="KOA0102"/>
    <s v="Bandung"/>
    <s v="MENU008"/>
    <s v="Americano"/>
    <s v="KTG0205"/>
    <x v="0"/>
    <n v="3"/>
    <n v="20000"/>
    <n v="5"/>
    <n v="4.8"/>
    <s v="PAY0709"/>
    <x v="0"/>
    <n v="57000"/>
  </r>
  <r>
    <s v="TRX0591"/>
    <s v="TGL0539"/>
    <x v="38"/>
    <s v="CNA0172"/>
    <x v="63"/>
    <n v="51"/>
    <s v="BRCH005"/>
    <x v="4"/>
    <s v="KOA0106"/>
    <s v="Makassar"/>
    <s v="MENU009"/>
    <s v="Kentang Goreng"/>
    <s v="KTG0206"/>
    <x v="1"/>
    <n v="1"/>
    <n v="18000"/>
    <n v="0"/>
    <n v="2.7"/>
    <s v="PAY0711"/>
    <x v="2"/>
    <n v="18000"/>
  </r>
  <r>
    <s v="TRX0092"/>
    <s v="TGL0539"/>
    <x v="38"/>
    <s v="CNA0173"/>
    <x v="64"/>
    <n v="35"/>
    <s v="BRCH001"/>
    <x v="0"/>
    <s v="KOA0102"/>
    <s v="Bandung"/>
    <s v="MENU007"/>
    <s v="Chocolate Latte"/>
    <s v="KTG0207"/>
    <x v="2"/>
    <n v="1"/>
    <n v="27000"/>
    <n v="5"/>
    <n v="2.6"/>
    <s v="PAY0712"/>
    <x v="3"/>
    <n v="25650"/>
  </r>
  <r>
    <s v="TRX0214"/>
    <s v="TGL0540"/>
    <x v="39"/>
    <s v="CNA0174"/>
    <x v="65"/>
    <n v="48"/>
    <s v="BRCH004"/>
    <x v="3"/>
    <s v="KOA0105"/>
    <s v="Medan"/>
    <s v="MENU009"/>
    <s v="Kentang Goreng"/>
    <s v="KTG0206"/>
    <x v="1"/>
    <n v="4"/>
    <n v="18000"/>
    <n v="0"/>
    <n v="1.7"/>
    <s v="PAY0711"/>
    <x v="2"/>
    <n v="72000"/>
  </r>
  <r>
    <s v="TRX0597"/>
    <s v="TGL0540"/>
    <x v="39"/>
    <s v="CNA0175"/>
    <x v="66"/>
    <n v="48"/>
    <s v="BRCH005"/>
    <x v="4"/>
    <s v="KOA0106"/>
    <s v="Makassar"/>
    <s v="MENU006"/>
    <s v="Sandwich Ayam"/>
    <s v="KTG0206"/>
    <x v="1"/>
    <n v="4"/>
    <n v="32000"/>
    <n v="0"/>
    <n v="1.3"/>
    <s v="PAY0710"/>
    <x v="1"/>
    <n v="128000"/>
  </r>
  <r>
    <s v="TRX0171"/>
    <s v="TGL0540"/>
    <x v="39"/>
    <s v="CNA0176"/>
    <x v="67"/>
    <n v="25"/>
    <s v="BRCH005"/>
    <x v="4"/>
    <s v="KOA0106"/>
    <s v="Makassar"/>
    <s v="MENU001"/>
    <s v="Cappuccino"/>
    <s v="KTG0205"/>
    <x v="0"/>
    <n v="1"/>
    <n v="25000"/>
    <n v="10"/>
    <n v="2.4"/>
    <s v="PAY0712"/>
    <x v="3"/>
    <n v="22500"/>
  </r>
  <r>
    <s v="TRX0422"/>
    <s v="TGL0540"/>
    <x v="39"/>
    <s v="CNA0177"/>
    <x v="68"/>
    <n v="38"/>
    <s v="BRCH002"/>
    <x v="1"/>
    <s v="KOA0103"/>
    <s v="Jakarta"/>
    <s v="MENU005"/>
    <s v="Croissant"/>
    <s v="KTG0206"/>
    <x v="1"/>
    <n v="1"/>
    <n v="23000"/>
    <n v="15"/>
    <n v="2"/>
    <s v="PAY0711"/>
    <x v="2"/>
    <n v="19550"/>
  </r>
  <r>
    <s v="TRX0835"/>
    <s v="TGL0540"/>
    <x v="39"/>
    <s v="CNA0115"/>
    <x v="14"/>
    <n v="46"/>
    <s v="BRCH002"/>
    <x v="1"/>
    <s v="KOA0103"/>
    <s v="Jakarta"/>
    <s v="MENU004"/>
    <s v="Matcha Latte"/>
    <s v="KTG0207"/>
    <x v="2"/>
    <n v="2"/>
    <n v="28000"/>
    <n v="20"/>
    <n v="2"/>
    <s v="PAY0710"/>
    <x v="1"/>
    <n v="44800"/>
  </r>
  <r>
    <s v="TRX0604"/>
    <s v="TGL0541"/>
    <x v="40"/>
    <s v="CNA0150"/>
    <x v="45"/>
    <n v="24"/>
    <s v="BRCH002"/>
    <x v="1"/>
    <s v="KOA0103"/>
    <s v="Jakarta"/>
    <s v="MENU002"/>
    <s v="Red Velvet Cake"/>
    <s v="KTG0206"/>
    <x v="1"/>
    <n v="5"/>
    <n v="30000"/>
    <n v="0"/>
    <n v="4.5"/>
    <s v="PAY0709"/>
    <x v="0"/>
    <n v="150000"/>
  </r>
  <r>
    <s v="TRX0085"/>
    <s v="TGL0542"/>
    <x v="41"/>
    <s v="CNA0180"/>
    <x v="69"/>
    <n v="19"/>
    <s v="BRCH003"/>
    <x v="2"/>
    <s v="KOA0104"/>
    <s v="Surabaya"/>
    <s v="MENU004"/>
    <s v="Matcha Latte"/>
    <s v="KTG0207"/>
    <x v="2"/>
    <n v="1"/>
    <n v="28000"/>
    <n v="20"/>
    <n v="3"/>
    <s v="PAY0711"/>
    <x v="2"/>
    <n v="22400"/>
  </r>
  <r>
    <s v="TRX0923"/>
    <s v="TGL0542"/>
    <x v="41"/>
    <s v="CNA0181"/>
    <x v="70"/>
    <n v="43"/>
    <s v="BRCH002"/>
    <x v="1"/>
    <s v="KOA0103"/>
    <s v="Jakarta"/>
    <s v="MENU006"/>
    <s v="Sandwich Ayam"/>
    <s v="KTG0206"/>
    <x v="1"/>
    <n v="3"/>
    <n v="32000"/>
    <n v="5"/>
    <n v="3.5"/>
    <s v="PAY0711"/>
    <x v="2"/>
    <n v="91200"/>
  </r>
  <r>
    <s v="TRX0871"/>
    <s v="TGL0543"/>
    <x v="42"/>
    <s v="CNA0107"/>
    <x v="6"/>
    <n v="19"/>
    <s v="BRCH002"/>
    <x v="1"/>
    <s v="KOA0103"/>
    <s v="Jakarta"/>
    <s v="MENU003"/>
    <s v="Kopi Susu Gula Aren"/>
    <s v="KTG0205"/>
    <x v="0"/>
    <n v="2"/>
    <n v="22000"/>
    <n v="0"/>
    <n v="1.6"/>
    <s v="PAY0712"/>
    <x v="3"/>
    <n v="44000"/>
  </r>
  <r>
    <s v="TRX0147"/>
    <s v="TGL0543"/>
    <x v="42"/>
    <s v="CNA0183"/>
    <x v="71"/>
    <n v="54"/>
    <s v="BRCH003"/>
    <x v="2"/>
    <s v="KOA0104"/>
    <s v="Surabaya"/>
    <s v="MENU001"/>
    <s v="Cappuccino"/>
    <s v="KTG0205"/>
    <x v="0"/>
    <n v="4"/>
    <n v="25000"/>
    <n v="20"/>
    <n v="2.2000000000000002"/>
    <s v="PAY0712"/>
    <x v="3"/>
    <n v="80000"/>
  </r>
  <r>
    <s v="TRX0578"/>
    <s v="TGL0543"/>
    <x v="42"/>
    <s v="CNA0184"/>
    <x v="72"/>
    <n v="24"/>
    <s v="BRCH001"/>
    <x v="0"/>
    <s v="KOA0102"/>
    <s v="Bandung"/>
    <s v="MENU002"/>
    <s v="Red Velvet Cake"/>
    <s v="KTG0206"/>
    <x v="1"/>
    <n v="4"/>
    <n v="30000"/>
    <n v="15"/>
    <n v="1.9"/>
    <s v="PAY0709"/>
    <x v="0"/>
    <n v="102000"/>
  </r>
  <r>
    <s v="TRX0503"/>
    <s v="TGL0543"/>
    <x v="42"/>
    <s v="CNA0185"/>
    <x v="73"/>
    <n v="22"/>
    <s v="BRCH004"/>
    <x v="3"/>
    <s v="KOA0105"/>
    <s v="Medan"/>
    <s v="MENU007"/>
    <s v="Chocolate Latte"/>
    <s v="KTG0207"/>
    <x v="2"/>
    <n v="4"/>
    <n v="27000"/>
    <n v="5"/>
    <n v="3.5"/>
    <s v="PAY0712"/>
    <x v="3"/>
    <n v="102600"/>
  </r>
  <r>
    <s v="TRX0982"/>
    <s v="TGL0543"/>
    <x v="42"/>
    <s v="CNA0186"/>
    <x v="74"/>
    <n v="53"/>
    <s v="BRCH003"/>
    <x v="2"/>
    <s v="KOA0104"/>
    <s v="Surabaya"/>
    <s v="MENU002"/>
    <s v="Red Velvet Cake"/>
    <s v="KTG0206"/>
    <x v="1"/>
    <n v="5"/>
    <n v="30000"/>
    <n v="0"/>
    <n v="3.6"/>
    <s v="PAY0711"/>
    <x v="2"/>
    <n v="150000"/>
  </r>
  <r>
    <s v="TRX0557"/>
    <s v="TGL0544"/>
    <x v="43"/>
    <s v="CNA0187"/>
    <x v="75"/>
    <n v="49"/>
    <s v="BRCH001"/>
    <x v="0"/>
    <s v="KOA0102"/>
    <s v="Bandung"/>
    <s v="MENU003"/>
    <s v="Kopi Susu Gula Aren"/>
    <s v="KTG0205"/>
    <x v="0"/>
    <n v="1"/>
    <n v="22000"/>
    <n v="0"/>
    <n v="1.3"/>
    <s v="PAY0710"/>
    <x v="1"/>
    <n v="22000"/>
  </r>
  <r>
    <s v="TRX0164"/>
    <s v="TGL0544"/>
    <x v="43"/>
    <s v="CNA0188"/>
    <x v="76"/>
    <n v="19"/>
    <s v="BRCH005"/>
    <x v="4"/>
    <s v="KOA0106"/>
    <s v="Makassar"/>
    <s v="MENU009"/>
    <s v="Kentang Goreng"/>
    <s v="KTG0206"/>
    <x v="1"/>
    <n v="2"/>
    <n v="18000"/>
    <n v="10"/>
    <n v="4"/>
    <s v="PAY0711"/>
    <x v="2"/>
    <n v="32400"/>
  </r>
  <r>
    <s v="TRX0160"/>
    <s v="TGL0545"/>
    <x v="44"/>
    <s v="CNA0127"/>
    <x v="25"/>
    <n v="48"/>
    <s v="BRCH001"/>
    <x v="0"/>
    <s v="KOA0102"/>
    <s v="Bandung"/>
    <s v="MENU009"/>
    <s v="Kentang Goreng"/>
    <s v="KTG0206"/>
    <x v="1"/>
    <n v="3"/>
    <n v="18000"/>
    <n v="0"/>
    <n v="3.1"/>
    <s v="PAY0710"/>
    <x v="1"/>
    <n v="54000"/>
  </r>
  <r>
    <s v="TRX0030"/>
    <s v="TGL0545"/>
    <x v="44"/>
    <s v="CNA0133"/>
    <x v="31"/>
    <n v="42"/>
    <s v="BRCH001"/>
    <x v="0"/>
    <s v="KOA0102"/>
    <s v="Bandung"/>
    <s v="MENU010"/>
    <s v="Espresso"/>
    <s v="KTG0205"/>
    <x v="0"/>
    <n v="3"/>
    <n v="18000"/>
    <n v="0"/>
    <n v="2.2999999999999998"/>
    <s v="PAY0712"/>
    <x v="3"/>
    <n v="54000"/>
  </r>
  <r>
    <s v="TRX0978"/>
    <s v="TGL0545"/>
    <x v="44"/>
    <s v="CNA0191"/>
    <x v="77"/>
    <n v="41"/>
    <s v="BRCH001"/>
    <x v="0"/>
    <s v="KOA0102"/>
    <s v="Bandung"/>
    <s v="MENU010"/>
    <s v="Espresso"/>
    <s v="KTG0205"/>
    <x v="0"/>
    <n v="3"/>
    <n v="18000"/>
    <n v="0"/>
    <n v="5"/>
    <s v="PAY0710"/>
    <x v="1"/>
    <n v="54000"/>
  </r>
  <r>
    <s v="TRX0521"/>
    <s v="TGL0545"/>
    <x v="44"/>
    <s v="CNA0192"/>
    <x v="78"/>
    <n v="20"/>
    <s v="BRCH005"/>
    <x v="4"/>
    <s v="KOA0106"/>
    <s v="Makassar"/>
    <s v="MENU001"/>
    <s v="Cappuccino"/>
    <s v="KTG0205"/>
    <x v="0"/>
    <n v="4"/>
    <n v="25000"/>
    <n v="10"/>
    <n v="2.6"/>
    <s v="PAY0710"/>
    <x v="1"/>
    <n v="90000"/>
  </r>
  <r>
    <s v="TRX0963"/>
    <s v="TGL0546"/>
    <x v="45"/>
    <s v="CNA0153"/>
    <x v="48"/>
    <n v="20"/>
    <s v="BRCH003"/>
    <x v="2"/>
    <s v="KOA0104"/>
    <s v="Surabaya"/>
    <s v="MENU002"/>
    <s v="Red Velvet Cake"/>
    <s v="KTG0206"/>
    <x v="1"/>
    <n v="3"/>
    <n v="30000"/>
    <n v="10"/>
    <n v="2.6"/>
    <s v="PAY0710"/>
    <x v="1"/>
    <n v="81000"/>
  </r>
  <r>
    <s v="TRX0969"/>
    <s v="TGL0546"/>
    <x v="45"/>
    <s v="CNA0122"/>
    <x v="21"/>
    <n v="20"/>
    <s v="BRCH004"/>
    <x v="3"/>
    <s v="KOA0105"/>
    <s v="Medan"/>
    <s v="MENU010"/>
    <s v="Espresso"/>
    <s v="KTG0205"/>
    <x v="0"/>
    <n v="3"/>
    <n v="18000"/>
    <n v="0"/>
    <n v="3.5"/>
    <s v="PAY0710"/>
    <x v="1"/>
    <n v="54000"/>
  </r>
  <r>
    <s v="TRX0601"/>
    <s v="TGL0547"/>
    <x v="46"/>
    <s v="CNA0195"/>
    <x v="79"/>
    <n v="42"/>
    <s v="BRCH005"/>
    <x v="4"/>
    <s v="KOA0106"/>
    <s v="Makassar"/>
    <s v="MENU003"/>
    <s v="Kopi Susu Gula Aren"/>
    <s v="KTG0205"/>
    <x v="0"/>
    <n v="4"/>
    <n v="22000"/>
    <n v="5"/>
    <n v="1.1000000000000001"/>
    <s v="PAY0710"/>
    <x v="1"/>
    <n v="83600"/>
  </r>
  <r>
    <s v="TRX0616"/>
    <s v="TGL0547"/>
    <x v="46"/>
    <s v="CNA0128"/>
    <x v="26"/>
    <n v="36"/>
    <s v="BRCH003"/>
    <x v="2"/>
    <s v="KOA0104"/>
    <s v="Surabaya"/>
    <s v="MENU004"/>
    <s v="Matcha Latte"/>
    <s v="KTG0207"/>
    <x v="2"/>
    <n v="2"/>
    <n v="28000"/>
    <n v="20"/>
    <n v="4.4000000000000004"/>
    <s v="PAY0709"/>
    <x v="0"/>
    <n v="44800"/>
  </r>
  <r>
    <s v="TRX0406"/>
    <s v="TGL0548"/>
    <x v="47"/>
    <s v="CNA0138"/>
    <x v="35"/>
    <n v="53"/>
    <s v="BRCH005"/>
    <x v="4"/>
    <s v="KOA0106"/>
    <s v="Makassar"/>
    <s v="MENU004"/>
    <s v="Matcha Latte"/>
    <s v="KTG0207"/>
    <x v="2"/>
    <n v="4"/>
    <n v="28000"/>
    <n v="0"/>
    <n v="3.1"/>
    <s v="PAY0711"/>
    <x v="2"/>
    <n v="112000"/>
  </r>
  <r>
    <s v="TRX0182"/>
    <s v="TGL0548"/>
    <x v="47"/>
    <s v="CNA0158"/>
    <x v="52"/>
    <n v="48"/>
    <s v="BRCH001"/>
    <x v="0"/>
    <s v="KOA0102"/>
    <s v="Bandung"/>
    <s v="MENU007"/>
    <s v="Chocolate Latte"/>
    <s v="KTG0207"/>
    <x v="2"/>
    <n v="2"/>
    <n v="27000"/>
    <n v="0"/>
    <n v="2.9"/>
    <s v="PAY0712"/>
    <x v="3"/>
    <n v="54000"/>
  </r>
  <r>
    <s v="TRX0189"/>
    <s v="TGL0548"/>
    <x v="47"/>
    <s v="CNA0199"/>
    <x v="80"/>
    <n v="24"/>
    <s v="BRCH004"/>
    <x v="3"/>
    <s v="KOA0105"/>
    <s v="Medan"/>
    <s v="MENU005"/>
    <s v="Croissant"/>
    <s v="KTG0206"/>
    <x v="1"/>
    <n v="1"/>
    <n v="23000"/>
    <n v="0"/>
    <n v="1.8"/>
    <s v="PAY0709"/>
    <x v="0"/>
    <n v="23000"/>
  </r>
  <r>
    <s v="TRX0390"/>
    <s v="TGL0548"/>
    <x v="47"/>
    <s v="CNA0200"/>
    <x v="81"/>
    <n v="51"/>
    <s v="BRCH003"/>
    <x v="2"/>
    <s v="KOA0104"/>
    <s v="Surabaya"/>
    <s v="MENU004"/>
    <s v="Matcha Latte"/>
    <s v="KTG0207"/>
    <x v="2"/>
    <n v="4"/>
    <n v="28000"/>
    <n v="0"/>
    <n v="4.4000000000000004"/>
    <s v="PAY0710"/>
    <x v="1"/>
    <n v="112000"/>
  </r>
  <r>
    <s v="TRX0576"/>
    <s v="TGL0549"/>
    <x v="48"/>
    <s v="CNA0201"/>
    <x v="82"/>
    <n v="23"/>
    <s v="BRCH002"/>
    <x v="1"/>
    <s v="KOA0103"/>
    <s v="Jakarta"/>
    <s v="MENU008"/>
    <s v="Americano"/>
    <s v="KTG0205"/>
    <x v="0"/>
    <n v="2"/>
    <n v="20000"/>
    <n v="20"/>
    <n v="2.2999999999999998"/>
    <s v="PAY0712"/>
    <x v="3"/>
    <n v="32000"/>
  </r>
  <r>
    <s v="TRX0300"/>
    <s v="TGL0550"/>
    <x v="49"/>
    <s v="CNA0202"/>
    <x v="83"/>
    <n v="53"/>
    <s v="BRCH004"/>
    <x v="3"/>
    <s v="KOA0105"/>
    <s v="Medan"/>
    <s v="MENU001"/>
    <s v="Cappuccino"/>
    <s v="KTG0205"/>
    <x v="0"/>
    <n v="4"/>
    <n v="25000"/>
    <n v="0"/>
    <n v="3.5"/>
    <s v="PAY0712"/>
    <x v="3"/>
    <n v="100000"/>
  </r>
  <r>
    <s v="TRX0918"/>
    <s v="TGL0551"/>
    <x v="50"/>
    <s v="CNA0203"/>
    <x v="84"/>
    <n v="22"/>
    <s v="BRCH003"/>
    <x v="2"/>
    <s v="KOA0104"/>
    <s v="Surabaya"/>
    <s v="MENU009"/>
    <s v="Kentang Goreng"/>
    <s v="KTG0206"/>
    <x v="1"/>
    <n v="4"/>
    <n v="18000"/>
    <n v="0"/>
    <n v="4.5"/>
    <s v="PAY0711"/>
    <x v="2"/>
    <n v="72000"/>
  </r>
  <r>
    <s v="TRX0477"/>
    <s v="TGL0551"/>
    <x v="50"/>
    <s v="CNA0204"/>
    <x v="85"/>
    <n v="40"/>
    <s v="BRCH004"/>
    <x v="3"/>
    <s v="KOA0105"/>
    <s v="Medan"/>
    <s v="MENU004"/>
    <s v="Matcha Latte"/>
    <s v="KTG0207"/>
    <x v="2"/>
    <n v="2"/>
    <n v="28000"/>
    <n v="0"/>
    <n v="1.9"/>
    <s v="PAY0710"/>
    <x v="1"/>
    <n v="56000"/>
  </r>
  <r>
    <s v="TRX0931"/>
    <s v="TGL0551"/>
    <x v="50"/>
    <s v="CNA0205"/>
    <x v="86"/>
    <n v="17"/>
    <s v="BRCH001"/>
    <x v="0"/>
    <s v="KOA0102"/>
    <s v="Bandung"/>
    <s v="MENU002"/>
    <s v="Red Velvet Cake"/>
    <s v="KTG0206"/>
    <x v="1"/>
    <n v="2"/>
    <n v="30000"/>
    <n v="0"/>
    <n v="3.5"/>
    <s v="PAY0712"/>
    <x v="3"/>
    <n v="60000"/>
  </r>
  <r>
    <s v="TRX0471"/>
    <s v="TGL0552"/>
    <x v="51"/>
    <s v="CNA0192"/>
    <x v="78"/>
    <n v="20"/>
    <s v="BRCH003"/>
    <x v="2"/>
    <s v="KOA0104"/>
    <s v="Surabaya"/>
    <s v="MENU002"/>
    <s v="Red Velvet Cake"/>
    <s v="KTG0206"/>
    <x v="1"/>
    <n v="1"/>
    <n v="30000"/>
    <n v="15"/>
    <n v="2.2000000000000002"/>
    <s v="PAY0711"/>
    <x v="2"/>
    <n v="25500"/>
  </r>
  <r>
    <s v="TRX0655"/>
    <s v="TGL0553"/>
    <x v="52"/>
    <s v="CNA0207"/>
    <x v="87"/>
    <n v="50"/>
    <s v="BRCH005"/>
    <x v="4"/>
    <s v="KOA0106"/>
    <s v="Makassar"/>
    <s v="MENU005"/>
    <s v="Croissant"/>
    <s v="KTG0206"/>
    <x v="1"/>
    <n v="4"/>
    <n v="23000"/>
    <n v="0"/>
    <n v="3.1"/>
    <s v="PAY0709"/>
    <x v="0"/>
    <n v="92000"/>
  </r>
  <r>
    <s v="TRX0844"/>
    <s v="TGL0554"/>
    <x v="53"/>
    <s v="CNA0208"/>
    <x v="88"/>
    <n v="21"/>
    <s v="BRCH005"/>
    <x v="4"/>
    <s v="KOA0106"/>
    <s v="Makassar"/>
    <s v="MENU009"/>
    <s v="Kentang Goreng"/>
    <s v="KTG0206"/>
    <x v="1"/>
    <n v="4"/>
    <n v="18000"/>
    <n v="5"/>
    <n v="1.1000000000000001"/>
    <s v="PAY0709"/>
    <x v="0"/>
    <n v="68400"/>
  </r>
  <r>
    <s v="TRX0555"/>
    <s v="TGL0554"/>
    <x v="53"/>
    <s v="CNA0201"/>
    <x v="82"/>
    <n v="23"/>
    <s v="BRCH001"/>
    <x v="0"/>
    <s v="KOA0102"/>
    <s v="Bandung"/>
    <s v="MENU002"/>
    <s v="Red Velvet Cake"/>
    <s v="KTG0206"/>
    <x v="1"/>
    <n v="2"/>
    <n v="30000"/>
    <n v="0"/>
    <n v="2"/>
    <s v="PAY0712"/>
    <x v="3"/>
    <n v="60000"/>
  </r>
  <r>
    <s v="TRX0321"/>
    <s v="TGL0554"/>
    <x v="53"/>
    <s v="CNA0202"/>
    <x v="83"/>
    <n v="53"/>
    <s v="BRCH002"/>
    <x v="1"/>
    <s v="KOA0103"/>
    <s v="Jakarta"/>
    <s v="MENU001"/>
    <s v="Cappuccino"/>
    <s v="KTG0205"/>
    <x v="0"/>
    <n v="3"/>
    <n v="25000"/>
    <n v="0"/>
    <n v="3.5"/>
    <s v="PAY0712"/>
    <x v="3"/>
    <n v="75000"/>
  </r>
  <r>
    <s v="TRX0213"/>
    <s v="TGL0554"/>
    <x v="53"/>
    <s v="CNA0211"/>
    <x v="89"/>
    <n v="49"/>
    <s v="BRCH005"/>
    <x v="4"/>
    <s v="KOA0106"/>
    <s v="Makassar"/>
    <s v="MENU007"/>
    <s v="Chocolate Latte"/>
    <s v="KTG0207"/>
    <x v="2"/>
    <n v="1"/>
    <n v="27000"/>
    <n v="10"/>
    <n v="4.9000000000000004"/>
    <s v="PAY0712"/>
    <x v="3"/>
    <n v="24300"/>
  </r>
  <r>
    <s v="TRX0374"/>
    <s v="TGL0555"/>
    <x v="54"/>
    <s v="CNA0212"/>
    <x v="90"/>
    <n v="39"/>
    <s v="BRCH001"/>
    <x v="0"/>
    <s v="KOA0102"/>
    <s v="Bandung"/>
    <s v="MENU003"/>
    <s v="Kopi Susu Gula Aren"/>
    <s v="KTG0205"/>
    <x v="0"/>
    <n v="4"/>
    <n v="22000"/>
    <n v="0"/>
    <n v="3.4"/>
    <s v="PAY0710"/>
    <x v="1"/>
    <n v="88000"/>
  </r>
  <r>
    <s v="TRX0512"/>
    <s v="TGL0556"/>
    <x v="55"/>
    <s v="CNA0168"/>
    <x v="59"/>
    <n v="37"/>
    <s v="BRCH005"/>
    <x v="4"/>
    <s v="KOA0106"/>
    <s v="Makassar"/>
    <s v="MENU006"/>
    <s v="Sandwich Ayam"/>
    <s v="KTG0206"/>
    <x v="1"/>
    <n v="3"/>
    <n v="32000"/>
    <n v="0"/>
    <n v="4.3"/>
    <s v="PAY0711"/>
    <x v="2"/>
    <n v="96000"/>
  </r>
  <r>
    <s v="TRX0595"/>
    <s v="TGL0557"/>
    <x v="56"/>
    <s v="CNA0214"/>
    <x v="91"/>
    <n v="18"/>
    <s v="BRCH001"/>
    <x v="0"/>
    <s v="KOA0102"/>
    <s v="Bandung"/>
    <s v="MENU008"/>
    <s v="Americano"/>
    <s v="KTG0205"/>
    <x v="0"/>
    <n v="4"/>
    <n v="20000"/>
    <n v="0"/>
    <n v="3.6"/>
    <s v="PAY0711"/>
    <x v="2"/>
    <n v="80000"/>
  </r>
  <r>
    <s v="TRX0346"/>
    <s v="TGL0558"/>
    <x v="57"/>
    <s v="CNA0215"/>
    <x v="92"/>
    <n v="52"/>
    <s v="BRCH002"/>
    <x v="1"/>
    <s v="KOA0103"/>
    <s v="Jakarta"/>
    <s v="MENU003"/>
    <s v="Kopi Susu Gula Aren"/>
    <s v="KTG0205"/>
    <x v="0"/>
    <n v="2"/>
    <n v="22000"/>
    <n v="0"/>
    <n v="3.2"/>
    <s v="PAY0709"/>
    <x v="0"/>
    <n v="44000"/>
  </r>
  <r>
    <s v="TRX0276"/>
    <s v="TGL0559"/>
    <x v="58"/>
    <s v="CNA0137"/>
    <x v="34"/>
    <n v="32"/>
    <s v="BRCH003"/>
    <x v="2"/>
    <s v="KOA0104"/>
    <s v="Surabaya"/>
    <s v="MENU002"/>
    <s v="Red Velvet Cake"/>
    <s v="KTG0206"/>
    <x v="1"/>
    <n v="1"/>
    <n v="30000"/>
    <n v="5"/>
    <n v="3.1"/>
    <s v="PAY0710"/>
    <x v="1"/>
    <n v="28500"/>
  </r>
  <r>
    <s v="TRX0900"/>
    <s v="TGL0559"/>
    <x v="58"/>
    <s v="CNA0217"/>
    <x v="93"/>
    <n v="25"/>
    <s v="BRCH002"/>
    <x v="1"/>
    <s v="KOA0103"/>
    <s v="Jakarta"/>
    <s v="MENU001"/>
    <s v="Cappuccino"/>
    <s v="KTG0205"/>
    <x v="0"/>
    <n v="5"/>
    <n v="25000"/>
    <n v="0"/>
    <n v="1.7"/>
    <s v="PAY0712"/>
    <x v="3"/>
    <n v="125000"/>
  </r>
  <r>
    <s v="TRX0701"/>
    <s v="TGL0559"/>
    <x v="58"/>
    <s v="CNA0117"/>
    <x v="16"/>
    <n v="53"/>
    <s v="BRCH004"/>
    <x v="3"/>
    <s v="KOA0105"/>
    <s v="Medan"/>
    <s v="MENU004"/>
    <s v="Matcha Latte"/>
    <s v="KTG0207"/>
    <x v="2"/>
    <n v="5"/>
    <n v="28000"/>
    <n v="0"/>
    <n v="4.8"/>
    <s v="PAY0710"/>
    <x v="1"/>
    <n v="140000"/>
  </r>
  <r>
    <s v="TRX0530"/>
    <s v="TGL0559"/>
    <x v="58"/>
    <s v="CNA0219"/>
    <x v="94"/>
    <n v="23"/>
    <s v="BRCH005"/>
    <x v="4"/>
    <s v="KOA0106"/>
    <s v="Makassar"/>
    <s v="MENU004"/>
    <s v="Matcha Latte"/>
    <s v="KTG0207"/>
    <x v="2"/>
    <n v="3"/>
    <n v="28000"/>
    <n v="15"/>
    <n v="3.9"/>
    <s v="PAY0711"/>
    <x v="2"/>
    <n v="71400"/>
  </r>
  <r>
    <s v="TRX0205"/>
    <s v="TGL0560"/>
    <x v="59"/>
    <s v="CNA0164"/>
    <x v="55"/>
    <n v="48"/>
    <s v="BRCH002"/>
    <x v="1"/>
    <s v="KOA0103"/>
    <s v="Jakarta"/>
    <s v="MENU010"/>
    <s v="Espresso"/>
    <s v="KTG0205"/>
    <x v="0"/>
    <n v="2"/>
    <n v="18000"/>
    <n v="5"/>
    <n v="2.5"/>
    <s v="PAY0710"/>
    <x v="1"/>
    <n v="34200"/>
  </r>
  <r>
    <s v="TRX0312"/>
    <s v="TGL0560"/>
    <x v="59"/>
    <s v="CNA0131"/>
    <x v="29"/>
    <n v="45"/>
    <s v="BRCH004"/>
    <x v="3"/>
    <s v="KOA0105"/>
    <s v="Medan"/>
    <s v="MENU009"/>
    <s v="Kentang Goreng"/>
    <s v="KTG0206"/>
    <x v="1"/>
    <n v="2"/>
    <n v="18000"/>
    <n v="15"/>
    <n v="2.2999999999999998"/>
    <s v="PAY0709"/>
    <x v="0"/>
    <n v="30600"/>
  </r>
  <r>
    <s v="TRX0593"/>
    <s v="TGL0561"/>
    <x v="60"/>
    <s v="CNA0222"/>
    <x v="95"/>
    <n v="34"/>
    <s v="BRCH005"/>
    <x v="4"/>
    <s v="KOA0106"/>
    <s v="Makassar"/>
    <s v="MENU006"/>
    <s v="Sandwich Ayam"/>
    <s v="KTG0206"/>
    <x v="1"/>
    <n v="1"/>
    <n v="32000"/>
    <n v="0"/>
    <n v="4.2"/>
    <s v="PAY0710"/>
    <x v="1"/>
    <n v="32000"/>
  </r>
  <r>
    <s v="TRX0621"/>
    <s v="TGL0561"/>
    <x v="60"/>
    <s v="CNA0223"/>
    <x v="96"/>
    <n v="18"/>
    <s v="BRCH005"/>
    <x v="4"/>
    <s v="KOA0106"/>
    <s v="Makassar"/>
    <s v="MENU007"/>
    <s v="Chocolate Latte"/>
    <s v="KTG0207"/>
    <x v="2"/>
    <n v="4"/>
    <n v="27000"/>
    <n v="0"/>
    <n v="2.6"/>
    <s v="PAY0709"/>
    <x v="0"/>
    <n v="108000"/>
  </r>
  <r>
    <s v="TRX0773"/>
    <s v="TGL0561"/>
    <x v="60"/>
    <s v="CNA0224"/>
    <x v="97"/>
    <n v="49"/>
    <s v="BRCH002"/>
    <x v="1"/>
    <s v="KOA0103"/>
    <s v="Jakarta"/>
    <s v="MENU003"/>
    <s v="Kopi Susu Gula Aren"/>
    <s v="KTG0205"/>
    <x v="0"/>
    <n v="3"/>
    <n v="22000"/>
    <n v="10"/>
    <n v="2.7"/>
    <s v="PAY0712"/>
    <x v="3"/>
    <n v="59400"/>
  </r>
  <r>
    <s v="TRX0500"/>
    <s v="TGL0561"/>
    <x v="60"/>
    <s v="CNA0225"/>
    <x v="98"/>
    <n v="25"/>
    <s v="BRCH004"/>
    <x v="3"/>
    <s v="KOA0105"/>
    <s v="Medan"/>
    <s v="MENU005"/>
    <s v="Croissant"/>
    <s v="KTG0206"/>
    <x v="1"/>
    <n v="5"/>
    <n v="23000"/>
    <n v="0"/>
    <n v="3.6"/>
    <s v="PAY0711"/>
    <x v="2"/>
    <n v="115000"/>
  </r>
  <r>
    <s v="TRX0989"/>
    <s v="TGL0561"/>
    <x v="60"/>
    <s v="CNA0150"/>
    <x v="45"/>
    <n v="24"/>
    <s v="BRCH002"/>
    <x v="1"/>
    <s v="KOA0103"/>
    <s v="Jakarta"/>
    <s v="MENU009"/>
    <s v="Kentang Goreng"/>
    <s v="KTG0206"/>
    <x v="1"/>
    <n v="2"/>
    <n v="18000"/>
    <n v="5"/>
    <n v="1.5"/>
    <s v="PAY0710"/>
    <x v="1"/>
    <n v="34200"/>
  </r>
  <r>
    <s v="TRX0412"/>
    <s v="TGL0562"/>
    <x v="61"/>
    <s v="CNA0227"/>
    <x v="99"/>
    <n v="17"/>
    <s v="BRCH005"/>
    <x v="4"/>
    <s v="KOA0106"/>
    <s v="Makassar"/>
    <s v="MENU002"/>
    <s v="Red Velvet Cake"/>
    <s v="KTG0206"/>
    <x v="1"/>
    <n v="1"/>
    <n v="30000"/>
    <n v="0"/>
    <n v="1.9"/>
    <s v="PAY0711"/>
    <x v="2"/>
    <n v="30000"/>
  </r>
  <r>
    <s v="TRX0548"/>
    <s v="TGL0563"/>
    <x v="62"/>
    <s v="CNA0228"/>
    <x v="100"/>
    <n v="40"/>
    <s v="BRCH004"/>
    <x v="3"/>
    <s v="KOA0105"/>
    <s v="Medan"/>
    <s v="MENU007"/>
    <s v="Chocolate Latte"/>
    <s v="KTG0207"/>
    <x v="2"/>
    <n v="3"/>
    <n v="27000"/>
    <n v="0"/>
    <n v="3.5"/>
    <s v="PAY0712"/>
    <x v="3"/>
    <n v="81000"/>
  </r>
  <r>
    <s v="TRX0497"/>
    <s v="TGL0564"/>
    <x v="63"/>
    <s v="CNA0118"/>
    <x v="17"/>
    <n v="22"/>
    <s v="BRCH004"/>
    <x v="3"/>
    <s v="KOA0105"/>
    <s v="Medan"/>
    <s v="MENU004"/>
    <s v="Matcha Latte"/>
    <s v="KTG0207"/>
    <x v="2"/>
    <n v="5"/>
    <n v="28000"/>
    <n v="20"/>
    <n v="1.4"/>
    <s v="PAY0711"/>
    <x v="2"/>
    <n v="112000"/>
  </r>
  <r>
    <s v="TRX0924"/>
    <s v="TGL0565"/>
    <x v="64"/>
    <s v="CNA0230"/>
    <x v="101"/>
    <n v="23"/>
    <s v="BRCH005"/>
    <x v="4"/>
    <s v="KOA0106"/>
    <s v="Makassar"/>
    <s v="MENU010"/>
    <s v="Espresso"/>
    <s v="KTG0205"/>
    <x v="0"/>
    <n v="2"/>
    <n v="18000"/>
    <n v="10"/>
    <n v="1.3"/>
    <s v="PAY0709"/>
    <x v="0"/>
    <n v="32400"/>
  </r>
  <r>
    <s v="TRX0499"/>
    <s v="TGL0566"/>
    <x v="65"/>
    <s v="CNA0212"/>
    <x v="90"/>
    <n v="39"/>
    <s v="BRCH002"/>
    <x v="1"/>
    <s v="KOA0103"/>
    <s v="Jakarta"/>
    <s v="MENU006"/>
    <s v="Sandwich Ayam"/>
    <s v="KTG0206"/>
    <x v="1"/>
    <n v="4"/>
    <n v="32000"/>
    <n v="0"/>
    <n v="1.1000000000000001"/>
    <s v="PAY0709"/>
    <x v="0"/>
    <n v="128000"/>
  </r>
  <r>
    <s v="TRX0645"/>
    <s v="TGL0567"/>
    <x v="66"/>
    <s v="CNA0232"/>
    <x v="102"/>
    <n v="17"/>
    <s v="BRCH002"/>
    <x v="1"/>
    <s v="KOA0103"/>
    <s v="Jakarta"/>
    <s v="MENU009"/>
    <s v="Kentang Goreng"/>
    <s v="KTG0206"/>
    <x v="1"/>
    <n v="2"/>
    <n v="18000"/>
    <n v="10"/>
    <n v="1.5"/>
    <s v="PAY0709"/>
    <x v="0"/>
    <n v="32400"/>
  </r>
  <r>
    <s v="TRX0209"/>
    <s v="TGL0567"/>
    <x v="66"/>
    <s v="CNA0233"/>
    <x v="103"/>
    <n v="18"/>
    <s v="BRCH002"/>
    <x v="1"/>
    <s v="KOA0103"/>
    <s v="Jakarta"/>
    <s v="MENU008"/>
    <s v="Americano"/>
    <s v="KTG0205"/>
    <x v="0"/>
    <n v="1"/>
    <n v="20000"/>
    <n v="15"/>
    <n v="2.6"/>
    <s v="PAY0711"/>
    <x v="2"/>
    <n v="17000"/>
  </r>
  <r>
    <s v="TRX0968"/>
    <s v="TGL0568"/>
    <x v="67"/>
    <s v="CNA0234"/>
    <x v="104"/>
    <n v="37"/>
    <s v="BRCH004"/>
    <x v="3"/>
    <s v="KOA0105"/>
    <s v="Medan"/>
    <s v="MENU009"/>
    <s v="Kentang Goreng"/>
    <s v="KTG0206"/>
    <x v="1"/>
    <n v="5"/>
    <n v="18000"/>
    <n v="0"/>
    <n v="4.4000000000000004"/>
    <s v="PAY0711"/>
    <x v="2"/>
    <n v="90000"/>
  </r>
  <r>
    <s v="TRX0988"/>
    <s v="TGL0569"/>
    <x v="68"/>
    <s v="CNA0235"/>
    <x v="105"/>
    <n v="44"/>
    <s v="BRCH004"/>
    <x v="3"/>
    <s v="KOA0105"/>
    <s v="Medan"/>
    <s v="MENU007"/>
    <s v="Chocolate Latte"/>
    <s v="KTG0207"/>
    <x v="2"/>
    <n v="1"/>
    <n v="27000"/>
    <n v="10"/>
    <n v="3.5"/>
    <s v="PAY0711"/>
    <x v="2"/>
    <n v="24300"/>
  </r>
  <r>
    <s v="TRX0779"/>
    <s v="TGL0570"/>
    <x v="69"/>
    <s v="CNA0236"/>
    <x v="106"/>
    <n v="20"/>
    <s v="BRCH001"/>
    <x v="0"/>
    <s v="KOA0102"/>
    <s v="Bandung"/>
    <s v="MENU002"/>
    <s v="Red Velvet Cake"/>
    <s v="KTG0206"/>
    <x v="1"/>
    <n v="3"/>
    <n v="30000"/>
    <n v="0"/>
    <n v="1.9"/>
    <s v="PAY0709"/>
    <x v="0"/>
    <n v="90000"/>
  </r>
  <r>
    <s v="TRX0444"/>
    <s v="TGL0571"/>
    <x v="70"/>
    <s v="CNA0188"/>
    <x v="76"/>
    <n v="19"/>
    <s v="BRCH005"/>
    <x v="4"/>
    <s v="KOA0106"/>
    <s v="Makassar"/>
    <s v="MENU005"/>
    <s v="Croissant"/>
    <s v="KTG0206"/>
    <x v="1"/>
    <n v="2"/>
    <n v="23000"/>
    <n v="0"/>
    <n v="1.4"/>
    <s v="PAY0711"/>
    <x v="2"/>
    <n v="46000"/>
  </r>
  <r>
    <s v="TRX0266"/>
    <s v="TGL0571"/>
    <x v="70"/>
    <s v="CNA0201"/>
    <x v="82"/>
    <n v="23"/>
    <s v="BRCH002"/>
    <x v="1"/>
    <s v="KOA0103"/>
    <s v="Jakarta"/>
    <s v="MENU005"/>
    <s v="Croissant"/>
    <s v="KTG0206"/>
    <x v="1"/>
    <n v="2"/>
    <n v="23000"/>
    <n v="0"/>
    <n v="4.7"/>
    <s v="PAY0711"/>
    <x v="2"/>
    <n v="46000"/>
  </r>
  <r>
    <s v="TRX0727"/>
    <s v="TGL0571"/>
    <x v="70"/>
    <s v="CNA0239"/>
    <x v="107"/>
    <n v="23"/>
    <s v="BRCH005"/>
    <x v="4"/>
    <s v="KOA0106"/>
    <s v="Makassar"/>
    <s v="MENU006"/>
    <s v="Sandwich Ayam"/>
    <s v="KTG0206"/>
    <x v="1"/>
    <n v="4"/>
    <n v="32000"/>
    <n v="5"/>
    <n v="4.7"/>
    <s v="PAY0712"/>
    <x v="3"/>
    <n v="121600"/>
  </r>
  <r>
    <s v="TRX0380"/>
    <s v="TGL0572"/>
    <x v="71"/>
    <s v="CNA0240"/>
    <x v="108"/>
    <n v="47"/>
    <s v="BRCH004"/>
    <x v="3"/>
    <s v="KOA0105"/>
    <s v="Medan"/>
    <s v="MENU009"/>
    <s v="Kentang Goreng"/>
    <s v="KTG0206"/>
    <x v="1"/>
    <n v="1"/>
    <n v="18000"/>
    <n v="0"/>
    <n v="4"/>
    <s v="PAY0710"/>
    <x v="1"/>
    <n v="18000"/>
  </r>
  <r>
    <s v="TRX0144"/>
    <s v="TGL0573"/>
    <x v="72"/>
    <s v="CNA0118"/>
    <x v="17"/>
    <n v="22"/>
    <s v="BRCH001"/>
    <x v="0"/>
    <s v="KOA0102"/>
    <s v="Bandung"/>
    <s v="MENU008"/>
    <s v="Americano"/>
    <s v="KTG0205"/>
    <x v="0"/>
    <n v="2"/>
    <n v="20000"/>
    <n v="0"/>
    <n v="3.1"/>
    <s v="PAY0710"/>
    <x v="1"/>
    <n v="40000"/>
  </r>
  <r>
    <s v="TRX0574"/>
    <s v="TGL0574"/>
    <x v="73"/>
    <s v="CNA0242"/>
    <x v="109"/>
    <n v="40"/>
    <s v="BRCH004"/>
    <x v="3"/>
    <s v="KOA0105"/>
    <s v="Medan"/>
    <s v="MENU002"/>
    <s v="Red Velvet Cake"/>
    <s v="KTG0206"/>
    <x v="1"/>
    <n v="2"/>
    <n v="30000"/>
    <n v="15"/>
    <n v="3"/>
    <s v="PAY0711"/>
    <x v="2"/>
    <n v="51000"/>
  </r>
  <r>
    <s v="TRX0215"/>
    <s v="TGL0575"/>
    <x v="74"/>
    <s v="CNA0140"/>
    <x v="37"/>
    <n v="43"/>
    <s v="BRCH005"/>
    <x v="4"/>
    <s v="KOA0106"/>
    <s v="Makassar"/>
    <s v="MENU004"/>
    <s v="Matcha Latte"/>
    <s v="KTG0207"/>
    <x v="2"/>
    <n v="5"/>
    <n v="28000"/>
    <n v="5"/>
    <n v="2.8"/>
    <s v="PAY0709"/>
    <x v="0"/>
    <n v="133000"/>
  </r>
  <r>
    <s v="TRX0511"/>
    <s v="TGL0576"/>
    <x v="75"/>
    <s v="CNA0244"/>
    <x v="110"/>
    <n v="39"/>
    <s v="BRCH001"/>
    <x v="0"/>
    <s v="KOA0102"/>
    <s v="Bandung"/>
    <s v="MENU003"/>
    <s v="Kopi Susu Gula Aren"/>
    <s v="KTG0205"/>
    <x v="0"/>
    <n v="5"/>
    <n v="22000"/>
    <n v="15"/>
    <n v="4.4000000000000004"/>
    <s v="PAY0712"/>
    <x v="3"/>
    <n v="93500"/>
  </r>
  <r>
    <s v="TRX0565"/>
    <s v="TGL0576"/>
    <x v="75"/>
    <s v="CNA0245"/>
    <x v="111"/>
    <n v="40"/>
    <s v="BRCH003"/>
    <x v="2"/>
    <s v="KOA0104"/>
    <s v="Surabaya"/>
    <s v="MENU002"/>
    <s v="Red Velvet Cake"/>
    <s v="KTG0206"/>
    <x v="1"/>
    <n v="2"/>
    <n v="30000"/>
    <n v="10"/>
    <n v="1.4"/>
    <s v="PAY0712"/>
    <x v="3"/>
    <n v="54000"/>
  </r>
  <r>
    <s v="TRX0751"/>
    <s v="TGL0576"/>
    <x v="75"/>
    <s v="CNA0119"/>
    <x v="18"/>
    <n v="35"/>
    <s v="BRCH001"/>
    <x v="0"/>
    <s v="KOA0102"/>
    <s v="Bandung"/>
    <s v="MENU010"/>
    <s v="Espresso"/>
    <s v="KTG0205"/>
    <x v="0"/>
    <n v="3"/>
    <n v="18000"/>
    <n v="10"/>
    <n v="3.1"/>
    <s v="PAY0712"/>
    <x v="3"/>
    <n v="48600"/>
  </r>
  <r>
    <s v="TRX0840"/>
    <s v="TGL0576"/>
    <x v="75"/>
    <s v="CNA0247"/>
    <x v="112"/>
    <n v="19"/>
    <s v="BRCH002"/>
    <x v="1"/>
    <s v="KOA0103"/>
    <s v="Jakarta"/>
    <s v="MENU008"/>
    <s v="Americano"/>
    <s v="KTG0205"/>
    <x v="0"/>
    <n v="1"/>
    <n v="20000"/>
    <n v="0"/>
    <n v="3.8"/>
    <s v="PAY0712"/>
    <x v="3"/>
    <n v="20000"/>
  </r>
  <r>
    <s v="TRX0987"/>
    <s v="TGL0577"/>
    <x v="76"/>
    <s v="CNA0227"/>
    <x v="99"/>
    <n v="17"/>
    <s v="BRCH005"/>
    <x v="4"/>
    <s v="KOA0106"/>
    <s v="Makassar"/>
    <s v="MENU002"/>
    <s v="Red Velvet Cake"/>
    <s v="KTG0206"/>
    <x v="1"/>
    <n v="5"/>
    <n v="30000"/>
    <n v="0"/>
    <n v="4.5999999999999996"/>
    <s v="PAY0710"/>
    <x v="1"/>
    <n v="150000"/>
  </r>
  <r>
    <s v="TRX0192"/>
    <s v="TGL0577"/>
    <x v="76"/>
    <s v="CNA0171"/>
    <x v="62"/>
    <n v="43"/>
    <s v="BRCH003"/>
    <x v="2"/>
    <s v="KOA0104"/>
    <s v="Surabaya"/>
    <s v="MENU004"/>
    <s v="Matcha Latte"/>
    <s v="KTG0207"/>
    <x v="2"/>
    <n v="1"/>
    <n v="28000"/>
    <n v="15"/>
    <n v="5"/>
    <s v="PAY0709"/>
    <x v="0"/>
    <n v="23800"/>
  </r>
  <r>
    <s v="TRX0289"/>
    <s v="TGL0577"/>
    <x v="76"/>
    <s v="CNA0105"/>
    <x v="4"/>
    <n v="53"/>
    <s v="BRCH001"/>
    <x v="0"/>
    <s v="KOA0102"/>
    <s v="Bandung"/>
    <s v="MENU004"/>
    <s v="Matcha Latte"/>
    <s v="KTG0207"/>
    <x v="2"/>
    <n v="1"/>
    <n v="28000"/>
    <n v="0"/>
    <n v="2"/>
    <s v="PAY0709"/>
    <x v="0"/>
    <n v="28000"/>
  </r>
  <r>
    <s v="TRX0816"/>
    <s v="TGL0578"/>
    <x v="77"/>
    <s v="CNA0112"/>
    <x v="11"/>
    <n v="22"/>
    <s v="BRCH004"/>
    <x v="3"/>
    <s v="KOA0105"/>
    <s v="Medan"/>
    <s v="MENU008"/>
    <s v="Americano"/>
    <s v="KTG0205"/>
    <x v="0"/>
    <n v="1"/>
    <n v="20000"/>
    <n v="0"/>
    <n v="4.7"/>
    <s v="PAY0711"/>
    <x v="2"/>
    <n v="20000"/>
  </r>
  <r>
    <s v="TRX0536"/>
    <s v="TGL0579"/>
    <x v="78"/>
    <s v="CNA0252"/>
    <x v="113"/>
    <n v="43"/>
    <s v="BRCH005"/>
    <x v="4"/>
    <s v="KOA0106"/>
    <s v="Makassar"/>
    <s v="MENU005"/>
    <s v="Croissant"/>
    <s v="KTG0206"/>
    <x v="1"/>
    <n v="2"/>
    <n v="23000"/>
    <n v="10"/>
    <n v="1.5"/>
    <s v="PAY0711"/>
    <x v="2"/>
    <n v="41400"/>
  </r>
  <r>
    <s v="TRX0103"/>
    <s v="TGL0580"/>
    <x v="79"/>
    <s v="CNA0186"/>
    <x v="74"/>
    <n v="53"/>
    <s v="BRCH004"/>
    <x v="3"/>
    <s v="KOA0105"/>
    <s v="Medan"/>
    <s v="MENU001"/>
    <s v="Cappuccino"/>
    <s v="KTG0205"/>
    <x v="0"/>
    <n v="5"/>
    <n v="25000"/>
    <n v="10"/>
    <n v="2.2999999999999998"/>
    <s v="PAY0712"/>
    <x v="3"/>
    <n v="112500"/>
  </r>
  <r>
    <s v="TRX0024"/>
    <s v="TGL0580"/>
    <x v="79"/>
    <s v="CNA0152"/>
    <x v="47"/>
    <n v="49"/>
    <s v="BRCH003"/>
    <x v="2"/>
    <s v="KOA0104"/>
    <s v="Surabaya"/>
    <s v="MENU006"/>
    <s v="Sandwich Ayam"/>
    <s v="KTG0206"/>
    <x v="1"/>
    <n v="5"/>
    <n v="32000"/>
    <n v="0"/>
    <n v="3.1"/>
    <s v="PAY0711"/>
    <x v="2"/>
    <n v="160000"/>
  </r>
  <r>
    <s v="TRX0095"/>
    <s v="TGL0580"/>
    <x v="79"/>
    <s v="CNA0255"/>
    <x v="114"/>
    <n v="30"/>
    <s v="BRCH004"/>
    <x v="3"/>
    <s v="KOA0105"/>
    <s v="Medan"/>
    <s v="MENU008"/>
    <s v="Americano"/>
    <s v="KTG0205"/>
    <x v="0"/>
    <n v="1"/>
    <n v="20000"/>
    <n v="0"/>
    <n v="4.3"/>
    <s v="PAY0711"/>
    <x v="2"/>
    <n v="20000"/>
  </r>
  <r>
    <s v="TRX0322"/>
    <s v="TGL0580"/>
    <x v="79"/>
    <s v="CNA0256"/>
    <x v="115"/>
    <n v="29"/>
    <s v="BRCH001"/>
    <x v="0"/>
    <s v="KOA0102"/>
    <s v="Bandung"/>
    <s v="MENU002"/>
    <s v="Red Velvet Cake"/>
    <s v="KTG0206"/>
    <x v="1"/>
    <n v="1"/>
    <n v="30000"/>
    <n v="0"/>
    <n v="4.0999999999999996"/>
    <s v="PAY0710"/>
    <x v="1"/>
    <n v="30000"/>
  </r>
  <r>
    <s v="TRX0044"/>
    <s v="TGL0580"/>
    <x v="79"/>
    <s v="CNA0148"/>
    <x v="43"/>
    <n v="53"/>
    <s v="BRCH002"/>
    <x v="1"/>
    <s v="KOA0103"/>
    <s v="Jakarta"/>
    <s v="MENU002"/>
    <s v="Red Velvet Cake"/>
    <s v="KTG0206"/>
    <x v="1"/>
    <n v="5"/>
    <n v="30000"/>
    <n v="15"/>
    <n v="1.6"/>
    <s v="PAY0710"/>
    <x v="1"/>
    <n v="127500"/>
  </r>
  <r>
    <s v="TRX0287"/>
    <s v="TGL0580"/>
    <x v="79"/>
    <s v="CNA0240"/>
    <x v="108"/>
    <n v="47"/>
    <s v="BRCH003"/>
    <x v="2"/>
    <s v="KOA0104"/>
    <s v="Surabaya"/>
    <s v="MENU004"/>
    <s v="Matcha Latte"/>
    <s v="KTG0207"/>
    <x v="2"/>
    <n v="2"/>
    <n v="28000"/>
    <n v="10"/>
    <n v="1.4"/>
    <s v="PAY0709"/>
    <x v="0"/>
    <n v="50400"/>
  </r>
  <r>
    <s v="TRX0483"/>
    <s v="TGL0580"/>
    <x v="79"/>
    <s v="CNA0176"/>
    <x v="67"/>
    <n v="25"/>
    <s v="BRCH002"/>
    <x v="1"/>
    <s v="KOA0103"/>
    <s v="Jakarta"/>
    <s v="MENU006"/>
    <s v="Sandwich Ayam"/>
    <s v="KTG0206"/>
    <x v="1"/>
    <n v="2"/>
    <n v="32000"/>
    <n v="15"/>
    <n v="4"/>
    <s v="PAY0712"/>
    <x v="3"/>
    <n v="54400"/>
  </r>
  <r>
    <s v="TRX0229"/>
    <s v="TGL0581"/>
    <x v="80"/>
    <s v="CNA0223"/>
    <x v="96"/>
    <n v="18"/>
    <s v="BRCH005"/>
    <x v="4"/>
    <s v="KOA0106"/>
    <s v="Makassar"/>
    <s v="MENU003"/>
    <s v="Kopi Susu Gula Aren"/>
    <s v="KTG0205"/>
    <x v="0"/>
    <n v="2"/>
    <n v="22000"/>
    <n v="0"/>
    <n v="2"/>
    <s v="PAY0710"/>
    <x v="1"/>
    <n v="44000"/>
  </r>
  <r>
    <s v="TRX0532"/>
    <s v="TGL0582"/>
    <x v="81"/>
    <s v="CNA0211"/>
    <x v="89"/>
    <n v="49"/>
    <s v="BRCH004"/>
    <x v="3"/>
    <s v="KOA0105"/>
    <s v="Medan"/>
    <s v="MENU003"/>
    <s v="Kopi Susu Gula Aren"/>
    <s v="KTG0205"/>
    <x v="0"/>
    <n v="2"/>
    <n v="22000"/>
    <n v="15"/>
    <n v="1.1000000000000001"/>
    <s v="PAY0709"/>
    <x v="0"/>
    <n v="37400"/>
  </r>
  <r>
    <s v="TRX0168"/>
    <s v="TGL0582"/>
    <x v="81"/>
    <s v="CNA0262"/>
    <x v="116"/>
    <n v="30"/>
    <s v="BRCH002"/>
    <x v="1"/>
    <s v="KOA0103"/>
    <s v="Jakarta"/>
    <s v="MENU005"/>
    <s v="Croissant"/>
    <s v="KTG0206"/>
    <x v="1"/>
    <n v="4"/>
    <n v="23000"/>
    <n v="10"/>
    <n v="1"/>
    <s v="PAY0709"/>
    <x v="0"/>
    <n v="82800"/>
  </r>
  <r>
    <s v="TRX0124"/>
    <s v="TGL0583"/>
    <x v="82"/>
    <s v="CNA0263"/>
    <x v="117"/>
    <n v="36"/>
    <s v="BRCH002"/>
    <x v="1"/>
    <s v="KOA0103"/>
    <s v="Jakarta"/>
    <s v="MENU009"/>
    <s v="Kentang Goreng"/>
    <s v="KTG0206"/>
    <x v="1"/>
    <n v="1"/>
    <n v="18000"/>
    <n v="15"/>
    <n v="3.9"/>
    <s v="PAY0712"/>
    <x v="3"/>
    <n v="15300"/>
  </r>
  <r>
    <s v="TRX0038"/>
    <s v="TGL0583"/>
    <x v="82"/>
    <s v="CNA0157"/>
    <x v="51"/>
    <n v="29"/>
    <s v="BRCH004"/>
    <x v="3"/>
    <s v="KOA0105"/>
    <s v="Medan"/>
    <s v="MENU005"/>
    <s v="Croissant"/>
    <s v="KTG0206"/>
    <x v="1"/>
    <n v="1"/>
    <n v="23000"/>
    <n v="0"/>
    <n v="3.7"/>
    <s v="PAY0711"/>
    <x v="2"/>
    <n v="23000"/>
  </r>
  <r>
    <s v="TRX0796"/>
    <s v="TGL0583"/>
    <x v="82"/>
    <s v="CNA0265"/>
    <x v="118"/>
    <n v="42"/>
    <s v="BRCH002"/>
    <x v="1"/>
    <s v="KOA0103"/>
    <s v="Jakarta"/>
    <s v="MENU002"/>
    <s v="Red Velvet Cake"/>
    <s v="KTG0206"/>
    <x v="1"/>
    <n v="1"/>
    <n v="30000"/>
    <n v="10"/>
    <n v="3.5"/>
    <s v="PAY0712"/>
    <x v="3"/>
    <n v="27000"/>
  </r>
  <r>
    <s v="TRX0482"/>
    <s v="TGL0584"/>
    <x v="83"/>
    <s v="CNA0175"/>
    <x v="66"/>
    <n v="48"/>
    <s v="BRCH001"/>
    <x v="0"/>
    <s v="KOA0102"/>
    <s v="Bandung"/>
    <s v="MENU007"/>
    <s v="Chocolate Latte"/>
    <s v="KTG0207"/>
    <x v="2"/>
    <n v="5"/>
    <n v="27000"/>
    <n v="0"/>
    <n v="2.1"/>
    <s v="PAY0710"/>
    <x v="1"/>
    <n v="135000"/>
  </r>
  <r>
    <s v="TRX0546"/>
    <s v="TGL0585"/>
    <x v="84"/>
    <s v="CNA0166"/>
    <x v="57"/>
    <n v="48"/>
    <s v="BRCH002"/>
    <x v="1"/>
    <s v="KOA0103"/>
    <s v="Jakarta"/>
    <s v="MENU008"/>
    <s v="Americano"/>
    <s v="KTG0205"/>
    <x v="0"/>
    <n v="5"/>
    <n v="20000"/>
    <n v="0"/>
    <n v="2.2000000000000002"/>
    <s v="PAY0711"/>
    <x v="2"/>
    <n v="100000"/>
  </r>
  <r>
    <s v="TRX0176"/>
    <s v="TGL0585"/>
    <x v="84"/>
    <s v="CNA0268"/>
    <x v="119"/>
    <n v="31"/>
    <s v="BRCH001"/>
    <x v="0"/>
    <s v="KOA0102"/>
    <s v="Bandung"/>
    <s v="MENU007"/>
    <s v="Chocolate Latte"/>
    <s v="KTG0207"/>
    <x v="2"/>
    <n v="3"/>
    <n v="27000"/>
    <n v="15"/>
    <n v="3.1"/>
    <s v="PAY0712"/>
    <x v="3"/>
    <n v="68850"/>
  </r>
  <r>
    <s v="TRX0868"/>
    <s v="TGL0585"/>
    <x v="84"/>
    <s v="CNA0269"/>
    <x v="120"/>
    <n v="34"/>
    <s v="BRCH005"/>
    <x v="4"/>
    <s v="KOA0106"/>
    <s v="Makassar"/>
    <s v="MENU009"/>
    <s v="Kentang Goreng"/>
    <s v="KTG0206"/>
    <x v="1"/>
    <n v="3"/>
    <n v="18000"/>
    <n v="0"/>
    <n v="3.9"/>
    <s v="PAY0712"/>
    <x v="3"/>
    <n v="54000"/>
  </r>
  <r>
    <s v="TRX0603"/>
    <s v="TGL0586"/>
    <x v="85"/>
    <s v="CNA0148"/>
    <x v="43"/>
    <n v="53"/>
    <s v="BRCH004"/>
    <x v="3"/>
    <s v="KOA0105"/>
    <s v="Medan"/>
    <s v="MENU006"/>
    <s v="Sandwich Ayam"/>
    <s v="KTG0206"/>
    <x v="1"/>
    <n v="1"/>
    <n v="32000"/>
    <n v="15"/>
    <n v="3.7"/>
    <s v="PAY0711"/>
    <x v="2"/>
    <n v="27200"/>
  </r>
  <r>
    <s v="TRX0657"/>
    <s v="TGL0587"/>
    <x v="86"/>
    <s v="CNA0271"/>
    <x v="121"/>
    <n v="48"/>
    <s v="BRCH004"/>
    <x v="3"/>
    <s v="KOA0105"/>
    <s v="Medan"/>
    <s v="MENU005"/>
    <s v="Croissant"/>
    <s v="KTG0206"/>
    <x v="1"/>
    <n v="1"/>
    <n v="23000"/>
    <n v="5"/>
    <n v="3.5"/>
    <s v="PAY0709"/>
    <x v="0"/>
    <n v="21850"/>
  </r>
  <r>
    <s v="TRX0332"/>
    <s v="TGL0587"/>
    <x v="86"/>
    <s v="CNA0272"/>
    <x v="122"/>
    <n v="40"/>
    <s v="BRCH003"/>
    <x v="2"/>
    <s v="KOA0104"/>
    <s v="Surabaya"/>
    <s v="MENU005"/>
    <s v="Croissant"/>
    <s v="KTG0206"/>
    <x v="1"/>
    <n v="1"/>
    <n v="23000"/>
    <n v="0"/>
    <n v="1.4"/>
    <s v="PAY0711"/>
    <x v="2"/>
    <n v="23000"/>
  </r>
  <r>
    <s v="TRX0659"/>
    <s v="TGL0588"/>
    <x v="87"/>
    <s v="CNA0115"/>
    <x v="14"/>
    <n v="46"/>
    <s v="BRCH003"/>
    <x v="2"/>
    <s v="KOA0104"/>
    <s v="Surabaya"/>
    <s v="MENU010"/>
    <s v="Espresso"/>
    <s v="KTG0205"/>
    <x v="0"/>
    <n v="4"/>
    <n v="18000"/>
    <n v="15"/>
    <n v="3.3"/>
    <s v="PAY0710"/>
    <x v="1"/>
    <n v="61200"/>
  </r>
  <r>
    <s v="TRX0661"/>
    <s v="TGL0588"/>
    <x v="87"/>
    <s v="CNA0274"/>
    <x v="123"/>
    <n v="27"/>
    <s v="BRCH001"/>
    <x v="0"/>
    <s v="KOA0102"/>
    <s v="Bandung"/>
    <s v="MENU001"/>
    <s v="Cappuccino"/>
    <s v="KTG0205"/>
    <x v="0"/>
    <n v="2"/>
    <n v="25000"/>
    <n v="15"/>
    <n v="4"/>
    <s v="PAY0712"/>
    <x v="3"/>
    <n v="42500"/>
  </r>
  <r>
    <s v="TRX0562"/>
    <s v="TGL0588"/>
    <x v="87"/>
    <s v="CNA0168"/>
    <x v="59"/>
    <n v="37"/>
    <s v="BRCH003"/>
    <x v="2"/>
    <s v="KOA0104"/>
    <s v="Surabaya"/>
    <s v="MENU003"/>
    <s v="Kopi Susu Gula Aren"/>
    <s v="KTG0205"/>
    <x v="0"/>
    <n v="5"/>
    <n v="22000"/>
    <n v="0"/>
    <n v="2.7"/>
    <s v="PAY0712"/>
    <x v="3"/>
    <n v="110000"/>
  </r>
  <r>
    <s v="TRX0041"/>
    <s v="TGL0589"/>
    <x v="88"/>
    <s v="CNA0263"/>
    <x v="117"/>
    <n v="36"/>
    <s v="BRCH004"/>
    <x v="3"/>
    <s v="KOA0105"/>
    <s v="Medan"/>
    <s v="MENU001"/>
    <s v="Cappuccino"/>
    <s v="KTG0205"/>
    <x v="0"/>
    <n v="2"/>
    <n v="25000"/>
    <n v="0"/>
    <n v="4"/>
    <s v="PAY0711"/>
    <x v="2"/>
    <n v="50000"/>
  </r>
  <r>
    <s v="TRX0957"/>
    <s v="TGL0590"/>
    <x v="89"/>
    <s v="CNA0277"/>
    <x v="124"/>
    <n v="52"/>
    <s v="BRCH003"/>
    <x v="2"/>
    <s v="KOA0104"/>
    <s v="Surabaya"/>
    <s v="MENU007"/>
    <s v="Chocolate Latte"/>
    <s v="KTG0207"/>
    <x v="2"/>
    <n v="5"/>
    <n v="27000"/>
    <n v="10"/>
    <n v="4.9000000000000004"/>
    <s v="PAY0710"/>
    <x v="1"/>
    <n v="121500"/>
  </r>
  <r>
    <s v="TRX0723"/>
    <s v="TGL0590"/>
    <x v="89"/>
    <s v="CNA0278"/>
    <x v="125"/>
    <n v="32"/>
    <s v="BRCH004"/>
    <x v="3"/>
    <s v="KOA0105"/>
    <s v="Medan"/>
    <s v="MENU001"/>
    <s v="Cappuccino"/>
    <s v="KTG0205"/>
    <x v="0"/>
    <n v="5"/>
    <n v="25000"/>
    <n v="15"/>
    <n v="2.4"/>
    <s v="PAY0712"/>
    <x v="3"/>
    <n v="106250"/>
  </r>
  <r>
    <s v="TRX0958"/>
    <s v="TGL0591"/>
    <x v="90"/>
    <s v="CNA0158"/>
    <x v="52"/>
    <n v="48"/>
    <s v="BRCH001"/>
    <x v="0"/>
    <s v="KOA0102"/>
    <s v="Bandung"/>
    <s v="MENU007"/>
    <s v="Chocolate Latte"/>
    <s v="KTG0207"/>
    <x v="2"/>
    <n v="3"/>
    <n v="27000"/>
    <n v="15"/>
    <n v="1"/>
    <s v="PAY0711"/>
    <x v="2"/>
    <n v="68850"/>
  </r>
  <r>
    <s v="TRX0270"/>
    <s v="TGL0592"/>
    <x v="91"/>
    <s v="CNA0280"/>
    <x v="126"/>
    <n v="25"/>
    <s v="BRCH003"/>
    <x v="2"/>
    <s v="KOA0104"/>
    <s v="Surabaya"/>
    <s v="MENU005"/>
    <s v="Croissant"/>
    <s v="KTG0206"/>
    <x v="1"/>
    <n v="2"/>
    <n v="23000"/>
    <n v="0"/>
    <n v="4"/>
    <s v="PAY0712"/>
    <x v="3"/>
    <n v="46000"/>
  </r>
  <r>
    <s v="TRX0105"/>
    <s v="TGL0593"/>
    <x v="92"/>
    <s v="CNA0118"/>
    <x v="17"/>
    <n v="22"/>
    <s v="BRCH001"/>
    <x v="0"/>
    <s v="KOA0102"/>
    <s v="Bandung"/>
    <s v="MENU007"/>
    <s v="Chocolate Latte"/>
    <s v="KTG0207"/>
    <x v="2"/>
    <n v="1"/>
    <n v="27000"/>
    <n v="0"/>
    <n v="2.2999999999999998"/>
    <s v="PAY0709"/>
    <x v="0"/>
    <n v="27000"/>
  </r>
  <r>
    <s v="TRX0185"/>
    <s v="TGL0594"/>
    <x v="93"/>
    <s v="CNA0157"/>
    <x v="51"/>
    <n v="29"/>
    <s v="BRCH003"/>
    <x v="2"/>
    <s v="KOA0104"/>
    <s v="Surabaya"/>
    <s v="MENU006"/>
    <s v="Sandwich Ayam"/>
    <s v="KTG0206"/>
    <x v="1"/>
    <n v="5"/>
    <n v="32000"/>
    <n v="0"/>
    <n v="2.2000000000000002"/>
    <s v="PAY0712"/>
    <x v="3"/>
    <n v="160000"/>
  </r>
  <r>
    <s v="TRX0894"/>
    <s v="TGL0594"/>
    <x v="93"/>
    <s v="CNA0127"/>
    <x v="25"/>
    <n v="48"/>
    <s v="BRCH001"/>
    <x v="0"/>
    <s v="KOA0102"/>
    <s v="Bandung"/>
    <s v="MENU003"/>
    <s v="Kopi Susu Gula Aren"/>
    <s v="KTG0205"/>
    <x v="0"/>
    <n v="2"/>
    <n v="22000"/>
    <n v="20"/>
    <n v="4"/>
    <s v="PAY0711"/>
    <x v="2"/>
    <n v="35200"/>
  </r>
  <r>
    <s v="TRX0404"/>
    <s v="TGL0594"/>
    <x v="93"/>
    <s v="CNA0284"/>
    <x v="127"/>
    <n v="21"/>
    <s v="BRCH001"/>
    <x v="0"/>
    <s v="KOA0102"/>
    <s v="Bandung"/>
    <s v="MENU008"/>
    <s v="Americano"/>
    <s v="KTG0205"/>
    <x v="0"/>
    <n v="1"/>
    <n v="20000"/>
    <n v="15"/>
    <n v="1.1000000000000001"/>
    <s v="PAY0712"/>
    <x v="3"/>
    <n v="17000"/>
  </r>
  <r>
    <s v="TRX0704"/>
    <s v="TGL0595"/>
    <x v="94"/>
    <s v="CNA0158"/>
    <x v="52"/>
    <n v="48"/>
    <s v="BRCH002"/>
    <x v="1"/>
    <s v="KOA0103"/>
    <s v="Jakarta"/>
    <s v="MENU009"/>
    <s v="Kentang Goreng"/>
    <s v="KTG0206"/>
    <x v="1"/>
    <n v="1"/>
    <n v="18000"/>
    <n v="0"/>
    <n v="2.7"/>
    <s v="PAY0711"/>
    <x v="2"/>
    <n v="18000"/>
  </r>
  <r>
    <s v="TRX0719"/>
    <s v="TGL0595"/>
    <x v="94"/>
    <s v="CNA0263"/>
    <x v="117"/>
    <n v="36"/>
    <s v="BRCH001"/>
    <x v="0"/>
    <s v="KOA0102"/>
    <s v="Bandung"/>
    <s v="MENU005"/>
    <s v="Croissant"/>
    <s v="KTG0206"/>
    <x v="1"/>
    <n v="1"/>
    <n v="23000"/>
    <n v="10"/>
    <n v="4"/>
    <s v="PAY0710"/>
    <x v="1"/>
    <n v="20700"/>
  </r>
  <r>
    <s v="TRX0518"/>
    <s v="TGL0595"/>
    <x v="94"/>
    <s v="CNA0287"/>
    <x v="128"/>
    <n v="31"/>
    <s v="BRCH002"/>
    <x v="1"/>
    <s v="KOA0103"/>
    <s v="Jakarta"/>
    <s v="MENU006"/>
    <s v="Sandwich Ayam"/>
    <s v="KTG0206"/>
    <x v="1"/>
    <n v="1"/>
    <n v="32000"/>
    <n v="10"/>
    <n v="3.3"/>
    <s v="PAY0712"/>
    <x v="3"/>
    <n v="28800"/>
  </r>
  <r>
    <s v="TRX0194"/>
    <s v="TGL0595"/>
    <x v="94"/>
    <s v="CNA0148"/>
    <x v="43"/>
    <n v="53"/>
    <s v="BRCH003"/>
    <x v="2"/>
    <s v="KOA0104"/>
    <s v="Surabaya"/>
    <s v="MENU001"/>
    <s v="Cappuccino"/>
    <s v="KTG0205"/>
    <x v="0"/>
    <n v="4"/>
    <n v="25000"/>
    <n v="0"/>
    <n v="1"/>
    <s v="PAY0710"/>
    <x v="1"/>
    <n v="100000"/>
  </r>
  <r>
    <s v="TRX0825"/>
    <s v="TGL0595"/>
    <x v="94"/>
    <s v="CNA0289"/>
    <x v="129"/>
    <n v="42"/>
    <s v="BRCH003"/>
    <x v="2"/>
    <s v="KOA0104"/>
    <s v="Surabaya"/>
    <s v="MENU008"/>
    <s v="Americano"/>
    <s v="KTG0205"/>
    <x v="0"/>
    <n v="1"/>
    <n v="20000"/>
    <n v="0"/>
    <n v="4.0999999999999996"/>
    <s v="PAY0709"/>
    <x v="0"/>
    <n v="20000"/>
  </r>
  <r>
    <s v="TRX0469"/>
    <s v="TGL0596"/>
    <x v="95"/>
    <s v="CNA0290"/>
    <x v="130"/>
    <n v="30"/>
    <s v="BRCH004"/>
    <x v="3"/>
    <s v="KOA0105"/>
    <s v="Medan"/>
    <s v="MENU007"/>
    <s v="Chocolate Latte"/>
    <s v="KTG0207"/>
    <x v="2"/>
    <n v="5"/>
    <n v="27000"/>
    <n v="0"/>
    <n v="4.3"/>
    <s v="PAY0712"/>
    <x v="3"/>
    <n v="135000"/>
  </r>
  <r>
    <s v="TRX0991"/>
    <s v="TGL0597"/>
    <x v="96"/>
    <s v="CNA0291"/>
    <x v="131"/>
    <n v="39"/>
    <s v="BRCH001"/>
    <x v="0"/>
    <s v="KOA0102"/>
    <s v="Bandung"/>
    <s v="MENU006"/>
    <s v="Sandwich Ayam"/>
    <s v="KTG0206"/>
    <x v="1"/>
    <n v="1"/>
    <n v="32000"/>
    <n v="0"/>
    <n v="4.4000000000000004"/>
    <s v="PAY0711"/>
    <x v="2"/>
    <n v="32000"/>
  </r>
  <r>
    <s v="TRX0180"/>
    <s v="TGL0597"/>
    <x v="96"/>
    <s v="CNA0292"/>
    <x v="132"/>
    <n v="18"/>
    <s v="BRCH003"/>
    <x v="2"/>
    <s v="KOA0104"/>
    <s v="Surabaya"/>
    <s v="MENU010"/>
    <s v="Espresso"/>
    <s v="KTG0205"/>
    <x v="0"/>
    <n v="2"/>
    <n v="18000"/>
    <n v="5"/>
    <n v="2.2999999999999998"/>
    <s v="PAY0710"/>
    <x v="1"/>
    <n v="34200"/>
  </r>
  <r>
    <s v="TRX0031"/>
    <s v="TGL0597"/>
    <x v="96"/>
    <s v="CNA0252"/>
    <x v="113"/>
    <n v="43"/>
    <s v="BRCH004"/>
    <x v="3"/>
    <s v="KOA0105"/>
    <s v="Medan"/>
    <s v="MENU002"/>
    <s v="Red Velvet Cake"/>
    <s v="KTG0206"/>
    <x v="1"/>
    <n v="3"/>
    <n v="30000"/>
    <n v="20"/>
    <n v="1.8"/>
    <s v="PAY0712"/>
    <x v="3"/>
    <n v="72000"/>
  </r>
  <r>
    <s v="TRX0598"/>
    <s v="TGL0598"/>
    <x v="97"/>
    <s v="CNA0111"/>
    <x v="10"/>
    <n v="40"/>
    <s v="BRCH003"/>
    <x v="2"/>
    <s v="KOA0104"/>
    <s v="Surabaya"/>
    <s v="MENU002"/>
    <s v="Red Velvet Cake"/>
    <s v="KTG0206"/>
    <x v="1"/>
    <n v="1"/>
    <n v="30000"/>
    <n v="0"/>
    <n v="1.9"/>
    <s v="PAY0709"/>
    <x v="0"/>
    <n v="30000"/>
  </r>
  <r>
    <s v="TRX0441"/>
    <s v="TGL0599"/>
    <x v="98"/>
    <s v="CNA0295"/>
    <x v="133"/>
    <n v="42"/>
    <s v="BRCH002"/>
    <x v="1"/>
    <s v="KOA0103"/>
    <s v="Jakarta"/>
    <s v="MENU007"/>
    <s v="Chocolate Latte"/>
    <s v="KTG0207"/>
    <x v="2"/>
    <n v="4"/>
    <n v="27000"/>
    <n v="20"/>
    <n v="2.1"/>
    <s v="PAY0709"/>
    <x v="0"/>
    <n v="86400"/>
  </r>
  <r>
    <s v="TRX0152"/>
    <s v="TGL0600"/>
    <x v="99"/>
    <s v="CNA0188"/>
    <x v="76"/>
    <n v="19"/>
    <s v="BRCH001"/>
    <x v="0"/>
    <s v="KOA0102"/>
    <s v="Bandung"/>
    <s v="MENU007"/>
    <s v="Chocolate Latte"/>
    <s v="KTG0207"/>
    <x v="2"/>
    <n v="1"/>
    <n v="27000"/>
    <n v="0"/>
    <n v="2.7"/>
    <s v="PAY0709"/>
    <x v="0"/>
    <n v="27000"/>
  </r>
  <r>
    <s v="TRX0560"/>
    <s v="TGL0601"/>
    <x v="100"/>
    <s v="CNA0297"/>
    <x v="134"/>
    <n v="28"/>
    <s v="BRCH002"/>
    <x v="1"/>
    <s v="KOA0103"/>
    <s v="Jakarta"/>
    <s v="MENU007"/>
    <s v="Chocolate Latte"/>
    <s v="KTG0207"/>
    <x v="2"/>
    <n v="1"/>
    <n v="27000"/>
    <n v="5"/>
    <n v="2.2000000000000002"/>
    <s v="PAY0712"/>
    <x v="3"/>
    <n v="25650"/>
  </r>
  <r>
    <s v="TRX0647"/>
    <s v="TGL0601"/>
    <x v="100"/>
    <s v="CNA0188"/>
    <x v="76"/>
    <n v="19"/>
    <s v="BRCH004"/>
    <x v="3"/>
    <s v="KOA0105"/>
    <s v="Medan"/>
    <s v="MENU009"/>
    <s v="Kentang Goreng"/>
    <s v="KTG0206"/>
    <x v="1"/>
    <n v="2"/>
    <n v="18000"/>
    <n v="0"/>
    <n v="2.4"/>
    <s v="PAY0709"/>
    <x v="0"/>
    <n v="36000"/>
  </r>
  <r>
    <s v="TRX0384"/>
    <s v="TGL0601"/>
    <x v="100"/>
    <s v="CNA0299"/>
    <x v="135"/>
    <n v="38"/>
    <s v="BRCH003"/>
    <x v="2"/>
    <s v="KOA0104"/>
    <s v="Surabaya"/>
    <s v="MENU002"/>
    <s v="Red Velvet Cake"/>
    <s v="KTG0206"/>
    <x v="1"/>
    <n v="3"/>
    <n v="30000"/>
    <n v="0"/>
    <n v="1.9"/>
    <s v="PAY0711"/>
    <x v="2"/>
    <n v="90000"/>
  </r>
  <r>
    <s v="TRX0186"/>
    <s v="TGL0602"/>
    <x v="101"/>
    <s v="CNA0124"/>
    <x v="23"/>
    <n v="33"/>
    <s v="BRCH001"/>
    <x v="0"/>
    <s v="KOA0102"/>
    <s v="Bandung"/>
    <s v="MENU002"/>
    <s v="Red Velvet Cake"/>
    <s v="KTG0206"/>
    <x v="1"/>
    <n v="3"/>
    <n v="30000"/>
    <n v="0"/>
    <n v="3.5"/>
    <s v="PAY0709"/>
    <x v="0"/>
    <n v="90000"/>
  </r>
  <r>
    <s v="TRX0867"/>
    <s v="TGL0602"/>
    <x v="101"/>
    <s v="CNA0301"/>
    <x v="136"/>
    <n v="29"/>
    <s v="BRCH003"/>
    <x v="2"/>
    <s v="KOA0104"/>
    <s v="Surabaya"/>
    <s v="MENU007"/>
    <s v="Chocolate Latte"/>
    <s v="KTG0207"/>
    <x v="2"/>
    <n v="3"/>
    <n v="27000"/>
    <n v="10"/>
    <n v="4.3"/>
    <s v="PAY0712"/>
    <x v="3"/>
    <n v="72900"/>
  </r>
  <r>
    <s v="TRX0111"/>
    <s v="TGL0603"/>
    <x v="102"/>
    <s v="CNA0302"/>
    <x v="137"/>
    <n v="48"/>
    <s v="BRCH002"/>
    <x v="1"/>
    <s v="KOA0103"/>
    <s v="Jakarta"/>
    <s v="MENU005"/>
    <s v="Croissant"/>
    <s v="KTG0206"/>
    <x v="1"/>
    <n v="3"/>
    <n v="23000"/>
    <n v="15"/>
    <n v="4"/>
    <s v="PAY0712"/>
    <x v="3"/>
    <n v="58650"/>
  </r>
  <r>
    <s v="TRX0838"/>
    <s v="TGL0604"/>
    <x v="103"/>
    <s v="CNA0303"/>
    <x v="138"/>
    <n v="44"/>
    <s v="BRCH002"/>
    <x v="1"/>
    <s v="KOA0103"/>
    <s v="Jakarta"/>
    <s v="MENU004"/>
    <s v="Matcha Latte"/>
    <s v="KTG0207"/>
    <x v="2"/>
    <n v="2"/>
    <n v="28000"/>
    <n v="0"/>
    <n v="2.7"/>
    <s v="PAY0711"/>
    <x v="2"/>
    <n v="56000"/>
  </r>
  <r>
    <s v="TRX0027"/>
    <s v="TGL0605"/>
    <x v="104"/>
    <s v="CNA0203"/>
    <x v="84"/>
    <n v="22"/>
    <s v="BRCH004"/>
    <x v="3"/>
    <s v="KOA0105"/>
    <s v="Medan"/>
    <s v="MENU002"/>
    <s v="Red Velvet Cake"/>
    <s v="KTG0206"/>
    <x v="1"/>
    <n v="1"/>
    <n v="30000"/>
    <n v="0"/>
    <n v="1.4"/>
    <s v="PAY0712"/>
    <x v="3"/>
    <n v="30000"/>
  </r>
  <r>
    <s v="TRX0373"/>
    <s v="TGL0606"/>
    <x v="105"/>
    <s v="CNA0222"/>
    <x v="95"/>
    <n v="34"/>
    <s v="BRCH005"/>
    <x v="4"/>
    <s v="KOA0106"/>
    <s v="Makassar"/>
    <s v="MENU001"/>
    <s v="Cappuccino"/>
    <s v="KTG0205"/>
    <x v="0"/>
    <n v="5"/>
    <n v="25000"/>
    <n v="15"/>
    <n v="3.3"/>
    <s v="PAY0711"/>
    <x v="2"/>
    <n v="106250"/>
  </r>
  <r>
    <s v="TRX0776"/>
    <s v="TGL0606"/>
    <x v="105"/>
    <s v="CNA0109"/>
    <x v="8"/>
    <n v="45"/>
    <s v="BRCH004"/>
    <x v="3"/>
    <s v="KOA0105"/>
    <s v="Medan"/>
    <s v="MENU009"/>
    <s v="Kentang Goreng"/>
    <s v="KTG0206"/>
    <x v="1"/>
    <n v="2"/>
    <n v="18000"/>
    <n v="5"/>
    <n v="1"/>
    <s v="PAY0709"/>
    <x v="0"/>
    <n v="34200"/>
  </r>
  <r>
    <s v="TRX0549"/>
    <s v="TGL0607"/>
    <x v="106"/>
    <s v="CNA0152"/>
    <x v="47"/>
    <n v="49"/>
    <s v="BRCH001"/>
    <x v="0"/>
    <s v="KOA0102"/>
    <s v="Bandung"/>
    <s v="MENU005"/>
    <s v="Croissant"/>
    <s v="KTG0206"/>
    <x v="1"/>
    <n v="5"/>
    <n v="23000"/>
    <n v="5"/>
    <n v="2.8"/>
    <s v="PAY0709"/>
    <x v="0"/>
    <n v="109250"/>
  </r>
  <r>
    <s v="TRX0339"/>
    <s v="TGL0607"/>
    <x v="106"/>
    <s v="CNA0144"/>
    <x v="39"/>
    <n v="42"/>
    <s v="BRCH005"/>
    <x v="4"/>
    <s v="KOA0106"/>
    <s v="Makassar"/>
    <s v="MENU006"/>
    <s v="Sandwich Ayam"/>
    <s v="KTG0206"/>
    <x v="1"/>
    <n v="2"/>
    <n v="32000"/>
    <n v="5"/>
    <n v="4.5999999999999996"/>
    <s v="PAY0710"/>
    <x v="1"/>
    <n v="60800"/>
  </r>
  <r>
    <s v="TRX0866"/>
    <s v="TGL0607"/>
    <x v="106"/>
    <s v="CNA0146"/>
    <x v="41"/>
    <n v="37"/>
    <s v="BRCH004"/>
    <x v="3"/>
    <s v="KOA0105"/>
    <s v="Medan"/>
    <s v="MENU005"/>
    <s v="Croissant"/>
    <s v="KTG0206"/>
    <x v="1"/>
    <n v="4"/>
    <n v="23000"/>
    <n v="0"/>
    <n v="4.5999999999999996"/>
    <s v="PAY0709"/>
    <x v="0"/>
    <n v="92000"/>
  </r>
  <r>
    <s v="TRX0405"/>
    <s v="TGL0608"/>
    <x v="107"/>
    <s v="CNA0310"/>
    <x v="139"/>
    <n v="22"/>
    <s v="BRCH001"/>
    <x v="0"/>
    <s v="KOA0102"/>
    <s v="Bandung"/>
    <s v="MENU008"/>
    <s v="Americano"/>
    <s v="KTG0205"/>
    <x v="0"/>
    <n v="4"/>
    <n v="20000"/>
    <n v="0"/>
    <n v="2.2999999999999998"/>
    <s v="PAY0710"/>
    <x v="1"/>
    <n v="80000"/>
  </r>
  <r>
    <s v="TRX0849"/>
    <s v="TGL0608"/>
    <x v="107"/>
    <s v="CNA0115"/>
    <x v="14"/>
    <n v="46"/>
    <s v="BRCH005"/>
    <x v="4"/>
    <s v="KOA0106"/>
    <s v="Makassar"/>
    <s v="MENU007"/>
    <s v="Chocolate Latte"/>
    <s v="KTG0207"/>
    <x v="2"/>
    <n v="4"/>
    <n v="27000"/>
    <n v="0"/>
    <n v="2"/>
    <s v="PAY0710"/>
    <x v="1"/>
    <n v="108000"/>
  </r>
  <r>
    <s v="TRX0057"/>
    <s v="TGL0609"/>
    <x v="108"/>
    <s v="CNA0312"/>
    <x v="140"/>
    <n v="49"/>
    <s v="BRCH002"/>
    <x v="1"/>
    <s v="KOA0103"/>
    <s v="Jakarta"/>
    <s v="MENU004"/>
    <s v="Matcha Latte"/>
    <s v="KTG0207"/>
    <x v="2"/>
    <n v="1"/>
    <n v="28000"/>
    <n v="10"/>
    <n v="3.1"/>
    <s v="PAY0710"/>
    <x v="1"/>
    <n v="25200"/>
  </r>
  <r>
    <s v="TRX0691"/>
    <s v="TGL0610"/>
    <x v="109"/>
    <s v="CNA0280"/>
    <x v="126"/>
    <n v="25"/>
    <s v="BRCH001"/>
    <x v="0"/>
    <s v="KOA0102"/>
    <s v="Bandung"/>
    <s v="MENU010"/>
    <s v="Espresso"/>
    <s v="KTG0205"/>
    <x v="0"/>
    <n v="5"/>
    <n v="18000"/>
    <n v="0"/>
    <n v="2.4"/>
    <s v="PAY0709"/>
    <x v="0"/>
    <n v="90000"/>
  </r>
  <r>
    <s v="TRX0758"/>
    <s v="TGL0610"/>
    <x v="109"/>
    <s v="CNA0277"/>
    <x v="124"/>
    <n v="52"/>
    <s v="BRCH004"/>
    <x v="3"/>
    <s v="KOA0105"/>
    <s v="Medan"/>
    <s v="MENU007"/>
    <s v="Chocolate Latte"/>
    <s v="KTG0207"/>
    <x v="2"/>
    <n v="3"/>
    <n v="27000"/>
    <n v="5"/>
    <n v="3.2"/>
    <s v="PAY0711"/>
    <x v="2"/>
    <n v="76950"/>
  </r>
  <r>
    <s v="TRX0890"/>
    <s v="TGL0610"/>
    <x v="109"/>
    <s v="CNA0315"/>
    <x v="141"/>
    <n v="51"/>
    <s v="BRCH003"/>
    <x v="2"/>
    <s v="KOA0104"/>
    <s v="Surabaya"/>
    <s v="MENU006"/>
    <s v="Sandwich Ayam"/>
    <s v="KTG0206"/>
    <x v="1"/>
    <n v="2"/>
    <n v="32000"/>
    <n v="0"/>
    <n v="2.7"/>
    <s v="PAY0711"/>
    <x v="2"/>
    <n v="64000"/>
  </r>
  <r>
    <s v="TRX0550"/>
    <s v="TGL0611"/>
    <x v="110"/>
    <s v="CNA0124"/>
    <x v="23"/>
    <n v="33"/>
    <s v="BRCH003"/>
    <x v="2"/>
    <s v="KOA0104"/>
    <s v="Surabaya"/>
    <s v="MENU009"/>
    <s v="Kentang Goreng"/>
    <s v="KTG0206"/>
    <x v="1"/>
    <n v="2"/>
    <n v="18000"/>
    <n v="10"/>
    <n v="1.2"/>
    <s v="PAY0712"/>
    <x v="3"/>
    <n v="32400"/>
  </r>
  <r>
    <s v="TRX0731"/>
    <s v="TGL0612"/>
    <x v="111"/>
    <s v="CNA0317"/>
    <x v="142"/>
    <n v="31"/>
    <s v="BRCH003"/>
    <x v="2"/>
    <s v="KOA0104"/>
    <s v="Surabaya"/>
    <s v="MENU009"/>
    <s v="Kentang Goreng"/>
    <s v="KTG0206"/>
    <x v="1"/>
    <n v="4"/>
    <n v="18000"/>
    <n v="0"/>
    <n v="4.5999999999999996"/>
    <s v="PAY0711"/>
    <x v="2"/>
    <n v="72000"/>
  </r>
  <r>
    <s v="TRX0724"/>
    <s v="TGL0613"/>
    <x v="112"/>
    <s v="CNA0318"/>
    <x v="143"/>
    <n v="27"/>
    <s v="BRCH005"/>
    <x v="4"/>
    <s v="KOA0106"/>
    <s v="Makassar"/>
    <s v="MENU003"/>
    <s v="Kopi Susu Gula Aren"/>
    <s v="KTG0205"/>
    <x v="0"/>
    <n v="3"/>
    <n v="22000"/>
    <n v="0"/>
    <n v="4.3"/>
    <s v="PAY0710"/>
    <x v="1"/>
    <n v="66000"/>
  </r>
  <r>
    <s v="TRX0857"/>
    <s v="TGL0614"/>
    <x v="113"/>
    <s v="CNA0319"/>
    <x v="144"/>
    <n v="31"/>
    <s v="BRCH002"/>
    <x v="1"/>
    <s v="KOA0103"/>
    <s v="Jakarta"/>
    <s v="MENU003"/>
    <s v="Kopi Susu Gula Aren"/>
    <s v="KTG0205"/>
    <x v="0"/>
    <n v="1"/>
    <n v="22000"/>
    <n v="0"/>
    <n v="3"/>
    <s v="PAY0711"/>
    <x v="2"/>
    <n v="22000"/>
  </r>
  <r>
    <s v="TRX0936"/>
    <s v="TGL0614"/>
    <x v="113"/>
    <s v="CNA0158"/>
    <x v="52"/>
    <n v="48"/>
    <s v="BRCH001"/>
    <x v="0"/>
    <s v="KOA0102"/>
    <s v="Bandung"/>
    <s v="MENU003"/>
    <s v="Kopi Susu Gula Aren"/>
    <s v="KTG0205"/>
    <x v="0"/>
    <n v="4"/>
    <n v="22000"/>
    <n v="0"/>
    <n v="2.8"/>
    <s v="PAY0712"/>
    <x v="3"/>
    <n v="88000"/>
  </r>
  <r>
    <s v="TRX0143"/>
    <s v="TGL0615"/>
    <x v="114"/>
    <s v="CNA0139"/>
    <x v="36"/>
    <n v="51"/>
    <s v="BRCH003"/>
    <x v="2"/>
    <s v="KOA0104"/>
    <s v="Surabaya"/>
    <s v="MENU004"/>
    <s v="Matcha Latte"/>
    <s v="KTG0207"/>
    <x v="2"/>
    <n v="4"/>
    <n v="28000"/>
    <n v="20"/>
    <n v="2.1"/>
    <s v="PAY0709"/>
    <x v="0"/>
    <n v="89600"/>
  </r>
  <r>
    <s v="TRX0426"/>
    <s v="TGL0615"/>
    <x v="114"/>
    <s v="CNA0262"/>
    <x v="116"/>
    <n v="30"/>
    <s v="BRCH003"/>
    <x v="2"/>
    <s v="KOA0104"/>
    <s v="Surabaya"/>
    <s v="MENU009"/>
    <s v="Kentang Goreng"/>
    <s v="KTG0206"/>
    <x v="1"/>
    <n v="2"/>
    <n v="18000"/>
    <n v="15"/>
    <n v="2.6"/>
    <s v="PAY0710"/>
    <x v="1"/>
    <n v="30600"/>
  </r>
  <r>
    <s v="TRX0790"/>
    <s v="TGL0615"/>
    <x v="114"/>
    <s v="CNA0323"/>
    <x v="145"/>
    <n v="18"/>
    <s v="BRCH002"/>
    <x v="1"/>
    <s v="KOA0103"/>
    <s v="Jakarta"/>
    <s v="MENU009"/>
    <s v="Kentang Goreng"/>
    <s v="KTG0206"/>
    <x v="1"/>
    <n v="3"/>
    <n v="18000"/>
    <n v="0"/>
    <n v="3.3"/>
    <s v="PAY0712"/>
    <x v="3"/>
    <n v="54000"/>
  </r>
  <r>
    <s v="TRX0011"/>
    <s v="TGL0616"/>
    <x v="115"/>
    <s v="CNA0317"/>
    <x v="142"/>
    <n v="31"/>
    <s v="BRCH004"/>
    <x v="3"/>
    <s v="KOA0105"/>
    <s v="Medan"/>
    <s v="MENU007"/>
    <s v="Chocolate Latte"/>
    <s v="KTG0207"/>
    <x v="2"/>
    <n v="1"/>
    <n v="27000"/>
    <n v="0"/>
    <n v="2.4"/>
    <s v="PAY0710"/>
    <x v="1"/>
    <n v="27000"/>
  </r>
  <r>
    <s v="TRX0948"/>
    <s v="TGL0616"/>
    <x v="115"/>
    <s v="CNA0325"/>
    <x v="146"/>
    <n v="45"/>
    <s v="BRCH002"/>
    <x v="1"/>
    <s v="KOA0103"/>
    <s v="Jakarta"/>
    <s v="MENU001"/>
    <s v="Cappuccino"/>
    <s v="KTG0205"/>
    <x v="0"/>
    <n v="4"/>
    <n v="25000"/>
    <n v="20"/>
    <n v="2.4"/>
    <s v="PAY0710"/>
    <x v="1"/>
    <n v="80000"/>
  </r>
  <r>
    <s v="TRX0329"/>
    <s v="TGL0616"/>
    <x v="115"/>
    <s v="CNA0242"/>
    <x v="109"/>
    <n v="40"/>
    <s v="BRCH005"/>
    <x v="4"/>
    <s v="KOA0106"/>
    <s v="Makassar"/>
    <s v="MENU006"/>
    <s v="Sandwich Ayam"/>
    <s v="KTG0206"/>
    <x v="1"/>
    <n v="4"/>
    <n v="32000"/>
    <n v="5"/>
    <n v="2.8"/>
    <s v="PAY0710"/>
    <x v="1"/>
    <n v="121600"/>
  </r>
  <r>
    <s v="TRX0320"/>
    <s v="TGL0616"/>
    <x v="115"/>
    <s v="CNA0299"/>
    <x v="135"/>
    <n v="38"/>
    <s v="BRCH001"/>
    <x v="0"/>
    <s v="KOA0102"/>
    <s v="Bandung"/>
    <s v="MENU002"/>
    <s v="Red Velvet Cake"/>
    <s v="KTG0206"/>
    <x v="1"/>
    <n v="4"/>
    <n v="30000"/>
    <n v="15"/>
    <n v="4.8"/>
    <s v="PAY0709"/>
    <x v="0"/>
    <n v="102000"/>
  </r>
  <r>
    <s v="TRX0649"/>
    <s v="TGL0617"/>
    <x v="116"/>
    <s v="CNA0188"/>
    <x v="76"/>
    <n v="19"/>
    <s v="BRCH005"/>
    <x v="4"/>
    <s v="KOA0106"/>
    <s v="Makassar"/>
    <s v="MENU010"/>
    <s v="Espresso"/>
    <s v="KTG0205"/>
    <x v="0"/>
    <n v="2"/>
    <n v="18000"/>
    <n v="0"/>
    <n v="3.7"/>
    <s v="PAY0709"/>
    <x v="0"/>
    <n v="36000"/>
  </r>
  <r>
    <s v="TRX0453"/>
    <s v="TGL0617"/>
    <x v="116"/>
    <s v="CNA0292"/>
    <x v="132"/>
    <n v="18"/>
    <s v="BRCH005"/>
    <x v="4"/>
    <s v="KOA0106"/>
    <s v="Makassar"/>
    <s v="MENU003"/>
    <s v="Kopi Susu Gula Aren"/>
    <s v="KTG0205"/>
    <x v="0"/>
    <n v="2"/>
    <n v="22000"/>
    <n v="10"/>
    <n v="3.1"/>
    <s v="PAY0709"/>
    <x v="0"/>
    <n v="39600"/>
  </r>
  <r>
    <s v="TRX0792"/>
    <s v="TGL0617"/>
    <x v="116"/>
    <s v="CNA0128"/>
    <x v="26"/>
    <n v="36"/>
    <s v="BRCH005"/>
    <x v="4"/>
    <s v="KOA0106"/>
    <s v="Makassar"/>
    <s v="MENU006"/>
    <s v="Sandwich Ayam"/>
    <s v="KTG0206"/>
    <x v="1"/>
    <n v="5"/>
    <n v="32000"/>
    <n v="20"/>
    <n v="2.8"/>
    <s v="PAY0710"/>
    <x v="1"/>
    <n v="128000"/>
  </r>
  <r>
    <s v="TRX0498"/>
    <s v="TGL0617"/>
    <x v="116"/>
    <s v="CNA0114"/>
    <x v="13"/>
    <n v="51"/>
    <s v="BRCH001"/>
    <x v="0"/>
    <s v="KOA0102"/>
    <s v="Bandung"/>
    <s v="MENU007"/>
    <s v="Chocolate Latte"/>
    <s v="KTG0207"/>
    <x v="2"/>
    <n v="3"/>
    <n v="27000"/>
    <n v="10"/>
    <n v="4"/>
    <s v="PAY0710"/>
    <x v="1"/>
    <n v="72900"/>
  </r>
  <r>
    <s v="TRX0472"/>
    <s v="TGL0618"/>
    <x v="117"/>
    <s v="CNA0169"/>
    <x v="60"/>
    <n v="53"/>
    <s v="BRCH005"/>
    <x v="4"/>
    <s v="KOA0106"/>
    <s v="Makassar"/>
    <s v="MENU002"/>
    <s v="Red Velvet Cake"/>
    <s v="KTG0206"/>
    <x v="1"/>
    <n v="5"/>
    <n v="30000"/>
    <n v="20"/>
    <n v="4.8"/>
    <s v="PAY0709"/>
    <x v="0"/>
    <n v="120000"/>
  </r>
  <r>
    <s v="TRX0658"/>
    <s v="TGL0618"/>
    <x v="117"/>
    <s v="CNA0333"/>
    <x v="147"/>
    <n v="27"/>
    <s v="BRCH001"/>
    <x v="0"/>
    <s v="KOA0102"/>
    <s v="Bandung"/>
    <s v="MENU010"/>
    <s v="Espresso"/>
    <s v="KTG0205"/>
    <x v="0"/>
    <n v="5"/>
    <n v="18000"/>
    <n v="0"/>
    <n v="3.1"/>
    <s v="PAY0709"/>
    <x v="0"/>
    <n v="90000"/>
  </r>
  <r>
    <s v="TRX0927"/>
    <s v="TGL0619"/>
    <x v="118"/>
    <s v="CNA0228"/>
    <x v="100"/>
    <n v="40"/>
    <s v="BRCH005"/>
    <x v="4"/>
    <s v="KOA0106"/>
    <s v="Makassar"/>
    <s v="MENU006"/>
    <s v="Sandwich Ayam"/>
    <s v="KTG0206"/>
    <x v="1"/>
    <n v="2"/>
    <n v="32000"/>
    <n v="0"/>
    <n v="4.3"/>
    <s v="PAY0709"/>
    <x v="0"/>
    <n v="64000"/>
  </r>
  <r>
    <s v="TRX0411"/>
    <s v="TGL0620"/>
    <x v="119"/>
    <s v="CNA0317"/>
    <x v="142"/>
    <n v="31"/>
    <s v="BRCH001"/>
    <x v="0"/>
    <s v="KOA0102"/>
    <s v="Bandung"/>
    <s v="MENU003"/>
    <s v="Kopi Susu Gula Aren"/>
    <s v="KTG0205"/>
    <x v="0"/>
    <n v="1"/>
    <n v="22000"/>
    <n v="5"/>
    <n v="4"/>
    <s v="PAY0712"/>
    <x v="3"/>
    <n v="20900"/>
  </r>
  <r>
    <s v="TRX0153"/>
    <s v="TGL0621"/>
    <x v="120"/>
    <s v="CNA0106"/>
    <x v="5"/>
    <n v="30"/>
    <s v="BRCH005"/>
    <x v="4"/>
    <s v="KOA0106"/>
    <s v="Makassar"/>
    <s v="MENU008"/>
    <s v="Americano"/>
    <s v="KTG0205"/>
    <x v="0"/>
    <n v="1"/>
    <n v="20000"/>
    <n v="0"/>
    <n v="1.5"/>
    <s v="PAY0712"/>
    <x v="3"/>
    <n v="20000"/>
  </r>
  <r>
    <s v="TRX0006"/>
    <s v="TGL0622"/>
    <x v="121"/>
    <s v="CNA0225"/>
    <x v="98"/>
    <n v="25"/>
    <s v="BRCH005"/>
    <x v="4"/>
    <s v="KOA0106"/>
    <s v="Makassar"/>
    <s v="MENU008"/>
    <s v="Americano"/>
    <s v="KTG0205"/>
    <x v="0"/>
    <n v="1"/>
    <n v="20000"/>
    <n v="15"/>
    <n v="3.7"/>
    <s v="PAY0710"/>
    <x v="1"/>
    <n v="17000"/>
  </r>
  <r>
    <s v="TRX0328"/>
    <s v="TGL0622"/>
    <x v="121"/>
    <s v="CNA0177"/>
    <x v="68"/>
    <n v="38"/>
    <s v="BRCH001"/>
    <x v="0"/>
    <s v="KOA0102"/>
    <s v="Bandung"/>
    <s v="MENU007"/>
    <s v="Chocolate Latte"/>
    <s v="KTG0207"/>
    <x v="2"/>
    <n v="2"/>
    <n v="27000"/>
    <n v="0"/>
    <n v="4.7"/>
    <s v="PAY0712"/>
    <x v="3"/>
    <n v="54000"/>
  </r>
  <r>
    <s v="TRX0029"/>
    <s v="TGL0623"/>
    <x v="122"/>
    <s v="CNA0208"/>
    <x v="88"/>
    <n v="21"/>
    <s v="BRCH001"/>
    <x v="0"/>
    <s v="KOA0102"/>
    <s v="Bandung"/>
    <s v="MENU006"/>
    <s v="Sandwich Ayam"/>
    <s v="KTG0206"/>
    <x v="1"/>
    <n v="2"/>
    <n v="32000"/>
    <n v="0"/>
    <n v="3.5"/>
    <s v="PAY0709"/>
    <x v="0"/>
    <n v="64000"/>
  </r>
  <r>
    <s v="TRX0045"/>
    <s v="TGL0624"/>
    <x v="123"/>
    <s v="CNA0167"/>
    <x v="58"/>
    <n v="38"/>
    <s v="BRCH001"/>
    <x v="0"/>
    <s v="KOA0102"/>
    <s v="Bandung"/>
    <s v="MENU010"/>
    <s v="Espresso"/>
    <s v="KTG0205"/>
    <x v="0"/>
    <n v="5"/>
    <n v="18000"/>
    <n v="10"/>
    <n v="2.1"/>
    <s v="PAY0709"/>
    <x v="0"/>
    <n v="81000"/>
  </r>
  <r>
    <s v="TRX0514"/>
    <s v="TGL0625"/>
    <x v="124"/>
    <s v="CNA0252"/>
    <x v="113"/>
    <n v="43"/>
    <s v="BRCH002"/>
    <x v="1"/>
    <s v="KOA0103"/>
    <s v="Jakarta"/>
    <s v="MENU002"/>
    <s v="Red Velvet Cake"/>
    <s v="KTG0206"/>
    <x v="1"/>
    <n v="4"/>
    <n v="30000"/>
    <n v="0"/>
    <n v="4.5999999999999996"/>
    <s v="PAY0710"/>
    <x v="1"/>
    <n v="120000"/>
  </r>
  <r>
    <s v="TRX0206"/>
    <s v="TGL0625"/>
    <x v="124"/>
    <s v="CNA0342"/>
    <x v="148"/>
    <n v="35"/>
    <s v="BRCH003"/>
    <x v="2"/>
    <s v="KOA0104"/>
    <s v="Surabaya"/>
    <s v="MENU008"/>
    <s v="Americano"/>
    <s v="KTG0205"/>
    <x v="0"/>
    <n v="5"/>
    <n v="20000"/>
    <n v="10"/>
    <n v="2.2000000000000002"/>
    <s v="PAY0709"/>
    <x v="0"/>
    <n v="90000"/>
  </r>
  <r>
    <s v="TRX0121"/>
    <s v="TGL0626"/>
    <x v="125"/>
    <s v="CNA0111"/>
    <x v="10"/>
    <n v="40"/>
    <s v="BRCH003"/>
    <x v="2"/>
    <s v="KOA0104"/>
    <s v="Surabaya"/>
    <s v="MENU002"/>
    <s v="Red Velvet Cake"/>
    <s v="KTG0206"/>
    <x v="1"/>
    <n v="5"/>
    <n v="30000"/>
    <n v="5"/>
    <n v="2.6"/>
    <s v="PAY0711"/>
    <x v="2"/>
    <n v="142500"/>
  </r>
  <r>
    <s v="TRX0921"/>
    <s v="TGL0627"/>
    <x v="126"/>
    <s v="CNA0344"/>
    <x v="149"/>
    <n v="43"/>
    <s v="BRCH001"/>
    <x v="0"/>
    <s v="KOA0102"/>
    <s v="Bandung"/>
    <s v="MENU010"/>
    <s v="Espresso"/>
    <s v="KTG0205"/>
    <x v="0"/>
    <n v="2"/>
    <n v="18000"/>
    <n v="0"/>
    <n v="3.4"/>
    <s v="PAY0711"/>
    <x v="2"/>
    <n v="36000"/>
  </r>
  <r>
    <s v="TRX0813"/>
    <s v="TGL0628"/>
    <x v="127"/>
    <s v="CNA0310"/>
    <x v="139"/>
    <n v="22"/>
    <s v="BRCH001"/>
    <x v="0"/>
    <s v="KOA0102"/>
    <s v="Bandung"/>
    <s v="MENU004"/>
    <s v="Matcha Latte"/>
    <s v="KTG0207"/>
    <x v="2"/>
    <n v="1"/>
    <n v="28000"/>
    <n v="0"/>
    <n v="1.7"/>
    <s v="PAY0710"/>
    <x v="1"/>
    <n v="28000"/>
  </r>
  <r>
    <s v="TRX0831"/>
    <s v="TGL0628"/>
    <x v="127"/>
    <s v="CNA0116"/>
    <x v="15"/>
    <n v="45"/>
    <s v="BRCH002"/>
    <x v="1"/>
    <s v="KOA0103"/>
    <s v="Jakarta"/>
    <s v="MENU008"/>
    <s v="Americano"/>
    <s v="KTG0205"/>
    <x v="0"/>
    <n v="2"/>
    <n v="20000"/>
    <n v="0"/>
    <n v="3.1"/>
    <s v="PAY0709"/>
    <x v="0"/>
    <n v="40000"/>
  </r>
  <r>
    <s v="TRX0834"/>
    <s v="TGL0628"/>
    <x v="127"/>
    <s v="CNA0215"/>
    <x v="92"/>
    <n v="52"/>
    <s v="BRCH002"/>
    <x v="1"/>
    <s v="KOA0103"/>
    <s v="Jakarta"/>
    <s v="MENU007"/>
    <s v="Chocolate Latte"/>
    <s v="KTG0207"/>
    <x v="2"/>
    <n v="1"/>
    <n v="27000"/>
    <n v="0"/>
    <n v="4.0999999999999996"/>
    <s v="PAY0709"/>
    <x v="0"/>
    <n v="27000"/>
  </r>
  <r>
    <s v="TRX0090"/>
    <s v="TGL0629"/>
    <x v="128"/>
    <s v="CNA0348"/>
    <x v="150"/>
    <n v="42"/>
    <s v="BRCH004"/>
    <x v="3"/>
    <s v="KOA0105"/>
    <s v="Medan"/>
    <s v="MENU006"/>
    <s v="Sandwich Ayam"/>
    <s v="KTG0206"/>
    <x v="1"/>
    <n v="4"/>
    <n v="32000"/>
    <n v="20"/>
    <n v="1.3"/>
    <s v="PAY0712"/>
    <x v="3"/>
    <n v="102400"/>
  </r>
  <r>
    <s v="TRX0826"/>
    <s v="TGL0630"/>
    <x v="129"/>
    <s v="CNA0114"/>
    <x v="13"/>
    <n v="51"/>
    <s v="BRCH004"/>
    <x v="3"/>
    <s v="KOA0105"/>
    <s v="Medan"/>
    <s v="MENU010"/>
    <s v="Espresso"/>
    <s v="KTG0205"/>
    <x v="0"/>
    <n v="3"/>
    <n v="18000"/>
    <n v="15"/>
    <n v="3.5"/>
    <s v="PAY0709"/>
    <x v="0"/>
    <n v="45900"/>
  </r>
  <r>
    <s v="TRX0241"/>
    <s v="TGL0631"/>
    <x v="130"/>
    <s v="CNA0350"/>
    <x v="151"/>
    <n v="52"/>
    <s v="BRCH004"/>
    <x v="3"/>
    <s v="KOA0105"/>
    <s v="Medan"/>
    <s v="MENU009"/>
    <s v="Kentang Goreng"/>
    <s v="KTG0206"/>
    <x v="1"/>
    <n v="5"/>
    <n v="18000"/>
    <n v="15"/>
    <n v="3.2"/>
    <s v="PAY0709"/>
    <x v="0"/>
    <n v="76500"/>
  </r>
  <r>
    <s v="TRX0021"/>
    <s v="TGL0631"/>
    <x v="130"/>
    <s v="CNA0224"/>
    <x v="97"/>
    <n v="49"/>
    <s v="BRCH001"/>
    <x v="0"/>
    <s v="KOA0102"/>
    <s v="Bandung"/>
    <s v="MENU002"/>
    <s v="Red Velvet Cake"/>
    <s v="KTG0206"/>
    <x v="1"/>
    <n v="3"/>
    <n v="30000"/>
    <n v="15"/>
    <n v="2.7"/>
    <s v="PAY0711"/>
    <x v="2"/>
    <n v="76500"/>
  </r>
  <r>
    <s v="TRX0051"/>
    <s v="TGL0632"/>
    <x v="131"/>
    <s v="CNA0177"/>
    <x v="68"/>
    <n v="38"/>
    <s v="BRCH003"/>
    <x v="2"/>
    <s v="KOA0104"/>
    <s v="Surabaya"/>
    <s v="MENU001"/>
    <s v="Cappuccino"/>
    <s v="KTG0205"/>
    <x v="0"/>
    <n v="5"/>
    <n v="25000"/>
    <n v="0"/>
    <n v="4"/>
    <s v="PAY0709"/>
    <x v="0"/>
    <n v="125000"/>
  </r>
  <r>
    <s v="TRX0915"/>
    <s v="TGL0632"/>
    <x v="131"/>
    <s v="CNA0214"/>
    <x v="91"/>
    <n v="18"/>
    <s v="BRCH002"/>
    <x v="1"/>
    <s v="KOA0103"/>
    <s v="Jakarta"/>
    <s v="MENU010"/>
    <s v="Espresso"/>
    <s v="KTG0205"/>
    <x v="0"/>
    <n v="3"/>
    <n v="18000"/>
    <n v="20"/>
    <n v="2.8"/>
    <s v="PAY0711"/>
    <x v="2"/>
    <n v="43200"/>
  </r>
  <r>
    <s v="TRX0108"/>
    <s v="TGL0632"/>
    <x v="131"/>
    <s v="CNA0177"/>
    <x v="68"/>
    <n v="38"/>
    <s v="BRCH004"/>
    <x v="3"/>
    <s v="KOA0105"/>
    <s v="Medan"/>
    <s v="MENU007"/>
    <s v="Chocolate Latte"/>
    <s v="KTG0207"/>
    <x v="2"/>
    <n v="1"/>
    <n v="27000"/>
    <n v="0"/>
    <n v="2.8"/>
    <s v="PAY0712"/>
    <x v="3"/>
    <n v="27000"/>
  </r>
  <r>
    <s v="TRX0966"/>
    <s v="TGL0633"/>
    <x v="132"/>
    <s v="CNA0297"/>
    <x v="134"/>
    <n v="28"/>
    <s v="BRCH003"/>
    <x v="2"/>
    <s v="KOA0104"/>
    <s v="Surabaya"/>
    <s v="MENU002"/>
    <s v="Red Velvet Cake"/>
    <s v="KTG0206"/>
    <x v="1"/>
    <n v="2"/>
    <n v="30000"/>
    <n v="0"/>
    <n v="5"/>
    <s v="PAY0709"/>
    <x v="0"/>
    <n v="60000"/>
  </r>
  <r>
    <s v="TRX0340"/>
    <s v="TGL0634"/>
    <x v="133"/>
    <s v="CNA0228"/>
    <x v="100"/>
    <n v="40"/>
    <s v="BRCH005"/>
    <x v="4"/>
    <s v="KOA0106"/>
    <s v="Makassar"/>
    <s v="MENU006"/>
    <s v="Sandwich Ayam"/>
    <s v="KTG0206"/>
    <x v="1"/>
    <n v="5"/>
    <n v="32000"/>
    <n v="0"/>
    <n v="4.0999999999999996"/>
    <s v="PAY0710"/>
    <x v="1"/>
    <n v="160000"/>
  </r>
  <r>
    <s v="TRX0048"/>
    <s v="TGL0634"/>
    <x v="133"/>
    <s v="CNA0357"/>
    <x v="152"/>
    <n v="25"/>
    <s v="BRCH001"/>
    <x v="0"/>
    <s v="KOA0102"/>
    <s v="Bandung"/>
    <s v="MENU004"/>
    <s v="Matcha Latte"/>
    <s v="KTG0207"/>
    <x v="2"/>
    <n v="1"/>
    <n v="28000"/>
    <n v="0"/>
    <n v="4.3"/>
    <s v="PAY0711"/>
    <x v="2"/>
    <n v="28000"/>
  </r>
  <r>
    <s v="TRX0360"/>
    <s v="TGL0635"/>
    <x v="134"/>
    <s v="CNA0265"/>
    <x v="118"/>
    <n v="42"/>
    <s v="BRCH003"/>
    <x v="2"/>
    <s v="KOA0104"/>
    <s v="Surabaya"/>
    <s v="MENU002"/>
    <s v="Red Velvet Cake"/>
    <s v="KTG0206"/>
    <x v="1"/>
    <n v="3"/>
    <n v="30000"/>
    <n v="5"/>
    <n v="1.3"/>
    <s v="PAY0710"/>
    <x v="1"/>
    <n v="85500"/>
  </r>
  <r>
    <s v="TRX0995"/>
    <s v="TGL0635"/>
    <x v="134"/>
    <s v="CNA0230"/>
    <x v="101"/>
    <n v="23"/>
    <s v="BRCH003"/>
    <x v="2"/>
    <s v="KOA0104"/>
    <s v="Surabaya"/>
    <s v="MENU010"/>
    <s v="Espresso"/>
    <s v="KTG0205"/>
    <x v="0"/>
    <n v="2"/>
    <n v="18000"/>
    <n v="0"/>
    <n v="1.3"/>
    <s v="PAY0711"/>
    <x v="2"/>
    <n v="36000"/>
  </r>
  <r>
    <s v="TRX0770"/>
    <s v="TGL0635"/>
    <x v="134"/>
    <s v="CNA0107"/>
    <x v="6"/>
    <n v="19"/>
    <s v="BRCH005"/>
    <x v="4"/>
    <s v="KOA0106"/>
    <s v="Makassar"/>
    <s v="MENU005"/>
    <s v="Croissant"/>
    <s v="KTG0206"/>
    <x v="1"/>
    <n v="3"/>
    <n v="23000"/>
    <n v="20"/>
    <n v="2.7"/>
    <s v="PAY0712"/>
    <x v="3"/>
    <n v="55200"/>
  </r>
  <r>
    <s v="TRX0542"/>
    <s v="TGL0636"/>
    <x v="135"/>
    <s v="CNA0204"/>
    <x v="85"/>
    <n v="40"/>
    <s v="BRCH004"/>
    <x v="3"/>
    <s v="KOA0105"/>
    <s v="Medan"/>
    <s v="MENU007"/>
    <s v="Chocolate Latte"/>
    <s v="KTG0207"/>
    <x v="2"/>
    <n v="3"/>
    <n v="27000"/>
    <n v="0"/>
    <n v="2.8"/>
    <s v="PAY0710"/>
    <x v="1"/>
    <n v="81000"/>
  </r>
  <r>
    <s v="TRX0379"/>
    <s v="TGL0637"/>
    <x v="136"/>
    <s v="CNA0172"/>
    <x v="63"/>
    <n v="51"/>
    <s v="BRCH005"/>
    <x v="4"/>
    <s v="KOA0106"/>
    <s v="Makassar"/>
    <s v="MENU009"/>
    <s v="Kentang Goreng"/>
    <s v="KTG0206"/>
    <x v="1"/>
    <n v="2"/>
    <n v="18000"/>
    <n v="0"/>
    <n v="3.8"/>
    <s v="PAY0711"/>
    <x v="2"/>
    <n v="36000"/>
  </r>
  <r>
    <s v="TRX0353"/>
    <s v="TGL0638"/>
    <x v="137"/>
    <s v="CNA0127"/>
    <x v="25"/>
    <n v="48"/>
    <s v="BRCH001"/>
    <x v="0"/>
    <s v="KOA0102"/>
    <s v="Bandung"/>
    <s v="MENU002"/>
    <s v="Red Velvet Cake"/>
    <s v="KTG0206"/>
    <x v="1"/>
    <n v="5"/>
    <n v="30000"/>
    <n v="0"/>
    <n v="3.8"/>
    <s v="PAY0712"/>
    <x v="3"/>
    <n v="150000"/>
  </r>
  <r>
    <s v="TRX0741"/>
    <s v="TGL0638"/>
    <x v="137"/>
    <s v="CNA0292"/>
    <x v="132"/>
    <n v="18"/>
    <s v="BRCH001"/>
    <x v="0"/>
    <s v="KOA0102"/>
    <s v="Bandung"/>
    <s v="MENU008"/>
    <s v="Americano"/>
    <s v="KTG0205"/>
    <x v="0"/>
    <n v="5"/>
    <n v="20000"/>
    <n v="15"/>
    <n v="1.9"/>
    <s v="PAY0709"/>
    <x v="0"/>
    <n v="85000"/>
  </r>
  <r>
    <s v="TRX0254"/>
    <s v="TGL0638"/>
    <x v="137"/>
    <s v="CNA0295"/>
    <x v="133"/>
    <n v="42"/>
    <s v="BRCH003"/>
    <x v="2"/>
    <s v="KOA0104"/>
    <s v="Surabaya"/>
    <s v="MENU005"/>
    <s v="Croissant"/>
    <s v="KTG0206"/>
    <x v="1"/>
    <n v="4"/>
    <n v="23000"/>
    <n v="0"/>
    <n v="2.8"/>
    <s v="PAY0710"/>
    <x v="1"/>
    <n v="92000"/>
  </r>
  <r>
    <s v="TRX0354"/>
    <s v="TGL0639"/>
    <x v="138"/>
    <s v="CNA0280"/>
    <x v="126"/>
    <n v="25"/>
    <s v="BRCH001"/>
    <x v="0"/>
    <s v="KOA0102"/>
    <s v="Bandung"/>
    <s v="MENU008"/>
    <s v="Americano"/>
    <s v="KTG0205"/>
    <x v="0"/>
    <n v="2"/>
    <n v="20000"/>
    <n v="5"/>
    <n v="3.4"/>
    <s v="PAY0710"/>
    <x v="1"/>
    <n v="38000"/>
  </r>
  <r>
    <s v="TRX0739"/>
    <s v="TGL0640"/>
    <x v="139"/>
    <s v="CNA0256"/>
    <x v="115"/>
    <n v="29"/>
    <s v="BRCH001"/>
    <x v="0"/>
    <s v="KOA0102"/>
    <s v="Bandung"/>
    <s v="MENU001"/>
    <s v="Cappuccino"/>
    <s v="KTG0205"/>
    <x v="0"/>
    <n v="3"/>
    <n v="25000"/>
    <n v="20"/>
    <n v="1.8"/>
    <s v="PAY0711"/>
    <x v="2"/>
    <n v="60000"/>
  </r>
  <r>
    <s v="TRX0088"/>
    <s v="TGL0640"/>
    <x v="139"/>
    <s v="CNA0168"/>
    <x v="59"/>
    <n v="37"/>
    <s v="BRCH005"/>
    <x v="4"/>
    <s v="KOA0106"/>
    <s v="Makassar"/>
    <s v="MENU003"/>
    <s v="Kopi Susu Gula Aren"/>
    <s v="KTG0205"/>
    <x v="0"/>
    <n v="4"/>
    <n v="22000"/>
    <n v="0"/>
    <n v="4.2"/>
    <s v="PAY0711"/>
    <x v="2"/>
    <n v="88000"/>
  </r>
  <r>
    <s v="TRX0410"/>
    <s v="TGL0641"/>
    <x v="140"/>
    <s v="CNA0200"/>
    <x v="81"/>
    <n v="51"/>
    <s v="BRCH002"/>
    <x v="1"/>
    <s v="KOA0103"/>
    <s v="Jakarta"/>
    <s v="MENU004"/>
    <s v="Matcha Latte"/>
    <s v="KTG0207"/>
    <x v="2"/>
    <n v="3"/>
    <n v="28000"/>
    <n v="0"/>
    <n v="1.8"/>
    <s v="PAY0711"/>
    <x v="2"/>
    <n v="84000"/>
  </r>
  <r>
    <s v="TRX0714"/>
    <s v="TGL0641"/>
    <x v="140"/>
    <s v="CNA0357"/>
    <x v="152"/>
    <n v="25"/>
    <s v="BRCH002"/>
    <x v="1"/>
    <s v="KOA0103"/>
    <s v="Jakarta"/>
    <s v="MENU010"/>
    <s v="Espresso"/>
    <s v="KTG0205"/>
    <x v="0"/>
    <n v="3"/>
    <n v="18000"/>
    <n v="0"/>
    <n v="1.1000000000000001"/>
    <s v="PAY0710"/>
    <x v="1"/>
    <n v="54000"/>
  </r>
  <r>
    <s v="TRX0386"/>
    <s v="TGL0641"/>
    <x v="140"/>
    <s v="CNA0126"/>
    <x v="24"/>
    <n v="30"/>
    <s v="BRCH002"/>
    <x v="1"/>
    <s v="KOA0103"/>
    <s v="Jakarta"/>
    <s v="MENU008"/>
    <s v="Americano"/>
    <s v="KTG0205"/>
    <x v="0"/>
    <n v="2"/>
    <n v="20000"/>
    <n v="20"/>
    <n v="1.4"/>
    <s v="PAY0709"/>
    <x v="0"/>
    <n v="32000"/>
  </r>
  <r>
    <s v="TRX0351"/>
    <s v="TGL0642"/>
    <x v="141"/>
    <s v="CNA0150"/>
    <x v="45"/>
    <n v="24"/>
    <s v="BRCH004"/>
    <x v="3"/>
    <s v="KOA0105"/>
    <s v="Medan"/>
    <s v="MENU004"/>
    <s v="Matcha Latte"/>
    <s v="KTG0207"/>
    <x v="2"/>
    <n v="3"/>
    <n v="28000"/>
    <n v="0"/>
    <n v="4.8"/>
    <s v="PAY0709"/>
    <x v="0"/>
    <n v="84000"/>
  </r>
  <r>
    <s v="TRX0954"/>
    <s v="TGL0643"/>
    <x v="142"/>
    <s v="CNA0268"/>
    <x v="119"/>
    <n v="31"/>
    <s v="BRCH001"/>
    <x v="0"/>
    <s v="KOA0102"/>
    <s v="Bandung"/>
    <s v="MENU006"/>
    <s v="Sandwich Ayam"/>
    <s v="KTG0206"/>
    <x v="1"/>
    <n v="5"/>
    <n v="32000"/>
    <n v="0"/>
    <n v="4.9000000000000004"/>
    <s v="PAY0710"/>
    <x v="1"/>
    <n v="160000"/>
  </r>
  <r>
    <s v="TRX0127"/>
    <s v="TGL0644"/>
    <x v="143"/>
    <s v="CNA0374"/>
    <x v="153"/>
    <n v="24"/>
    <s v="BRCH004"/>
    <x v="3"/>
    <s v="KOA0105"/>
    <s v="Medan"/>
    <s v="MENU009"/>
    <s v="Kentang Goreng"/>
    <s v="KTG0206"/>
    <x v="1"/>
    <n v="3"/>
    <n v="18000"/>
    <n v="10"/>
    <n v="2"/>
    <s v="PAY0712"/>
    <x v="3"/>
    <n v="48600"/>
  </r>
  <r>
    <s v="TRX0916"/>
    <s v="TGL0645"/>
    <x v="144"/>
    <s v="CNA0155"/>
    <x v="50"/>
    <n v="18"/>
    <s v="BRCH001"/>
    <x v="0"/>
    <s v="KOA0102"/>
    <s v="Bandung"/>
    <s v="MENU004"/>
    <s v="Matcha Latte"/>
    <s v="KTG0207"/>
    <x v="2"/>
    <n v="5"/>
    <n v="28000"/>
    <n v="0"/>
    <n v="1.5"/>
    <s v="PAY0709"/>
    <x v="0"/>
    <n v="140000"/>
  </r>
  <r>
    <s v="TRX0307"/>
    <s v="TGL0645"/>
    <x v="144"/>
    <s v="CNA0228"/>
    <x v="100"/>
    <n v="40"/>
    <s v="BRCH001"/>
    <x v="0"/>
    <s v="KOA0102"/>
    <s v="Bandung"/>
    <s v="MENU007"/>
    <s v="Chocolate Latte"/>
    <s v="KTG0207"/>
    <x v="2"/>
    <n v="5"/>
    <n v="27000"/>
    <n v="5"/>
    <n v="1.3"/>
    <s v="PAY0711"/>
    <x v="2"/>
    <n v="128250"/>
  </r>
  <r>
    <s v="TRX0475"/>
    <s v="TGL0645"/>
    <x v="144"/>
    <s v="CNA0140"/>
    <x v="37"/>
    <n v="43"/>
    <s v="BRCH001"/>
    <x v="0"/>
    <s v="KOA0102"/>
    <s v="Bandung"/>
    <s v="MENU009"/>
    <s v="Kentang Goreng"/>
    <s v="KTG0206"/>
    <x v="1"/>
    <n v="5"/>
    <n v="18000"/>
    <n v="20"/>
    <n v="1.3"/>
    <s v="PAY0711"/>
    <x v="2"/>
    <n v="72000"/>
  </r>
  <r>
    <s v="TRX0971"/>
    <s v="TGL0646"/>
    <x v="145"/>
    <s v="CNA0256"/>
    <x v="115"/>
    <n v="29"/>
    <s v="BRCH004"/>
    <x v="3"/>
    <s v="KOA0105"/>
    <s v="Medan"/>
    <s v="MENU006"/>
    <s v="Sandwich Ayam"/>
    <s v="KTG0206"/>
    <x v="1"/>
    <n v="5"/>
    <n v="32000"/>
    <n v="0"/>
    <n v="1.8"/>
    <s v="PAY0712"/>
    <x v="3"/>
    <n v="160000"/>
  </r>
  <r>
    <s v="TRX0448"/>
    <s v="TGL0646"/>
    <x v="145"/>
    <s v="CNA0236"/>
    <x v="106"/>
    <n v="20"/>
    <s v="BRCH002"/>
    <x v="1"/>
    <s v="KOA0103"/>
    <s v="Jakarta"/>
    <s v="MENU002"/>
    <s v="Red Velvet Cake"/>
    <s v="KTG0206"/>
    <x v="1"/>
    <n v="3"/>
    <n v="30000"/>
    <n v="20"/>
    <n v="1.2"/>
    <s v="PAY0712"/>
    <x v="3"/>
    <n v="72000"/>
  </r>
  <r>
    <s v="TRX0802"/>
    <s v="TGL0647"/>
    <x v="146"/>
    <s v="CNA0169"/>
    <x v="60"/>
    <n v="53"/>
    <s v="BRCH005"/>
    <x v="4"/>
    <s v="KOA0106"/>
    <s v="Makassar"/>
    <s v="MENU003"/>
    <s v="Kopi Susu Gula Aren"/>
    <s v="KTG0205"/>
    <x v="0"/>
    <n v="1"/>
    <n v="22000"/>
    <n v="10"/>
    <n v="2.4"/>
    <s v="PAY0711"/>
    <x v="2"/>
    <n v="19800"/>
  </r>
  <r>
    <s v="TRX0908"/>
    <s v="TGL0647"/>
    <x v="146"/>
    <s v="CNA0381"/>
    <x v="154"/>
    <n v="40"/>
    <s v="BRCH002"/>
    <x v="1"/>
    <s v="KOA0103"/>
    <s v="Jakarta"/>
    <s v="MENU001"/>
    <s v="Cappuccino"/>
    <s v="KTG0205"/>
    <x v="0"/>
    <n v="4"/>
    <n v="25000"/>
    <n v="0"/>
    <n v="3.2"/>
    <s v="PAY0710"/>
    <x v="1"/>
    <n v="100000"/>
  </r>
  <r>
    <s v="TRX0912"/>
    <s v="TGL0648"/>
    <x v="147"/>
    <s v="CNA0225"/>
    <x v="98"/>
    <n v="25"/>
    <s v="BRCH004"/>
    <x v="3"/>
    <s v="KOA0105"/>
    <s v="Medan"/>
    <s v="MENU008"/>
    <s v="Americano"/>
    <s v="KTG0205"/>
    <x v="0"/>
    <n v="4"/>
    <n v="20000"/>
    <n v="0"/>
    <n v="4.5999999999999996"/>
    <s v="PAY0710"/>
    <x v="1"/>
    <n v="80000"/>
  </r>
  <r>
    <s v="TRX0230"/>
    <s v="TGL0648"/>
    <x v="147"/>
    <s v="CNA0117"/>
    <x v="16"/>
    <n v="53"/>
    <s v="BRCH002"/>
    <x v="1"/>
    <s v="KOA0103"/>
    <s v="Jakarta"/>
    <s v="MENU004"/>
    <s v="Matcha Latte"/>
    <s v="KTG0207"/>
    <x v="2"/>
    <n v="5"/>
    <n v="28000"/>
    <n v="0"/>
    <n v="1.8"/>
    <s v="PAY0710"/>
    <x v="1"/>
    <n v="140000"/>
  </r>
  <r>
    <s v="TRX0101"/>
    <s v="TGL0649"/>
    <x v="148"/>
    <s v="CNA0263"/>
    <x v="117"/>
    <n v="36"/>
    <s v="BRCH002"/>
    <x v="1"/>
    <s v="KOA0103"/>
    <s v="Jakarta"/>
    <s v="MENU007"/>
    <s v="Chocolate Latte"/>
    <s v="KTG0207"/>
    <x v="2"/>
    <n v="4"/>
    <n v="27000"/>
    <n v="15"/>
    <n v="3.5"/>
    <s v="PAY0709"/>
    <x v="0"/>
    <n v="91800"/>
  </r>
  <r>
    <s v="TRX0378"/>
    <s v="TGL0650"/>
    <x v="149"/>
    <s v="CNA0385"/>
    <x v="155"/>
    <n v="50"/>
    <s v="BRCH002"/>
    <x v="1"/>
    <s v="KOA0103"/>
    <s v="Jakarta"/>
    <s v="MENU009"/>
    <s v="Kentang Goreng"/>
    <s v="KTG0206"/>
    <x v="1"/>
    <n v="2"/>
    <n v="18000"/>
    <n v="15"/>
    <n v="3.1"/>
    <s v="PAY0711"/>
    <x v="2"/>
    <n v="30600"/>
  </r>
  <r>
    <s v="TRX0909"/>
    <s v="TGL0650"/>
    <x v="149"/>
    <s v="CNA0219"/>
    <x v="94"/>
    <n v="23"/>
    <s v="BRCH002"/>
    <x v="1"/>
    <s v="KOA0103"/>
    <s v="Jakarta"/>
    <s v="MENU004"/>
    <s v="Matcha Latte"/>
    <s v="KTG0207"/>
    <x v="2"/>
    <n v="3"/>
    <n v="28000"/>
    <n v="10"/>
    <n v="1.2"/>
    <s v="PAY0710"/>
    <x v="1"/>
    <n v="75600"/>
  </r>
  <r>
    <s v="TRX0996"/>
    <s v="TGL0650"/>
    <x v="149"/>
    <s v="CNA0233"/>
    <x v="103"/>
    <n v="18"/>
    <s v="BRCH003"/>
    <x v="2"/>
    <s v="KOA0104"/>
    <s v="Surabaya"/>
    <s v="MENU006"/>
    <s v="Sandwich Ayam"/>
    <s v="KTG0206"/>
    <x v="1"/>
    <n v="3"/>
    <n v="32000"/>
    <n v="0"/>
    <n v="3.7"/>
    <s v="PAY0709"/>
    <x v="0"/>
    <n v="96000"/>
  </r>
  <r>
    <s v="TRX0883"/>
    <s v="TGL0650"/>
    <x v="149"/>
    <s v="CNA0299"/>
    <x v="135"/>
    <n v="38"/>
    <s v="BRCH003"/>
    <x v="2"/>
    <s v="KOA0104"/>
    <s v="Surabaya"/>
    <s v="MENU007"/>
    <s v="Chocolate Latte"/>
    <s v="KTG0207"/>
    <x v="2"/>
    <n v="4"/>
    <n v="27000"/>
    <n v="5"/>
    <n v="3.9"/>
    <s v="PAY0711"/>
    <x v="2"/>
    <n v="102600"/>
  </r>
  <r>
    <s v="TRX0564"/>
    <s v="TGL0651"/>
    <x v="150"/>
    <s v="CNA0181"/>
    <x v="70"/>
    <n v="43"/>
    <s v="BRCH003"/>
    <x v="2"/>
    <s v="KOA0104"/>
    <s v="Surabaya"/>
    <s v="MENU003"/>
    <s v="Kopi Susu Gula Aren"/>
    <s v="KTG0205"/>
    <x v="0"/>
    <n v="2"/>
    <n v="22000"/>
    <n v="0"/>
    <n v="1.9"/>
    <s v="PAY0710"/>
    <x v="1"/>
    <n v="44000"/>
  </r>
  <r>
    <s v="TRX0551"/>
    <s v="TGL0652"/>
    <x v="151"/>
    <s v="CNA0390"/>
    <x v="156"/>
    <n v="32"/>
    <s v="BRCH004"/>
    <x v="3"/>
    <s v="KOA0105"/>
    <s v="Medan"/>
    <s v="MENU002"/>
    <s v="Red Velvet Cake"/>
    <s v="KTG0206"/>
    <x v="1"/>
    <n v="3"/>
    <n v="30000"/>
    <n v="20"/>
    <n v="3"/>
    <s v="PAY0712"/>
    <x v="3"/>
    <n v="72000"/>
  </r>
  <r>
    <s v="TRX0335"/>
    <s v="TGL0653"/>
    <x v="152"/>
    <s v="CNA0391"/>
    <x v="157"/>
    <n v="44"/>
    <s v="BRCH005"/>
    <x v="4"/>
    <s v="KOA0106"/>
    <s v="Makassar"/>
    <s v="MENU004"/>
    <s v="Matcha Latte"/>
    <s v="KTG0207"/>
    <x v="2"/>
    <n v="1"/>
    <n v="28000"/>
    <n v="0"/>
    <n v="4.2"/>
    <s v="PAY0711"/>
    <x v="2"/>
    <n v="28000"/>
  </r>
  <r>
    <s v="TRX0200"/>
    <s v="TGL0654"/>
    <x v="153"/>
    <s v="CNA0390"/>
    <x v="156"/>
    <n v="32"/>
    <s v="BRCH001"/>
    <x v="0"/>
    <s v="KOA0102"/>
    <s v="Bandung"/>
    <s v="MENU002"/>
    <s v="Red Velvet Cake"/>
    <s v="KTG0206"/>
    <x v="1"/>
    <n v="4"/>
    <n v="30000"/>
    <n v="0"/>
    <n v="4.9000000000000004"/>
    <s v="PAY0711"/>
    <x v="2"/>
    <n v="120000"/>
  </r>
  <r>
    <s v="TRX0151"/>
    <s v="TGL0655"/>
    <x v="154"/>
    <s v="CNA0277"/>
    <x v="124"/>
    <n v="52"/>
    <s v="BRCH005"/>
    <x v="4"/>
    <s v="KOA0106"/>
    <s v="Makassar"/>
    <s v="MENU004"/>
    <s v="Matcha Latte"/>
    <s v="KTG0207"/>
    <x v="2"/>
    <n v="2"/>
    <n v="28000"/>
    <n v="5"/>
    <n v="1.4"/>
    <s v="PAY0711"/>
    <x v="2"/>
    <n v="53200"/>
  </r>
  <r>
    <s v="TRX0292"/>
    <s v="TGL0655"/>
    <x v="154"/>
    <s v="CNA0348"/>
    <x v="150"/>
    <n v="42"/>
    <s v="BRCH002"/>
    <x v="1"/>
    <s v="KOA0103"/>
    <s v="Jakarta"/>
    <s v="MENU003"/>
    <s v="Kopi Susu Gula Aren"/>
    <s v="KTG0205"/>
    <x v="0"/>
    <n v="3"/>
    <n v="22000"/>
    <n v="15"/>
    <n v="1.6"/>
    <s v="PAY0710"/>
    <x v="1"/>
    <n v="56100"/>
  </r>
  <r>
    <s v="TRX0398"/>
    <s v="TGL0655"/>
    <x v="154"/>
    <s v="CNA0290"/>
    <x v="130"/>
    <n v="30"/>
    <s v="BRCH003"/>
    <x v="2"/>
    <s v="KOA0104"/>
    <s v="Surabaya"/>
    <s v="MENU009"/>
    <s v="Kentang Goreng"/>
    <s v="KTG0206"/>
    <x v="1"/>
    <n v="4"/>
    <n v="18000"/>
    <n v="15"/>
    <n v="4.4000000000000004"/>
    <s v="PAY0710"/>
    <x v="1"/>
    <n v="61200"/>
  </r>
  <r>
    <s v="TRX0400"/>
    <s v="TGL0656"/>
    <x v="155"/>
    <s v="CNA0396"/>
    <x v="158"/>
    <n v="41"/>
    <s v="BRCH004"/>
    <x v="3"/>
    <s v="KOA0105"/>
    <s v="Medan"/>
    <s v="MENU002"/>
    <s v="Red Velvet Cake"/>
    <s v="KTG0206"/>
    <x v="1"/>
    <n v="5"/>
    <n v="30000"/>
    <n v="15"/>
    <n v="5"/>
    <s v="PAY0709"/>
    <x v="0"/>
    <n v="127500"/>
  </r>
  <r>
    <s v="TRX0106"/>
    <s v="TGL0656"/>
    <x v="155"/>
    <s v="CNA0233"/>
    <x v="103"/>
    <n v="18"/>
    <s v="BRCH004"/>
    <x v="3"/>
    <s v="KOA0105"/>
    <s v="Medan"/>
    <s v="MENU002"/>
    <s v="Red Velvet Cake"/>
    <s v="KTG0206"/>
    <x v="1"/>
    <n v="3"/>
    <n v="30000"/>
    <n v="0"/>
    <n v="2"/>
    <s v="PAY0711"/>
    <x v="2"/>
    <n v="90000"/>
  </r>
  <r>
    <s v="TRX0285"/>
    <s v="TGL0657"/>
    <x v="156"/>
    <s v="CNA0116"/>
    <x v="15"/>
    <n v="45"/>
    <s v="BRCH002"/>
    <x v="1"/>
    <s v="KOA0103"/>
    <s v="Jakarta"/>
    <s v="MENU001"/>
    <s v="Cappuccino"/>
    <s v="KTG0205"/>
    <x v="0"/>
    <n v="1"/>
    <n v="25000"/>
    <n v="10"/>
    <n v="5"/>
    <s v="PAY0712"/>
    <x v="3"/>
    <n v="22500"/>
  </r>
  <r>
    <s v="TRX0637"/>
    <s v="TGL0657"/>
    <x v="156"/>
    <s v="CNA0290"/>
    <x v="130"/>
    <n v="30"/>
    <s v="BRCH005"/>
    <x v="4"/>
    <s v="KOA0106"/>
    <s v="Makassar"/>
    <s v="MENU003"/>
    <s v="Kopi Susu Gula Aren"/>
    <s v="KTG0205"/>
    <x v="0"/>
    <n v="2"/>
    <n v="22000"/>
    <n v="0"/>
    <n v="3.9"/>
    <s v="PAY0711"/>
    <x v="2"/>
    <n v="44000"/>
  </r>
  <r>
    <s v="TRX0084"/>
    <s v="TGL0657"/>
    <x v="156"/>
    <s v="CNA0111"/>
    <x v="10"/>
    <n v="40"/>
    <s v="BRCH004"/>
    <x v="3"/>
    <s v="KOA0105"/>
    <s v="Medan"/>
    <s v="MENU006"/>
    <s v="Sandwich Ayam"/>
    <s v="KTG0206"/>
    <x v="1"/>
    <n v="4"/>
    <n v="32000"/>
    <n v="15"/>
    <n v="2.5"/>
    <s v="PAY0709"/>
    <x v="0"/>
    <n v="108800"/>
  </r>
  <r>
    <s v="TRX0709"/>
    <s v="TGL0658"/>
    <x v="157"/>
    <s v="CNA0186"/>
    <x v="74"/>
    <n v="53"/>
    <s v="BRCH004"/>
    <x v="3"/>
    <s v="KOA0105"/>
    <s v="Medan"/>
    <s v="MENU001"/>
    <s v="Cappuccino"/>
    <s v="KTG0205"/>
    <x v="0"/>
    <n v="3"/>
    <n v="25000"/>
    <n v="5"/>
    <n v="4.0999999999999996"/>
    <s v="PAY0709"/>
    <x v="0"/>
    <n v="71250"/>
  </r>
  <r>
    <s v="TRX0357"/>
    <s v="TGL0658"/>
    <x v="157"/>
    <s v="CNA0402"/>
    <x v="159"/>
    <n v="19"/>
    <s v="BRCH005"/>
    <x v="4"/>
    <s v="KOA0106"/>
    <s v="Makassar"/>
    <s v="MENU005"/>
    <s v="Croissant"/>
    <s v="KTG0206"/>
    <x v="1"/>
    <n v="2"/>
    <n v="23000"/>
    <n v="20"/>
    <n v="2.8"/>
    <s v="PAY0710"/>
    <x v="1"/>
    <n v="36800"/>
  </r>
  <r>
    <s v="TRX0955"/>
    <s v="TGL0658"/>
    <x v="157"/>
    <s v="CNA0284"/>
    <x v="127"/>
    <n v="21"/>
    <s v="BRCH001"/>
    <x v="0"/>
    <s v="KOA0102"/>
    <s v="Bandung"/>
    <s v="MENU005"/>
    <s v="Croissant"/>
    <s v="KTG0206"/>
    <x v="1"/>
    <n v="5"/>
    <n v="23000"/>
    <n v="5"/>
    <n v="2.2000000000000002"/>
    <s v="PAY0709"/>
    <x v="0"/>
    <n v="109250"/>
  </r>
  <r>
    <s v="TRX0572"/>
    <s v="TGL0659"/>
    <x v="158"/>
    <s v="CNA0165"/>
    <x v="56"/>
    <n v="18"/>
    <s v="BRCH002"/>
    <x v="1"/>
    <s v="KOA0103"/>
    <s v="Jakarta"/>
    <s v="MENU010"/>
    <s v="Espresso"/>
    <s v="KTG0205"/>
    <x v="0"/>
    <n v="4"/>
    <n v="18000"/>
    <n v="15"/>
    <n v="2.7"/>
    <s v="PAY0710"/>
    <x v="1"/>
    <n v="61200"/>
  </r>
  <r>
    <s v="TRX0571"/>
    <s v="TGL0659"/>
    <x v="158"/>
    <s v="CNA0315"/>
    <x v="141"/>
    <n v="51"/>
    <s v="BRCH003"/>
    <x v="2"/>
    <s v="KOA0104"/>
    <s v="Surabaya"/>
    <s v="MENU008"/>
    <s v="Americano"/>
    <s v="KTG0205"/>
    <x v="0"/>
    <n v="1"/>
    <n v="20000"/>
    <n v="5"/>
    <n v="4.5999999999999996"/>
    <s v="PAY0712"/>
    <x v="3"/>
    <n v="19000"/>
  </r>
  <r>
    <s v="TRX0058"/>
    <s v="TGL0659"/>
    <x v="158"/>
    <s v="CNA0239"/>
    <x v="107"/>
    <n v="23"/>
    <s v="BRCH004"/>
    <x v="3"/>
    <s v="KOA0105"/>
    <s v="Medan"/>
    <s v="MENU003"/>
    <s v="Kopi Susu Gula Aren"/>
    <s v="KTG0205"/>
    <x v="0"/>
    <n v="2"/>
    <n v="22000"/>
    <n v="0"/>
    <n v="4.3"/>
    <s v="PAY0711"/>
    <x v="2"/>
    <n v="44000"/>
  </r>
  <r>
    <s v="TRX0272"/>
    <s v="TGL0660"/>
    <x v="159"/>
    <s v="CNA0164"/>
    <x v="55"/>
    <n v="48"/>
    <s v="BRCH005"/>
    <x v="4"/>
    <s v="KOA0106"/>
    <s v="Makassar"/>
    <s v="MENU004"/>
    <s v="Matcha Latte"/>
    <s v="KTG0207"/>
    <x v="2"/>
    <n v="1"/>
    <n v="28000"/>
    <n v="5"/>
    <n v="3.1"/>
    <s v="PAY0712"/>
    <x v="3"/>
    <n v="26600"/>
  </r>
  <r>
    <s v="TRX0820"/>
    <s v="TGL0660"/>
    <x v="159"/>
    <s v="CNA0137"/>
    <x v="34"/>
    <n v="32"/>
    <s v="BRCH005"/>
    <x v="4"/>
    <s v="KOA0106"/>
    <s v="Makassar"/>
    <s v="MENU006"/>
    <s v="Sandwich Ayam"/>
    <s v="KTG0206"/>
    <x v="1"/>
    <n v="1"/>
    <n v="32000"/>
    <n v="15"/>
    <n v="1.3"/>
    <s v="PAY0712"/>
    <x v="3"/>
    <n v="27200"/>
  </r>
  <r>
    <s v="TRX0169"/>
    <s v="TGL0660"/>
    <x v="159"/>
    <s v="CNA0278"/>
    <x v="125"/>
    <n v="32"/>
    <s v="BRCH005"/>
    <x v="4"/>
    <s v="KOA0106"/>
    <s v="Makassar"/>
    <s v="MENU002"/>
    <s v="Red Velvet Cake"/>
    <s v="KTG0206"/>
    <x v="1"/>
    <n v="4"/>
    <n v="30000"/>
    <n v="0"/>
    <n v="2.6"/>
    <s v="PAY0709"/>
    <x v="0"/>
    <n v="120000"/>
  </r>
  <r>
    <s v="TRX0798"/>
    <s v="TGL0661"/>
    <x v="160"/>
    <s v="CNA0410"/>
    <x v="160"/>
    <n v="18"/>
    <s v="BRCH003"/>
    <x v="2"/>
    <s v="KOA0104"/>
    <s v="Surabaya"/>
    <s v="MENU006"/>
    <s v="Sandwich Ayam"/>
    <s v="KTG0206"/>
    <x v="1"/>
    <n v="1"/>
    <n v="32000"/>
    <n v="0"/>
    <n v="4.5"/>
    <s v="PAY0711"/>
    <x v="2"/>
    <n v="32000"/>
  </r>
  <r>
    <s v="TRX0454"/>
    <s v="TGL0662"/>
    <x v="161"/>
    <s v="CNA0411"/>
    <x v="161"/>
    <n v="52"/>
    <s v="BRCH005"/>
    <x v="4"/>
    <s v="KOA0106"/>
    <s v="Makassar"/>
    <s v="MENU010"/>
    <s v="Espresso"/>
    <s v="KTG0205"/>
    <x v="0"/>
    <n v="1"/>
    <n v="18000"/>
    <n v="0"/>
    <n v="4.0999999999999996"/>
    <s v="PAY0712"/>
    <x v="3"/>
    <n v="18000"/>
  </r>
  <r>
    <s v="TRX0891"/>
    <s v="TGL0663"/>
    <x v="162"/>
    <s v="CNA0235"/>
    <x v="105"/>
    <n v="44"/>
    <s v="BRCH002"/>
    <x v="1"/>
    <s v="KOA0103"/>
    <s v="Jakarta"/>
    <s v="MENU008"/>
    <s v="Americano"/>
    <s v="KTG0205"/>
    <x v="0"/>
    <n v="5"/>
    <n v="20000"/>
    <n v="10"/>
    <n v="3.1"/>
    <s v="PAY0711"/>
    <x v="2"/>
    <n v="90000"/>
  </r>
  <r>
    <s v="TRX0414"/>
    <s v="TGL0664"/>
    <x v="163"/>
    <s v="CNA0233"/>
    <x v="103"/>
    <n v="18"/>
    <s v="BRCH003"/>
    <x v="2"/>
    <s v="KOA0104"/>
    <s v="Surabaya"/>
    <s v="MENU005"/>
    <s v="Croissant"/>
    <s v="KTG0206"/>
    <x v="1"/>
    <n v="3"/>
    <n v="23000"/>
    <n v="15"/>
    <n v="1.7"/>
    <s v="PAY0712"/>
    <x v="3"/>
    <n v="58650"/>
  </r>
  <r>
    <s v="TRX0217"/>
    <s v="TGL0665"/>
    <x v="164"/>
    <s v="CNA0414"/>
    <x v="162"/>
    <n v="46"/>
    <s v="BRCH005"/>
    <x v="4"/>
    <s v="KOA0106"/>
    <s v="Makassar"/>
    <s v="MENU006"/>
    <s v="Sandwich Ayam"/>
    <s v="KTG0206"/>
    <x v="1"/>
    <n v="2"/>
    <n v="32000"/>
    <n v="0"/>
    <n v="4.3"/>
    <s v="PAY0710"/>
    <x v="1"/>
    <n v="64000"/>
  </r>
  <r>
    <s v="TRX0559"/>
    <s v="TGL0666"/>
    <x v="165"/>
    <s v="CNA0205"/>
    <x v="86"/>
    <n v="17"/>
    <s v="BRCH001"/>
    <x v="0"/>
    <s v="KOA0102"/>
    <s v="Bandung"/>
    <s v="MENU007"/>
    <s v="Chocolate Latte"/>
    <s v="KTG0207"/>
    <x v="2"/>
    <n v="3"/>
    <n v="27000"/>
    <n v="10"/>
    <n v="3"/>
    <s v="PAY0709"/>
    <x v="0"/>
    <n v="72900"/>
  </r>
  <r>
    <s v="TRX0527"/>
    <s v="TGL0667"/>
    <x v="166"/>
    <s v="CNA0287"/>
    <x v="128"/>
    <n v="31"/>
    <s v="BRCH003"/>
    <x v="2"/>
    <s v="KOA0104"/>
    <s v="Surabaya"/>
    <s v="MENU006"/>
    <s v="Sandwich Ayam"/>
    <s v="KTG0206"/>
    <x v="1"/>
    <n v="2"/>
    <n v="32000"/>
    <n v="0"/>
    <n v="3.9"/>
    <s v="PAY0711"/>
    <x v="2"/>
    <n v="64000"/>
  </r>
  <r>
    <s v="TRX0026"/>
    <s v="TGL0668"/>
    <x v="167"/>
    <s v="CNA0269"/>
    <x v="120"/>
    <n v="34"/>
    <s v="BRCH002"/>
    <x v="1"/>
    <s v="KOA0103"/>
    <s v="Jakarta"/>
    <s v="MENU009"/>
    <s v="Kentang Goreng"/>
    <s v="KTG0206"/>
    <x v="1"/>
    <n v="5"/>
    <n v="18000"/>
    <n v="20"/>
    <n v="1.7"/>
    <s v="PAY0710"/>
    <x v="1"/>
    <n v="72000"/>
  </r>
  <r>
    <s v="TRX0902"/>
    <s v="TGL0669"/>
    <x v="168"/>
    <s v="CNA0201"/>
    <x v="82"/>
    <n v="23"/>
    <s v="BRCH004"/>
    <x v="3"/>
    <s v="KOA0105"/>
    <s v="Medan"/>
    <s v="MENU007"/>
    <s v="Chocolate Latte"/>
    <s v="KTG0207"/>
    <x v="2"/>
    <n v="5"/>
    <n v="27000"/>
    <n v="10"/>
    <n v="2.8"/>
    <s v="PAY0711"/>
    <x v="2"/>
    <n v="121500"/>
  </r>
  <r>
    <s v="TRX0859"/>
    <s v="TGL0669"/>
    <x v="168"/>
    <s v="CNA0205"/>
    <x v="86"/>
    <n v="17"/>
    <s v="BRCH003"/>
    <x v="2"/>
    <s v="KOA0104"/>
    <s v="Surabaya"/>
    <s v="MENU008"/>
    <s v="Americano"/>
    <s v="KTG0205"/>
    <x v="0"/>
    <n v="1"/>
    <n v="20000"/>
    <n v="5"/>
    <n v="3.3"/>
    <s v="PAY0710"/>
    <x v="1"/>
    <n v="19000"/>
  </r>
  <r>
    <s v="TRX0651"/>
    <s v="TGL0670"/>
    <x v="169"/>
    <s v="CNA0420"/>
    <x v="163"/>
    <n v="44"/>
    <s v="BRCH002"/>
    <x v="1"/>
    <s v="KOA0103"/>
    <s v="Jakarta"/>
    <s v="MENU004"/>
    <s v="Matcha Latte"/>
    <s v="KTG0207"/>
    <x v="2"/>
    <n v="4"/>
    <n v="28000"/>
    <n v="20"/>
    <n v="2"/>
    <s v="PAY0711"/>
    <x v="2"/>
    <n v="89600"/>
  </r>
  <r>
    <s v="TRX0413"/>
    <s v="TGL0671"/>
    <x v="170"/>
    <s v="CNA0188"/>
    <x v="76"/>
    <n v="19"/>
    <s v="BRCH005"/>
    <x v="4"/>
    <s v="KOA0106"/>
    <s v="Makassar"/>
    <s v="MENU005"/>
    <s v="Croissant"/>
    <s v="KTG0206"/>
    <x v="1"/>
    <n v="2"/>
    <n v="23000"/>
    <n v="0"/>
    <n v="1.6"/>
    <s v="PAY0711"/>
    <x v="2"/>
    <n v="46000"/>
  </r>
  <r>
    <s v="TRX0599"/>
    <s v="TGL0672"/>
    <x v="171"/>
    <s v="CNA0132"/>
    <x v="30"/>
    <n v="40"/>
    <s v="BRCH005"/>
    <x v="4"/>
    <s v="KOA0106"/>
    <s v="Makassar"/>
    <s v="MENU007"/>
    <s v="Chocolate Latte"/>
    <s v="KTG0207"/>
    <x v="2"/>
    <n v="5"/>
    <n v="27000"/>
    <n v="20"/>
    <n v="2.6"/>
    <s v="PAY0712"/>
    <x v="3"/>
    <n v="108000"/>
  </r>
  <r>
    <s v="TRX0937"/>
    <s v="TGL0673"/>
    <x v="172"/>
    <s v="CNA0111"/>
    <x v="10"/>
    <n v="40"/>
    <s v="BRCH002"/>
    <x v="1"/>
    <s v="KOA0103"/>
    <s v="Jakarta"/>
    <s v="MENU007"/>
    <s v="Chocolate Latte"/>
    <s v="KTG0207"/>
    <x v="2"/>
    <n v="1"/>
    <n v="27000"/>
    <n v="10"/>
    <n v="1.7"/>
    <s v="PAY0712"/>
    <x v="3"/>
    <n v="24300"/>
  </r>
  <r>
    <s v="TRX0341"/>
    <s v="TGL0673"/>
    <x v="172"/>
    <s v="CNA0263"/>
    <x v="117"/>
    <n v="36"/>
    <s v="BRCH005"/>
    <x v="4"/>
    <s v="KOA0106"/>
    <s v="Makassar"/>
    <s v="MENU009"/>
    <s v="Kentang Goreng"/>
    <s v="KTG0206"/>
    <x v="1"/>
    <n v="4"/>
    <n v="18000"/>
    <n v="20"/>
    <n v="2.9"/>
    <s v="PAY0709"/>
    <x v="0"/>
    <n v="57600"/>
  </r>
  <r>
    <s v="TRX0622"/>
    <s v="TGL0674"/>
    <x v="173"/>
    <s v="CNA0120"/>
    <x v="19"/>
    <n v="44"/>
    <s v="BRCH002"/>
    <x v="1"/>
    <s v="KOA0103"/>
    <s v="Jakarta"/>
    <s v="MENU001"/>
    <s v="Cappuccino"/>
    <s v="KTG0205"/>
    <x v="0"/>
    <n v="2"/>
    <n v="25000"/>
    <n v="20"/>
    <n v="4.7"/>
    <s v="PAY0711"/>
    <x v="2"/>
    <n v="40000"/>
  </r>
  <r>
    <s v="TRX0828"/>
    <s v="TGL0674"/>
    <x v="173"/>
    <s v="CNA0426"/>
    <x v="164"/>
    <n v="38"/>
    <s v="BRCH002"/>
    <x v="1"/>
    <s v="KOA0103"/>
    <s v="Jakarta"/>
    <s v="MENU005"/>
    <s v="Croissant"/>
    <s v="KTG0206"/>
    <x v="1"/>
    <n v="3"/>
    <n v="23000"/>
    <n v="10"/>
    <n v="2.4"/>
    <s v="PAY0711"/>
    <x v="2"/>
    <n v="62100"/>
  </r>
  <r>
    <s v="TRX0371"/>
    <s v="TGL0675"/>
    <x v="174"/>
    <s v="CNA0263"/>
    <x v="117"/>
    <n v="36"/>
    <s v="BRCH002"/>
    <x v="1"/>
    <s v="KOA0103"/>
    <s v="Jakarta"/>
    <s v="MENU009"/>
    <s v="Kentang Goreng"/>
    <s v="KTG0206"/>
    <x v="1"/>
    <n v="5"/>
    <n v="18000"/>
    <n v="5"/>
    <n v="4.8"/>
    <s v="PAY0712"/>
    <x v="3"/>
    <n v="85500"/>
  </r>
  <r>
    <s v="TRX0478"/>
    <s v="TGL0675"/>
    <x v="174"/>
    <s v="CNA0115"/>
    <x v="14"/>
    <n v="46"/>
    <s v="BRCH005"/>
    <x v="4"/>
    <s v="KOA0106"/>
    <s v="Makassar"/>
    <s v="MENU009"/>
    <s v="Kentang Goreng"/>
    <s v="KTG0206"/>
    <x v="1"/>
    <n v="4"/>
    <n v="18000"/>
    <n v="5"/>
    <n v="2"/>
    <s v="PAY0712"/>
    <x v="3"/>
    <n v="68400"/>
  </r>
  <r>
    <s v="TRX0298"/>
    <s v="TGL0675"/>
    <x v="174"/>
    <s v="CNA0165"/>
    <x v="56"/>
    <n v="18"/>
    <s v="BRCH005"/>
    <x v="4"/>
    <s v="KOA0106"/>
    <s v="Makassar"/>
    <s v="MENU002"/>
    <s v="Red Velvet Cake"/>
    <s v="KTG0206"/>
    <x v="1"/>
    <n v="5"/>
    <n v="30000"/>
    <n v="10"/>
    <n v="4.4000000000000004"/>
    <s v="PAY0709"/>
    <x v="0"/>
    <n v="135000"/>
  </r>
  <r>
    <s v="TRX0218"/>
    <s v="TGL0676"/>
    <x v="175"/>
    <s v="CNA0144"/>
    <x v="39"/>
    <n v="42"/>
    <s v="BRCH004"/>
    <x v="3"/>
    <s v="KOA0105"/>
    <s v="Medan"/>
    <s v="MENU004"/>
    <s v="Matcha Latte"/>
    <s v="KTG0207"/>
    <x v="2"/>
    <n v="4"/>
    <n v="28000"/>
    <n v="0"/>
    <n v="1.4"/>
    <s v="PAY0711"/>
    <x v="2"/>
    <n v="112000"/>
  </r>
  <r>
    <s v="TRX0856"/>
    <s v="TGL0676"/>
    <x v="175"/>
    <s v="CNA0277"/>
    <x v="124"/>
    <n v="52"/>
    <s v="BRCH001"/>
    <x v="0"/>
    <s v="KOA0102"/>
    <s v="Bandung"/>
    <s v="MENU006"/>
    <s v="Sandwich Ayam"/>
    <s v="KTG0206"/>
    <x v="1"/>
    <n v="4"/>
    <n v="32000"/>
    <n v="20"/>
    <n v="4"/>
    <s v="PAY0709"/>
    <x v="0"/>
    <n v="102400"/>
  </r>
  <r>
    <s v="TRX0388"/>
    <s v="TGL0677"/>
    <x v="176"/>
    <s v="CNA0310"/>
    <x v="139"/>
    <n v="22"/>
    <s v="BRCH003"/>
    <x v="2"/>
    <s v="KOA0104"/>
    <s v="Surabaya"/>
    <s v="MENU001"/>
    <s v="Cappuccino"/>
    <s v="KTG0205"/>
    <x v="0"/>
    <n v="3"/>
    <n v="25000"/>
    <n v="10"/>
    <n v="1.5"/>
    <s v="PAY0709"/>
    <x v="0"/>
    <n v="67500"/>
  </r>
  <r>
    <s v="TRX0089"/>
    <s v="TGL0677"/>
    <x v="176"/>
    <s v="CNA0410"/>
    <x v="160"/>
    <n v="18"/>
    <s v="BRCH001"/>
    <x v="0"/>
    <s v="KOA0102"/>
    <s v="Bandung"/>
    <s v="MENU009"/>
    <s v="Kentang Goreng"/>
    <s v="KTG0206"/>
    <x v="1"/>
    <n v="5"/>
    <n v="18000"/>
    <n v="5"/>
    <n v="1.5"/>
    <s v="PAY0709"/>
    <x v="0"/>
    <n v="85500"/>
  </r>
  <r>
    <s v="TRX0212"/>
    <s v="TGL0677"/>
    <x v="176"/>
    <s v="CNA0434"/>
    <x v="165"/>
    <n v="37"/>
    <s v="BRCH005"/>
    <x v="4"/>
    <s v="KOA0106"/>
    <s v="Makassar"/>
    <s v="MENU009"/>
    <s v="Kentang Goreng"/>
    <s v="KTG0206"/>
    <x v="1"/>
    <n v="5"/>
    <n v="18000"/>
    <n v="0"/>
    <n v="1.5"/>
    <s v="PAY0709"/>
    <x v="0"/>
    <n v="90000"/>
  </r>
  <r>
    <s v="TRX0959"/>
    <s v="TGL0678"/>
    <x v="177"/>
    <s v="CNA0215"/>
    <x v="92"/>
    <n v="52"/>
    <s v="BRCH004"/>
    <x v="3"/>
    <s v="KOA0105"/>
    <s v="Medan"/>
    <s v="MENU009"/>
    <s v="Kentang Goreng"/>
    <s v="KTG0206"/>
    <x v="1"/>
    <n v="2"/>
    <n v="18000"/>
    <n v="20"/>
    <n v="2.7"/>
    <s v="PAY0712"/>
    <x v="3"/>
    <n v="28800"/>
  </r>
  <r>
    <s v="TRX0697"/>
    <s v="TGL0679"/>
    <x v="178"/>
    <s v="CNA0302"/>
    <x v="137"/>
    <n v="48"/>
    <s v="BRCH004"/>
    <x v="3"/>
    <s v="KOA0105"/>
    <s v="Medan"/>
    <s v="MENU008"/>
    <s v="Americano"/>
    <s v="KTG0205"/>
    <x v="0"/>
    <n v="5"/>
    <n v="20000"/>
    <n v="15"/>
    <n v="3.6"/>
    <s v="PAY0709"/>
    <x v="0"/>
    <n v="85000"/>
  </r>
  <r>
    <s v="TRX0337"/>
    <s v="TGL0679"/>
    <x v="178"/>
    <s v="CNA0174"/>
    <x v="65"/>
    <n v="48"/>
    <s v="BRCH002"/>
    <x v="1"/>
    <s v="KOA0103"/>
    <s v="Jakarta"/>
    <s v="MENU005"/>
    <s v="Croissant"/>
    <s v="KTG0206"/>
    <x v="1"/>
    <n v="4"/>
    <n v="23000"/>
    <n v="0"/>
    <n v="2"/>
    <s v="PAY0710"/>
    <x v="1"/>
    <n v="92000"/>
  </r>
  <r>
    <s v="TRX0231"/>
    <s v="TGL0679"/>
    <x v="178"/>
    <s v="CNA0131"/>
    <x v="29"/>
    <n v="45"/>
    <s v="BRCH004"/>
    <x v="3"/>
    <s v="KOA0105"/>
    <s v="Medan"/>
    <s v="MENU003"/>
    <s v="Kopi Susu Gula Aren"/>
    <s v="KTG0205"/>
    <x v="0"/>
    <n v="4"/>
    <n v="22000"/>
    <n v="0"/>
    <n v="4.8"/>
    <s v="PAY0712"/>
    <x v="3"/>
    <n v="88000"/>
  </r>
  <r>
    <s v="TRX0473"/>
    <s v="TGL0680"/>
    <x v="179"/>
    <s v="CNA0434"/>
    <x v="165"/>
    <n v="37"/>
    <s v="BRCH002"/>
    <x v="1"/>
    <s v="KOA0103"/>
    <s v="Jakarta"/>
    <s v="MENU007"/>
    <s v="Chocolate Latte"/>
    <s v="KTG0207"/>
    <x v="2"/>
    <n v="1"/>
    <n v="27000"/>
    <n v="10"/>
    <n v="3.7"/>
    <s v="PAY0711"/>
    <x v="2"/>
    <n v="24300"/>
  </r>
  <r>
    <s v="TRX0793"/>
    <s v="TGL0681"/>
    <x v="180"/>
    <s v="CNA0133"/>
    <x v="31"/>
    <n v="42"/>
    <s v="BRCH001"/>
    <x v="0"/>
    <s v="KOA0102"/>
    <s v="Bandung"/>
    <s v="MENU001"/>
    <s v="Cappuccino"/>
    <s v="KTG0205"/>
    <x v="0"/>
    <n v="5"/>
    <n v="25000"/>
    <n v="15"/>
    <n v="4.8"/>
    <s v="PAY0712"/>
    <x v="3"/>
    <n v="106250"/>
  </r>
  <r>
    <s v="TRX0721"/>
    <s v="TGL0681"/>
    <x v="180"/>
    <s v="CNA0145"/>
    <x v="40"/>
    <n v="19"/>
    <s v="BRCH002"/>
    <x v="1"/>
    <s v="KOA0103"/>
    <s v="Jakarta"/>
    <s v="MENU005"/>
    <s v="Croissant"/>
    <s v="KTG0206"/>
    <x v="1"/>
    <n v="5"/>
    <n v="23000"/>
    <n v="0"/>
    <n v="4.5999999999999996"/>
    <s v="PAY0712"/>
    <x v="3"/>
    <n v="115000"/>
  </r>
  <r>
    <s v="TRX0075"/>
    <s v="TGL0682"/>
    <x v="181"/>
    <s v="CNA0128"/>
    <x v="26"/>
    <n v="36"/>
    <s v="BRCH005"/>
    <x v="4"/>
    <s v="KOA0106"/>
    <s v="Makassar"/>
    <s v="MENU005"/>
    <s v="Croissant"/>
    <s v="KTG0206"/>
    <x v="1"/>
    <n v="2"/>
    <n v="23000"/>
    <n v="15"/>
    <n v="1.1000000000000001"/>
    <s v="PAY0712"/>
    <x v="3"/>
    <n v="39100"/>
  </r>
  <r>
    <s v="TRX0417"/>
    <s v="TGL0683"/>
    <x v="182"/>
    <s v="CNA0130"/>
    <x v="28"/>
    <n v="33"/>
    <s v="BRCH002"/>
    <x v="1"/>
    <s v="KOA0103"/>
    <s v="Jakarta"/>
    <s v="MENU001"/>
    <s v="Cappuccino"/>
    <s v="KTG0205"/>
    <x v="0"/>
    <n v="4"/>
    <n v="25000"/>
    <n v="0"/>
    <n v="4.4000000000000004"/>
    <s v="PAY0709"/>
    <x v="0"/>
    <n v="100000"/>
  </r>
  <r>
    <s v="TRX0040"/>
    <s v="TGL0683"/>
    <x v="182"/>
    <s v="CNA0228"/>
    <x v="100"/>
    <n v="40"/>
    <s v="BRCH002"/>
    <x v="1"/>
    <s v="KOA0103"/>
    <s v="Jakarta"/>
    <s v="MENU009"/>
    <s v="Kentang Goreng"/>
    <s v="KTG0206"/>
    <x v="1"/>
    <n v="5"/>
    <n v="18000"/>
    <n v="0"/>
    <n v="4.3"/>
    <s v="PAY0709"/>
    <x v="0"/>
    <n v="90000"/>
  </r>
  <r>
    <s v="TRX0827"/>
    <s v="TGL0684"/>
    <x v="183"/>
    <s v="CNA0268"/>
    <x v="119"/>
    <n v="31"/>
    <s v="BRCH002"/>
    <x v="1"/>
    <s v="KOA0103"/>
    <s v="Jakarta"/>
    <s v="MENU006"/>
    <s v="Sandwich Ayam"/>
    <s v="KTG0206"/>
    <x v="1"/>
    <n v="2"/>
    <n v="32000"/>
    <n v="5"/>
    <n v="5"/>
    <s v="PAY0711"/>
    <x v="2"/>
    <n v="60800"/>
  </r>
  <r>
    <s v="TRX0660"/>
    <s v="TGL0684"/>
    <x v="183"/>
    <s v="CNA0269"/>
    <x v="120"/>
    <n v="34"/>
    <s v="BRCH005"/>
    <x v="4"/>
    <s v="KOA0106"/>
    <s v="Makassar"/>
    <s v="MENU006"/>
    <s v="Sandwich Ayam"/>
    <s v="KTG0206"/>
    <x v="1"/>
    <n v="4"/>
    <n v="32000"/>
    <n v="0"/>
    <n v="3.7"/>
    <s v="PAY0709"/>
    <x v="0"/>
    <n v="128000"/>
  </r>
  <r>
    <s v="TRX0695"/>
    <s v="TGL0685"/>
    <x v="184"/>
    <s v="CNA0224"/>
    <x v="97"/>
    <n v="49"/>
    <s v="BRCH004"/>
    <x v="3"/>
    <s v="KOA0105"/>
    <s v="Medan"/>
    <s v="MENU002"/>
    <s v="Red Velvet Cake"/>
    <s v="KTG0206"/>
    <x v="1"/>
    <n v="5"/>
    <n v="30000"/>
    <n v="0"/>
    <n v="4.0999999999999996"/>
    <s v="PAY0710"/>
    <x v="1"/>
    <n v="150000"/>
  </r>
  <r>
    <s v="TRX0980"/>
    <s v="TGL0685"/>
    <x v="184"/>
    <s v="CNA0448"/>
    <x v="166"/>
    <n v="22"/>
    <s v="BRCH002"/>
    <x v="1"/>
    <s v="KOA0103"/>
    <s v="Jakarta"/>
    <s v="MENU008"/>
    <s v="Americano"/>
    <s v="KTG0205"/>
    <x v="0"/>
    <n v="3"/>
    <n v="20000"/>
    <n v="0"/>
    <n v="2.6"/>
    <s v="PAY0710"/>
    <x v="1"/>
    <n v="60000"/>
  </r>
  <r>
    <s v="TRX0415"/>
    <s v="TGL0685"/>
    <x v="184"/>
    <s v="CNA0195"/>
    <x v="79"/>
    <n v="42"/>
    <s v="BRCH005"/>
    <x v="4"/>
    <s v="KOA0106"/>
    <s v="Makassar"/>
    <s v="MENU010"/>
    <s v="Espresso"/>
    <s v="KTG0205"/>
    <x v="0"/>
    <n v="5"/>
    <n v="18000"/>
    <n v="10"/>
    <n v="1.7"/>
    <s v="PAY0712"/>
    <x v="3"/>
    <n v="81000"/>
  </r>
  <r>
    <s v="TRX0766"/>
    <s v="TGL0685"/>
    <x v="184"/>
    <s v="CNA0211"/>
    <x v="89"/>
    <n v="49"/>
    <s v="BRCH002"/>
    <x v="1"/>
    <s v="KOA0103"/>
    <s v="Jakarta"/>
    <s v="MENU001"/>
    <s v="Cappuccino"/>
    <s v="KTG0205"/>
    <x v="0"/>
    <n v="3"/>
    <n v="25000"/>
    <n v="0"/>
    <n v="1.2"/>
    <s v="PAY0709"/>
    <x v="0"/>
    <n v="75000"/>
  </r>
  <r>
    <s v="TRX0528"/>
    <s v="TGL0685"/>
    <x v="184"/>
    <s v="CNA0192"/>
    <x v="78"/>
    <n v="20"/>
    <s v="BRCH002"/>
    <x v="1"/>
    <s v="KOA0103"/>
    <s v="Jakarta"/>
    <s v="MENU002"/>
    <s v="Red Velvet Cake"/>
    <s v="KTG0206"/>
    <x v="1"/>
    <n v="5"/>
    <n v="30000"/>
    <n v="0"/>
    <n v="1.7"/>
    <s v="PAY0709"/>
    <x v="0"/>
    <n v="150000"/>
  </r>
  <r>
    <s v="TRX0069"/>
    <s v="TGL0686"/>
    <x v="185"/>
    <s v="CNA0158"/>
    <x v="52"/>
    <n v="48"/>
    <s v="BRCH004"/>
    <x v="3"/>
    <s v="KOA0105"/>
    <s v="Medan"/>
    <s v="MENU003"/>
    <s v="Kopi Susu Gula Aren"/>
    <s v="KTG0205"/>
    <x v="0"/>
    <n v="1"/>
    <n v="22000"/>
    <n v="0"/>
    <n v="1.5"/>
    <s v="PAY0710"/>
    <x v="1"/>
    <n v="22000"/>
  </r>
  <r>
    <s v="TRX0349"/>
    <s v="TGL0686"/>
    <x v="185"/>
    <s v="CNA0453"/>
    <x v="167"/>
    <n v="44"/>
    <s v="BRCH001"/>
    <x v="0"/>
    <s v="KOA0102"/>
    <s v="Bandung"/>
    <s v="MENU004"/>
    <s v="Matcha Latte"/>
    <s v="KTG0207"/>
    <x v="2"/>
    <n v="2"/>
    <n v="28000"/>
    <n v="5"/>
    <n v="2.9"/>
    <s v="PAY0712"/>
    <x v="3"/>
    <n v="53200"/>
  </r>
  <r>
    <s v="TRX0644"/>
    <s v="TGL0687"/>
    <x v="186"/>
    <s v="CNA0390"/>
    <x v="156"/>
    <n v="32"/>
    <s v="BRCH003"/>
    <x v="2"/>
    <s v="KOA0104"/>
    <s v="Surabaya"/>
    <s v="MENU003"/>
    <s v="Kopi Susu Gula Aren"/>
    <s v="KTG0205"/>
    <x v="0"/>
    <n v="5"/>
    <n v="22000"/>
    <n v="0"/>
    <n v="3.3"/>
    <s v="PAY0712"/>
    <x v="3"/>
    <n v="110000"/>
  </r>
  <r>
    <s v="TRX0811"/>
    <s v="TGL0687"/>
    <x v="186"/>
    <s v="CNA0188"/>
    <x v="76"/>
    <n v="19"/>
    <s v="BRCH002"/>
    <x v="1"/>
    <s v="KOA0103"/>
    <s v="Jakarta"/>
    <s v="MENU007"/>
    <s v="Chocolate Latte"/>
    <s v="KTG0207"/>
    <x v="2"/>
    <n v="1"/>
    <n v="27000"/>
    <n v="20"/>
    <n v="4.9000000000000004"/>
    <s v="PAY0712"/>
    <x v="3"/>
    <n v="21600"/>
  </r>
  <r>
    <s v="TRX0311"/>
    <s v="TGL0688"/>
    <x v="187"/>
    <s v="CNA0374"/>
    <x v="153"/>
    <n v="24"/>
    <s v="BRCH003"/>
    <x v="2"/>
    <s v="KOA0104"/>
    <s v="Surabaya"/>
    <s v="MENU010"/>
    <s v="Espresso"/>
    <s v="KTG0205"/>
    <x v="0"/>
    <n v="2"/>
    <n v="18000"/>
    <n v="0"/>
    <n v="2.8"/>
    <s v="PAY0710"/>
    <x v="1"/>
    <n v="36000"/>
  </r>
  <r>
    <s v="TRX0423"/>
    <s v="TGL0688"/>
    <x v="187"/>
    <s v="CNA0390"/>
    <x v="156"/>
    <n v="32"/>
    <s v="BRCH002"/>
    <x v="1"/>
    <s v="KOA0103"/>
    <s v="Jakarta"/>
    <s v="MENU005"/>
    <s v="Croissant"/>
    <s v="KTG0206"/>
    <x v="1"/>
    <n v="2"/>
    <n v="23000"/>
    <n v="0"/>
    <n v="2.8"/>
    <s v="PAY0711"/>
    <x v="2"/>
    <n v="46000"/>
  </r>
  <r>
    <s v="TRX0656"/>
    <s v="TGL0688"/>
    <x v="187"/>
    <s v="CNA0200"/>
    <x v="81"/>
    <n v="51"/>
    <s v="BRCH004"/>
    <x v="3"/>
    <s v="KOA0105"/>
    <s v="Medan"/>
    <s v="MENU007"/>
    <s v="Chocolate Latte"/>
    <s v="KTG0207"/>
    <x v="2"/>
    <n v="1"/>
    <n v="27000"/>
    <n v="15"/>
    <n v="3.4"/>
    <s v="PAY0711"/>
    <x v="2"/>
    <n v="22950"/>
  </r>
  <r>
    <s v="TRX0023"/>
    <s v="TGL0688"/>
    <x v="187"/>
    <s v="CNA0280"/>
    <x v="126"/>
    <n v="25"/>
    <s v="BRCH002"/>
    <x v="1"/>
    <s v="KOA0103"/>
    <s v="Jakarta"/>
    <s v="MENU002"/>
    <s v="Red Velvet Cake"/>
    <s v="KTG0206"/>
    <x v="1"/>
    <n v="3"/>
    <n v="30000"/>
    <n v="0"/>
    <n v="4.7"/>
    <s v="PAY0712"/>
    <x v="3"/>
    <n v="90000"/>
  </r>
  <r>
    <s v="TRX0588"/>
    <s v="TGL0688"/>
    <x v="187"/>
    <s v="CNA0214"/>
    <x v="91"/>
    <n v="18"/>
    <s v="BRCH001"/>
    <x v="0"/>
    <s v="KOA0102"/>
    <s v="Bandung"/>
    <s v="MENU007"/>
    <s v="Chocolate Latte"/>
    <s v="KTG0207"/>
    <x v="2"/>
    <n v="3"/>
    <n v="27000"/>
    <n v="5"/>
    <n v="4.7"/>
    <s v="PAY0711"/>
    <x v="2"/>
    <n v="76950"/>
  </r>
  <r>
    <s v="TRX0342"/>
    <s v="TGL0689"/>
    <x v="188"/>
    <s v="CNA0420"/>
    <x v="163"/>
    <n v="44"/>
    <s v="BRCH003"/>
    <x v="2"/>
    <s v="KOA0104"/>
    <s v="Surabaya"/>
    <s v="MENU005"/>
    <s v="Croissant"/>
    <s v="KTG0206"/>
    <x v="1"/>
    <n v="3"/>
    <n v="23000"/>
    <n v="15"/>
    <n v="4.8"/>
    <s v="PAY0711"/>
    <x v="2"/>
    <n v="58650"/>
  </r>
  <r>
    <s v="TRX0522"/>
    <s v="TGL0690"/>
    <x v="189"/>
    <s v="CNA0184"/>
    <x v="72"/>
    <n v="24"/>
    <s v="BRCH004"/>
    <x v="3"/>
    <s v="KOA0105"/>
    <s v="Medan"/>
    <s v="MENU003"/>
    <s v="Kopi Susu Gula Aren"/>
    <s v="KTG0205"/>
    <x v="0"/>
    <n v="1"/>
    <n v="22000"/>
    <n v="0"/>
    <n v="2.7"/>
    <s v="PAY0710"/>
    <x v="1"/>
    <n v="22000"/>
  </r>
  <r>
    <s v="TRX0754"/>
    <s v="TGL0690"/>
    <x v="189"/>
    <s v="CNA0137"/>
    <x v="34"/>
    <n v="32"/>
    <s v="BRCH002"/>
    <x v="1"/>
    <s v="KOA0103"/>
    <s v="Jakarta"/>
    <s v="MENU004"/>
    <s v="Matcha Latte"/>
    <s v="KTG0207"/>
    <x v="2"/>
    <n v="2"/>
    <n v="28000"/>
    <n v="5"/>
    <n v="2.7"/>
    <s v="PAY0709"/>
    <x v="0"/>
    <n v="53200"/>
  </r>
  <r>
    <s v="TRX0198"/>
    <s v="TGL0691"/>
    <x v="190"/>
    <s v="CNA0302"/>
    <x v="137"/>
    <n v="48"/>
    <s v="BRCH003"/>
    <x v="2"/>
    <s v="KOA0104"/>
    <s v="Surabaya"/>
    <s v="MENU008"/>
    <s v="Americano"/>
    <s v="KTG0205"/>
    <x v="0"/>
    <n v="4"/>
    <n v="20000"/>
    <n v="20"/>
    <n v="4.8"/>
    <s v="PAY0711"/>
    <x v="2"/>
    <n v="64000"/>
  </r>
  <r>
    <s v="TRX0979"/>
    <s v="TGL0692"/>
    <x v="191"/>
    <s v="CNA0333"/>
    <x v="147"/>
    <n v="27"/>
    <s v="BRCH002"/>
    <x v="1"/>
    <s v="KOA0103"/>
    <s v="Jakarta"/>
    <s v="MENU006"/>
    <s v="Sandwich Ayam"/>
    <s v="KTG0206"/>
    <x v="1"/>
    <n v="5"/>
    <n v="32000"/>
    <n v="15"/>
    <n v="4.4000000000000004"/>
    <s v="PAY0711"/>
    <x v="2"/>
    <n v="136000"/>
  </r>
  <r>
    <s v="TRX0474"/>
    <s v="TGL0692"/>
    <x v="191"/>
    <s v="CNA0344"/>
    <x v="149"/>
    <n v="43"/>
    <s v="BRCH002"/>
    <x v="1"/>
    <s v="KOA0103"/>
    <s v="Jakarta"/>
    <s v="MENU010"/>
    <s v="Espresso"/>
    <s v="KTG0205"/>
    <x v="0"/>
    <n v="4"/>
    <n v="18000"/>
    <n v="10"/>
    <n v="1.5"/>
    <s v="PAY0710"/>
    <x v="1"/>
    <n v="64800"/>
  </r>
  <r>
    <s v="TRX0600"/>
    <s v="TGL0692"/>
    <x v="191"/>
    <s v="CNA0148"/>
    <x v="43"/>
    <n v="53"/>
    <s v="BRCH004"/>
    <x v="3"/>
    <s v="KOA0105"/>
    <s v="Medan"/>
    <s v="MENU005"/>
    <s v="Croissant"/>
    <s v="KTG0206"/>
    <x v="1"/>
    <n v="2"/>
    <n v="23000"/>
    <n v="5"/>
    <n v="2.4"/>
    <s v="PAY0712"/>
    <x v="3"/>
    <n v="43700"/>
  </r>
  <r>
    <s v="TRX0466"/>
    <s v="TGL0693"/>
    <x v="192"/>
    <s v="CNA0468"/>
    <x v="168"/>
    <n v="40"/>
    <s v="BRCH002"/>
    <x v="1"/>
    <s v="KOA0103"/>
    <s v="Jakarta"/>
    <s v="MENU009"/>
    <s v="Kentang Goreng"/>
    <s v="KTG0206"/>
    <x v="1"/>
    <n v="3"/>
    <n v="18000"/>
    <n v="5"/>
    <n v="2.1"/>
    <s v="PAY0711"/>
    <x v="2"/>
    <n v="51300"/>
  </r>
  <r>
    <s v="TRX0692"/>
    <s v="TGL0694"/>
    <x v="193"/>
    <s v="CNA0434"/>
    <x v="165"/>
    <n v="37"/>
    <s v="BRCH002"/>
    <x v="1"/>
    <s v="KOA0103"/>
    <s v="Jakarta"/>
    <s v="MENU005"/>
    <s v="Croissant"/>
    <s v="KTG0206"/>
    <x v="1"/>
    <n v="3"/>
    <n v="23000"/>
    <n v="15"/>
    <n v="2.2999999999999998"/>
    <s v="PAY0710"/>
    <x v="1"/>
    <n v="58650"/>
  </r>
  <r>
    <s v="TRX0897"/>
    <s v="TGL0695"/>
    <x v="194"/>
    <s v="CNA0396"/>
    <x v="158"/>
    <n v="41"/>
    <s v="BRCH001"/>
    <x v="0"/>
    <s v="KOA0102"/>
    <s v="Bandung"/>
    <s v="MENU008"/>
    <s v="Americano"/>
    <s v="KTG0205"/>
    <x v="0"/>
    <n v="5"/>
    <n v="20000"/>
    <n v="10"/>
    <n v="4.5"/>
    <s v="PAY0711"/>
    <x v="2"/>
    <n v="90000"/>
  </r>
  <r>
    <s v="TRX0126"/>
    <s v="TGL0696"/>
    <x v="195"/>
    <s v="CNA0303"/>
    <x v="138"/>
    <n v="44"/>
    <s v="BRCH001"/>
    <x v="0"/>
    <s v="KOA0102"/>
    <s v="Bandung"/>
    <s v="MENU002"/>
    <s v="Red Velvet Cake"/>
    <s v="KTG0206"/>
    <x v="1"/>
    <n v="3"/>
    <n v="30000"/>
    <n v="0"/>
    <n v="4.8"/>
    <s v="PAY0710"/>
    <x v="1"/>
    <n v="90000"/>
  </r>
  <r>
    <s v="TRX0204"/>
    <s v="TGL0697"/>
    <x v="196"/>
    <s v="CNA0280"/>
    <x v="126"/>
    <n v="25"/>
    <s v="BRCH005"/>
    <x v="4"/>
    <s v="KOA0106"/>
    <s v="Makassar"/>
    <s v="MENU007"/>
    <s v="Chocolate Latte"/>
    <s v="KTG0207"/>
    <x v="2"/>
    <n v="3"/>
    <n v="27000"/>
    <n v="0"/>
    <n v="1"/>
    <s v="PAY0710"/>
    <x v="1"/>
    <n v="81000"/>
  </r>
  <r>
    <s v="TRX0596"/>
    <s v="TGL0698"/>
    <x v="197"/>
    <s v="CNA0227"/>
    <x v="99"/>
    <n v="17"/>
    <s v="BRCH001"/>
    <x v="0"/>
    <s v="KOA0102"/>
    <s v="Bandung"/>
    <s v="MENU004"/>
    <s v="Matcha Latte"/>
    <s v="KTG0207"/>
    <x v="2"/>
    <n v="4"/>
    <n v="28000"/>
    <n v="5"/>
    <n v="5"/>
    <s v="PAY0710"/>
    <x v="1"/>
    <n v="106400"/>
  </r>
  <r>
    <s v="TRX0541"/>
    <s v="TGL0698"/>
    <x v="197"/>
    <s v="CNA0130"/>
    <x v="28"/>
    <n v="33"/>
    <s v="BRCH004"/>
    <x v="3"/>
    <s v="KOA0105"/>
    <s v="Medan"/>
    <s v="MENU009"/>
    <s v="Kentang Goreng"/>
    <s v="KTG0206"/>
    <x v="1"/>
    <n v="4"/>
    <n v="18000"/>
    <n v="0"/>
    <n v="2.2000000000000002"/>
    <s v="PAY0711"/>
    <x v="2"/>
    <n v="72000"/>
  </r>
  <r>
    <s v="TRX0515"/>
    <s v="TGL0699"/>
    <x v="198"/>
    <s v="CNA0188"/>
    <x v="76"/>
    <n v="19"/>
    <s v="BRCH002"/>
    <x v="1"/>
    <s v="KOA0103"/>
    <s v="Jakarta"/>
    <s v="MENU005"/>
    <s v="Croissant"/>
    <s v="KTG0206"/>
    <x v="1"/>
    <n v="4"/>
    <n v="23000"/>
    <n v="0"/>
    <n v="4.4000000000000004"/>
    <s v="PAY0710"/>
    <x v="1"/>
    <n v="92000"/>
  </r>
  <r>
    <s v="TRX0467"/>
    <s v="TGL0700"/>
    <x v="199"/>
    <s v="CNA0223"/>
    <x v="96"/>
    <n v="18"/>
    <s v="BRCH004"/>
    <x v="3"/>
    <s v="KOA0105"/>
    <s v="Medan"/>
    <s v="MENU008"/>
    <s v="Americano"/>
    <s v="KTG0205"/>
    <x v="0"/>
    <n v="4"/>
    <n v="20000"/>
    <n v="20"/>
    <n v="2.6"/>
    <s v="PAY0709"/>
    <x v="0"/>
    <n v="64000"/>
  </r>
  <r>
    <s v="TRX0375"/>
    <s v="TGL0701"/>
    <x v="200"/>
    <s v="CNA0225"/>
    <x v="98"/>
    <n v="25"/>
    <s v="BRCH001"/>
    <x v="0"/>
    <s v="KOA0102"/>
    <s v="Bandung"/>
    <s v="MENU010"/>
    <s v="Espresso"/>
    <s v="KTG0205"/>
    <x v="0"/>
    <n v="4"/>
    <n v="18000"/>
    <n v="0"/>
    <n v="4.8"/>
    <s v="PAY0712"/>
    <x v="3"/>
    <n v="72000"/>
  </r>
  <r>
    <s v="TRX0262"/>
    <s v="TGL0702"/>
    <x v="201"/>
    <s v="CNA0104"/>
    <x v="3"/>
    <n v="41"/>
    <s v="BRCH004"/>
    <x v="3"/>
    <s v="KOA0105"/>
    <s v="Medan"/>
    <s v="MENU008"/>
    <s v="Americano"/>
    <s v="KTG0205"/>
    <x v="0"/>
    <n v="3"/>
    <n v="20000"/>
    <n v="20"/>
    <n v="1.3"/>
    <s v="PAY0709"/>
    <x v="0"/>
    <n v="48000"/>
  </r>
  <r>
    <s v="TRX0611"/>
    <s v="TGL0702"/>
    <x v="201"/>
    <s v="CNA0155"/>
    <x v="50"/>
    <n v="18"/>
    <s v="BRCH004"/>
    <x v="3"/>
    <s v="KOA0105"/>
    <s v="Medan"/>
    <s v="MENU006"/>
    <s v="Sandwich Ayam"/>
    <s v="KTG0206"/>
    <x v="1"/>
    <n v="2"/>
    <n v="32000"/>
    <n v="15"/>
    <n v="1.9"/>
    <s v="PAY0711"/>
    <x v="2"/>
    <n v="54400"/>
  </r>
  <r>
    <s v="TRX0348"/>
    <s v="TGL0702"/>
    <x v="201"/>
    <s v="CNA0205"/>
    <x v="86"/>
    <n v="17"/>
    <s v="BRCH001"/>
    <x v="0"/>
    <s v="KOA0102"/>
    <s v="Bandung"/>
    <s v="MENU010"/>
    <s v="Espresso"/>
    <s v="KTG0205"/>
    <x v="0"/>
    <n v="5"/>
    <n v="18000"/>
    <n v="15"/>
    <n v="2.1"/>
    <s v="PAY0710"/>
    <x v="1"/>
    <n v="76500"/>
  </r>
  <r>
    <s v="TRX0107"/>
    <s v="TGL0702"/>
    <x v="201"/>
    <s v="CNA0348"/>
    <x v="150"/>
    <n v="42"/>
    <s v="BRCH005"/>
    <x v="4"/>
    <s v="KOA0106"/>
    <s v="Makassar"/>
    <s v="MENU003"/>
    <s v="Kopi Susu Gula Aren"/>
    <s v="KTG0205"/>
    <x v="0"/>
    <n v="4"/>
    <n v="22000"/>
    <n v="20"/>
    <n v="2.1"/>
    <s v="PAY0709"/>
    <x v="0"/>
    <n v="70400"/>
  </r>
  <r>
    <s v="TRX0459"/>
    <s v="TGL0702"/>
    <x v="201"/>
    <s v="CNA0256"/>
    <x v="115"/>
    <n v="29"/>
    <s v="BRCH001"/>
    <x v="0"/>
    <s v="KOA0102"/>
    <s v="Bandung"/>
    <s v="MENU001"/>
    <s v="Cappuccino"/>
    <s v="KTG0205"/>
    <x v="0"/>
    <n v="4"/>
    <n v="25000"/>
    <n v="0"/>
    <n v="1"/>
    <s v="PAY0712"/>
    <x v="3"/>
    <n v="100000"/>
  </r>
  <r>
    <s v="TRX0225"/>
    <s v="TGL0703"/>
    <x v="202"/>
    <s v="CNA0138"/>
    <x v="35"/>
    <n v="53"/>
    <s v="BRCH004"/>
    <x v="3"/>
    <s v="KOA0105"/>
    <s v="Medan"/>
    <s v="MENU007"/>
    <s v="Chocolate Latte"/>
    <s v="KTG0207"/>
    <x v="2"/>
    <n v="3"/>
    <n v="27000"/>
    <n v="0"/>
    <n v="1.1000000000000001"/>
    <s v="PAY0711"/>
    <x v="2"/>
    <n v="81000"/>
  </r>
  <r>
    <s v="TRX0017"/>
    <s v="TGL0703"/>
    <x v="202"/>
    <s v="CNA0410"/>
    <x v="160"/>
    <n v="18"/>
    <s v="BRCH002"/>
    <x v="1"/>
    <s v="KOA0103"/>
    <s v="Jakarta"/>
    <s v="MENU007"/>
    <s v="Chocolate Latte"/>
    <s v="KTG0207"/>
    <x v="2"/>
    <n v="5"/>
    <n v="27000"/>
    <n v="0"/>
    <n v="4.8"/>
    <s v="PAY0710"/>
    <x v="1"/>
    <n v="135000"/>
  </r>
  <r>
    <s v="TRX0847"/>
    <s v="TGL0703"/>
    <x v="202"/>
    <s v="CNA0173"/>
    <x v="64"/>
    <n v="35"/>
    <s v="BRCH002"/>
    <x v="1"/>
    <s v="KOA0103"/>
    <s v="Jakarta"/>
    <s v="MENU003"/>
    <s v="Kopi Susu Gula Aren"/>
    <s v="KTG0205"/>
    <x v="0"/>
    <n v="4"/>
    <n v="22000"/>
    <n v="0"/>
    <n v="3.9"/>
    <s v="PAY0709"/>
    <x v="0"/>
    <n v="88000"/>
  </r>
  <r>
    <s v="TRX0819"/>
    <s v="TGL0703"/>
    <x v="202"/>
    <s v="CNA0233"/>
    <x v="103"/>
    <n v="18"/>
    <s v="BRCH003"/>
    <x v="2"/>
    <s v="KOA0104"/>
    <s v="Surabaya"/>
    <s v="MENU003"/>
    <s v="Kopi Susu Gula Aren"/>
    <s v="KTG0205"/>
    <x v="0"/>
    <n v="4"/>
    <n v="22000"/>
    <n v="5"/>
    <n v="4.2"/>
    <s v="PAY0712"/>
    <x v="3"/>
    <n v="83600"/>
  </r>
  <r>
    <s v="TRX0039"/>
    <s v="TGL0703"/>
    <x v="202"/>
    <s v="CNA0292"/>
    <x v="132"/>
    <n v="18"/>
    <s v="BRCH002"/>
    <x v="1"/>
    <s v="KOA0103"/>
    <s v="Jakarta"/>
    <s v="MENU002"/>
    <s v="Red Velvet Cake"/>
    <s v="KTG0206"/>
    <x v="1"/>
    <n v="1"/>
    <n v="30000"/>
    <n v="0"/>
    <n v="2.1"/>
    <s v="PAY0709"/>
    <x v="0"/>
    <n v="30000"/>
  </r>
  <r>
    <s v="TRX0462"/>
    <s v="TGL0704"/>
    <x v="203"/>
    <s v="CNA0187"/>
    <x v="75"/>
    <n v="49"/>
    <s v="BRCH004"/>
    <x v="3"/>
    <s v="KOA0105"/>
    <s v="Medan"/>
    <s v="MENU004"/>
    <s v="Matcha Latte"/>
    <s v="KTG0207"/>
    <x v="2"/>
    <n v="2"/>
    <n v="28000"/>
    <n v="0"/>
    <n v="3"/>
    <s v="PAY0712"/>
    <x v="3"/>
    <n v="56000"/>
  </r>
  <r>
    <s v="TRX0109"/>
    <s v="TGL0704"/>
    <x v="203"/>
    <s v="CNA0207"/>
    <x v="87"/>
    <n v="50"/>
    <s v="BRCH005"/>
    <x v="4"/>
    <s v="KOA0106"/>
    <s v="Makassar"/>
    <s v="MENU007"/>
    <s v="Chocolate Latte"/>
    <s v="KTG0207"/>
    <x v="2"/>
    <n v="3"/>
    <n v="27000"/>
    <n v="15"/>
    <n v="2.9"/>
    <s v="PAY0711"/>
    <x v="2"/>
    <n v="68850"/>
  </r>
  <r>
    <s v="TRX0608"/>
    <s v="TGL0705"/>
    <x v="204"/>
    <s v="CNA0232"/>
    <x v="102"/>
    <n v="17"/>
    <s v="BRCH001"/>
    <x v="0"/>
    <s v="KOA0102"/>
    <s v="Bandung"/>
    <s v="MENU007"/>
    <s v="Chocolate Latte"/>
    <s v="KTG0207"/>
    <x v="2"/>
    <n v="5"/>
    <n v="27000"/>
    <n v="0"/>
    <n v="4.0999999999999996"/>
    <s v="PAY0711"/>
    <x v="2"/>
    <n v="135000"/>
  </r>
  <r>
    <s v="TRX0239"/>
    <s v="TGL0706"/>
    <x v="205"/>
    <s v="CNA0137"/>
    <x v="34"/>
    <n v="32"/>
    <s v="BRCH004"/>
    <x v="3"/>
    <s v="KOA0105"/>
    <s v="Medan"/>
    <s v="MENU005"/>
    <s v="Croissant"/>
    <s v="KTG0206"/>
    <x v="1"/>
    <n v="3"/>
    <n v="23000"/>
    <n v="10"/>
    <n v="4.4000000000000004"/>
    <s v="PAY0710"/>
    <x v="1"/>
    <n v="62100"/>
  </r>
  <r>
    <s v="TRX0431"/>
    <s v="TGL0707"/>
    <x v="206"/>
    <s v="CNA0230"/>
    <x v="101"/>
    <n v="23"/>
    <s v="BRCH002"/>
    <x v="1"/>
    <s v="KOA0103"/>
    <s v="Jakarta"/>
    <s v="MENU008"/>
    <s v="Americano"/>
    <s v="KTG0205"/>
    <x v="0"/>
    <n v="2"/>
    <n v="20000"/>
    <n v="0"/>
    <n v="1.5"/>
    <s v="PAY0712"/>
    <x v="3"/>
    <n v="40000"/>
  </r>
  <r>
    <s v="TRX0733"/>
    <s v="TGL0707"/>
    <x v="206"/>
    <s v="CNA0280"/>
    <x v="126"/>
    <n v="25"/>
    <s v="BRCH005"/>
    <x v="4"/>
    <s v="KOA0106"/>
    <s v="Makassar"/>
    <s v="MENU004"/>
    <s v="Matcha Latte"/>
    <s v="KTG0207"/>
    <x v="2"/>
    <n v="4"/>
    <n v="28000"/>
    <n v="20"/>
    <n v="4.3"/>
    <s v="PAY0710"/>
    <x v="1"/>
    <n v="89600"/>
  </r>
  <r>
    <s v="TRX0833"/>
    <s v="TGL0708"/>
    <x v="207"/>
    <s v="CNA0494"/>
    <x v="169"/>
    <n v="40"/>
    <s v="BRCH005"/>
    <x v="4"/>
    <s v="KOA0106"/>
    <s v="Makassar"/>
    <s v="MENU009"/>
    <s v="Kentang Goreng"/>
    <s v="KTG0206"/>
    <x v="1"/>
    <n v="2"/>
    <n v="18000"/>
    <n v="0"/>
    <n v="4.0999999999999996"/>
    <s v="PAY0711"/>
    <x v="2"/>
    <n v="36000"/>
  </r>
  <r>
    <s v="TRX0737"/>
    <s v="TGL0708"/>
    <x v="207"/>
    <s v="CNA0106"/>
    <x v="5"/>
    <n v="30"/>
    <s v="BRCH005"/>
    <x v="4"/>
    <s v="KOA0106"/>
    <s v="Makassar"/>
    <s v="MENU009"/>
    <s v="Kentang Goreng"/>
    <s v="KTG0206"/>
    <x v="1"/>
    <n v="4"/>
    <n v="18000"/>
    <n v="20"/>
    <n v="1.8"/>
    <s v="PAY0712"/>
    <x v="3"/>
    <n v="57600"/>
  </r>
  <r>
    <s v="TRX0010"/>
    <s v="TGL0709"/>
    <x v="208"/>
    <s v="CNA0199"/>
    <x v="80"/>
    <n v="24"/>
    <s v="BRCH003"/>
    <x v="2"/>
    <s v="KOA0104"/>
    <s v="Surabaya"/>
    <s v="MENU005"/>
    <s v="Croissant"/>
    <s v="KTG0206"/>
    <x v="1"/>
    <n v="5"/>
    <n v="23000"/>
    <n v="20"/>
    <n v="1.1000000000000001"/>
    <s v="PAY0710"/>
    <x v="1"/>
    <n v="92000"/>
  </r>
  <r>
    <s v="TRX0163"/>
    <s v="TGL0710"/>
    <x v="209"/>
    <s v="CNA0497"/>
    <x v="170"/>
    <n v="25"/>
    <s v="BRCH002"/>
    <x v="1"/>
    <s v="KOA0103"/>
    <s v="Jakarta"/>
    <s v="MENU009"/>
    <s v="Kentang Goreng"/>
    <s v="KTG0206"/>
    <x v="1"/>
    <n v="2"/>
    <n v="18000"/>
    <n v="0"/>
    <n v="4.4000000000000004"/>
    <s v="PAY0711"/>
    <x v="2"/>
    <n v="36000"/>
  </r>
  <r>
    <s v="TRX0985"/>
    <s v="TGL0710"/>
    <x v="209"/>
    <s v="CNA0317"/>
    <x v="142"/>
    <n v="31"/>
    <s v="BRCH004"/>
    <x v="3"/>
    <s v="KOA0105"/>
    <s v="Medan"/>
    <s v="MENU004"/>
    <s v="Matcha Latte"/>
    <s v="KTG0207"/>
    <x v="2"/>
    <n v="4"/>
    <n v="28000"/>
    <n v="0"/>
    <n v="1.5"/>
    <s v="PAY0710"/>
    <x v="1"/>
    <n v="112000"/>
  </r>
  <r>
    <s v="TRX0962"/>
    <s v="TGL0710"/>
    <x v="209"/>
    <s v="CNA0255"/>
    <x v="114"/>
    <n v="30"/>
    <s v="BRCH003"/>
    <x v="2"/>
    <s v="KOA0104"/>
    <s v="Surabaya"/>
    <s v="MENU007"/>
    <s v="Chocolate Latte"/>
    <s v="KTG0207"/>
    <x v="2"/>
    <n v="5"/>
    <n v="27000"/>
    <n v="5"/>
    <n v="1.1000000000000001"/>
    <s v="PAY0710"/>
    <x v="1"/>
    <n v="128250"/>
  </r>
  <r>
    <s v="TRX0313"/>
    <s v="TGL0711"/>
    <x v="210"/>
    <s v="CNA0244"/>
    <x v="110"/>
    <n v="39"/>
    <s v="BRCH005"/>
    <x v="4"/>
    <s v="KOA0106"/>
    <s v="Makassar"/>
    <s v="MENU010"/>
    <s v="Espresso"/>
    <s v="KTG0205"/>
    <x v="0"/>
    <n v="4"/>
    <n v="18000"/>
    <n v="5"/>
    <n v="1.2"/>
    <s v="PAY0710"/>
    <x v="1"/>
    <n v="68400"/>
  </r>
  <r>
    <s v="TRX0251"/>
    <s v="TGL0712"/>
    <x v="211"/>
    <s v="CNA0301"/>
    <x v="136"/>
    <n v="29"/>
    <s v="BRCH002"/>
    <x v="1"/>
    <s v="KOA0103"/>
    <s v="Jakarta"/>
    <s v="MENU006"/>
    <s v="Sandwich Ayam"/>
    <s v="KTG0206"/>
    <x v="1"/>
    <n v="3"/>
    <n v="32000"/>
    <n v="15"/>
    <n v="2.2000000000000002"/>
    <s v="PAY0710"/>
    <x v="1"/>
    <n v="81600"/>
  </r>
  <r>
    <s v="TRX0520"/>
    <s v="TGL0712"/>
    <x v="211"/>
    <s v="CNA0123"/>
    <x v="22"/>
    <n v="31"/>
    <s v="BRCH003"/>
    <x v="2"/>
    <s v="KOA0104"/>
    <s v="Surabaya"/>
    <s v="MENU001"/>
    <s v="Cappuccino"/>
    <s v="KTG0205"/>
    <x v="0"/>
    <n v="3"/>
    <n v="25000"/>
    <n v="20"/>
    <n v="2.8"/>
    <s v="PAY0712"/>
    <x v="3"/>
    <n v="60000"/>
  </r>
  <r>
    <s v="TRX0173"/>
    <s v="TGL0713"/>
    <x v="212"/>
    <s v="CNA0414"/>
    <x v="162"/>
    <n v="46"/>
    <s v="BRCH002"/>
    <x v="1"/>
    <s v="KOA0103"/>
    <s v="Jakarta"/>
    <s v="MENU007"/>
    <s v="Chocolate Latte"/>
    <s v="KTG0207"/>
    <x v="2"/>
    <n v="5"/>
    <n v="27000"/>
    <n v="20"/>
    <n v="4"/>
    <s v="PAY0710"/>
    <x v="1"/>
    <n v="108000"/>
  </r>
  <r>
    <s v="TRX0767"/>
    <s v="TGL0714"/>
    <x v="213"/>
    <s v="CNA0350"/>
    <x v="151"/>
    <n v="52"/>
    <s v="BRCH005"/>
    <x v="4"/>
    <s v="KOA0106"/>
    <s v="Makassar"/>
    <s v="MENU008"/>
    <s v="Americano"/>
    <s v="KTG0205"/>
    <x v="0"/>
    <n v="2"/>
    <n v="20000"/>
    <n v="15"/>
    <n v="1.1000000000000001"/>
    <s v="PAY0710"/>
    <x v="1"/>
    <n v="34000"/>
  </r>
  <r>
    <s v="TRX0199"/>
    <s v="TGL0715"/>
    <x v="214"/>
    <s v="CNA0133"/>
    <x v="31"/>
    <n v="42"/>
    <s v="BRCH005"/>
    <x v="4"/>
    <s v="KOA0106"/>
    <s v="Makassar"/>
    <s v="MENU001"/>
    <s v="Cappuccino"/>
    <s v="KTG0205"/>
    <x v="0"/>
    <n v="4"/>
    <n v="25000"/>
    <n v="10"/>
    <n v="2.4"/>
    <s v="PAY0709"/>
    <x v="0"/>
    <n v="90000"/>
  </r>
  <r>
    <s v="TRX0643"/>
    <s v="TGL0716"/>
    <x v="215"/>
    <s v="CNA0120"/>
    <x v="19"/>
    <n v="44"/>
    <s v="BRCH002"/>
    <x v="1"/>
    <s v="KOA0103"/>
    <s v="Jakarta"/>
    <s v="MENU003"/>
    <s v="Kopi Susu Gula Aren"/>
    <s v="KTG0205"/>
    <x v="0"/>
    <n v="5"/>
    <n v="22000"/>
    <n v="0"/>
    <n v="3"/>
    <s v="PAY0710"/>
    <x v="1"/>
    <n v="110000"/>
  </r>
  <r>
    <s v="TRX0299"/>
    <s v="TGL0716"/>
    <x v="215"/>
    <s v="CNA0507"/>
    <x v="171"/>
    <n v="24"/>
    <s v="BRCH005"/>
    <x v="4"/>
    <s v="KOA0106"/>
    <s v="Makassar"/>
    <s v="MENU008"/>
    <s v="Americano"/>
    <s v="KTG0205"/>
    <x v="0"/>
    <n v="3"/>
    <n v="20000"/>
    <n v="10"/>
    <n v="3.6"/>
    <s v="PAY0709"/>
    <x v="0"/>
    <n v="54000"/>
  </r>
  <r>
    <s v="TRX0634"/>
    <s v="TGL0717"/>
    <x v="216"/>
    <s v="CNA0114"/>
    <x v="13"/>
    <n v="51"/>
    <s v="BRCH002"/>
    <x v="1"/>
    <s v="KOA0103"/>
    <s v="Jakarta"/>
    <s v="MENU004"/>
    <s v="Matcha Latte"/>
    <s v="KTG0207"/>
    <x v="2"/>
    <n v="3"/>
    <n v="28000"/>
    <n v="20"/>
    <n v="1.4"/>
    <s v="PAY0711"/>
    <x v="2"/>
    <n v="67200"/>
  </r>
  <r>
    <s v="TRX0076"/>
    <s v="TGL0718"/>
    <x v="217"/>
    <s v="CNA0342"/>
    <x v="148"/>
    <n v="35"/>
    <s v="BRCH005"/>
    <x v="4"/>
    <s v="KOA0106"/>
    <s v="Makassar"/>
    <s v="MENU006"/>
    <s v="Sandwich Ayam"/>
    <s v="KTG0206"/>
    <x v="1"/>
    <n v="5"/>
    <n v="32000"/>
    <n v="15"/>
    <n v="2"/>
    <s v="PAY0711"/>
    <x v="2"/>
    <n v="136000"/>
  </r>
  <r>
    <s v="TRX0281"/>
    <s v="TGL0718"/>
    <x v="217"/>
    <s v="CNA0106"/>
    <x v="5"/>
    <n v="30"/>
    <s v="BRCH004"/>
    <x v="3"/>
    <s v="KOA0105"/>
    <s v="Medan"/>
    <s v="MENU004"/>
    <s v="Matcha Latte"/>
    <s v="KTG0207"/>
    <x v="2"/>
    <n v="5"/>
    <n v="28000"/>
    <n v="10"/>
    <n v="2.9"/>
    <s v="PAY0711"/>
    <x v="2"/>
    <n v="126000"/>
  </r>
  <r>
    <s v="TRX0680"/>
    <s v="TGL0718"/>
    <x v="217"/>
    <s v="CNA0511"/>
    <x v="172"/>
    <n v="36"/>
    <s v="BRCH002"/>
    <x v="1"/>
    <s v="KOA0103"/>
    <s v="Jakarta"/>
    <s v="MENU002"/>
    <s v="Red Velvet Cake"/>
    <s v="KTG0206"/>
    <x v="1"/>
    <n v="5"/>
    <n v="30000"/>
    <n v="10"/>
    <n v="3.9"/>
    <s v="PAY0709"/>
    <x v="0"/>
    <n v="135000"/>
  </r>
  <r>
    <s v="TRX0054"/>
    <s v="TGL0718"/>
    <x v="217"/>
    <s v="CNA0325"/>
    <x v="146"/>
    <n v="45"/>
    <s v="BRCH001"/>
    <x v="0"/>
    <s v="KOA0102"/>
    <s v="Bandung"/>
    <s v="MENU004"/>
    <s v="Matcha Latte"/>
    <s v="KTG0207"/>
    <x v="2"/>
    <n v="1"/>
    <n v="28000"/>
    <n v="0"/>
    <n v="3.8"/>
    <s v="PAY0712"/>
    <x v="3"/>
    <n v="28000"/>
  </r>
  <r>
    <s v="TRX0297"/>
    <s v="TGL0719"/>
    <x v="218"/>
    <s v="CNA0513"/>
    <x v="173"/>
    <n v="52"/>
    <s v="BRCH005"/>
    <x v="4"/>
    <s v="KOA0106"/>
    <s v="Makassar"/>
    <s v="MENU004"/>
    <s v="Matcha Latte"/>
    <s v="KTG0207"/>
    <x v="2"/>
    <n v="1"/>
    <n v="28000"/>
    <n v="0"/>
    <n v="3"/>
    <s v="PAY0709"/>
    <x v="0"/>
    <n v="28000"/>
  </r>
  <r>
    <s v="TRX0097"/>
    <s v="TGL0720"/>
    <x v="219"/>
    <s v="CNA0278"/>
    <x v="125"/>
    <n v="32"/>
    <s v="BRCH002"/>
    <x v="1"/>
    <s v="KOA0103"/>
    <s v="Jakarta"/>
    <s v="MENU001"/>
    <s v="Cappuccino"/>
    <s v="KTG0205"/>
    <x v="0"/>
    <n v="3"/>
    <n v="25000"/>
    <n v="5"/>
    <n v="2.2999999999999998"/>
    <s v="PAY0709"/>
    <x v="0"/>
    <n v="71250"/>
  </r>
  <r>
    <s v="TRX0570"/>
    <s v="TGL0721"/>
    <x v="220"/>
    <s v="CNA0222"/>
    <x v="95"/>
    <n v="34"/>
    <s v="BRCH003"/>
    <x v="2"/>
    <s v="KOA0104"/>
    <s v="Surabaya"/>
    <s v="MENU004"/>
    <s v="Matcha Latte"/>
    <s v="KTG0207"/>
    <x v="2"/>
    <n v="4"/>
    <n v="28000"/>
    <n v="0"/>
    <n v="2.1"/>
    <s v="PAY0712"/>
    <x v="3"/>
    <n v="112000"/>
  </r>
  <r>
    <s v="TRX0476"/>
    <s v="TGL0722"/>
    <x v="221"/>
    <s v="CNA0233"/>
    <x v="103"/>
    <n v="18"/>
    <s v="BRCH005"/>
    <x v="4"/>
    <s v="KOA0106"/>
    <s v="Makassar"/>
    <s v="MENU001"/>
    <s v="Cappuccino"/>
    <s v="KTG0205"/>
    <x v="0"/>
    <n v="5"/>
    <n v="25000"/>
    <n v="20"/>
    <n v="2.9"/>
    <s v="PAY0711"/>
    <x v="2"/>
    <n v="100000"/>
  </r>
  <r>
    <s v="TRX0672"/>
    <s v="TGL0722"/>
    <x v="221"/>
    <s v="CNA0107"/>
    <x v="6"/>
    <n v="19"/>
    <s v="BRCH005"/>
    <x v="4"/>
    <s v="KOA0106"/>
    <s v="Makassar"/>
    <s v="MENU010"/>
    <s v="Espresso"/>
    <s v="KTG0205"/>
    <x v="0"/>
    <n v="5"/>
    <n v="18000"/>
    <n v="0"/>
    <n v="5"/>
    <s v="PAY0712"/>
    <x v="3"/>
    <n v="90000"/>
  </r>
  <r>
    <s v="TRX0073"/>
    <s v="TGL0723"/>
    <x v="222"/>
    <s v="CNA0513"/>
    <x v="173"/>
    <n v="52"/>
    <s v="BRCH005"/>
    <x v="4"/>
    <s v="KOA0106"/>
    <s v="Makassar"/>
    <s v="MENU009"/>
    <s v="Kentang Goreng"/>
    <s v="KTG0206"/>
    <x v="1"/>
    <n v="1"/>
    <n v="18000"/>
    <n v="0"/>
    <n v="2.2999999999999998"/>
    <s v="PAY0709"/>
    <x v="0"/>
    <n v="18000"/>
  </r>
  <r>
    <s v="TRX0843"/>
    <s v="TGL0723"/>
    <x v="222"/>
    <s v="CNA0119"/>
    <x v="18"/>
    <n v="35"/>
    <s v="BRCH004"/>
    <x v="3"/>
    <s v="KOA0105"/>
    <s v="Medan"/>
    <s v="MENU005"/>
    <s v="Croissant"/>
    <s v="KTG0206"/>
    <x v="1"/>
    <n v="3"/>
    <n v="23000"/>
    <n v="0"/>
    <n v="1.2"/>
    <s v="PAY0709"/>
    <x v="0"/>
    <n v="69000"/>
  </r>
  <r>
    <s v="TRX0078"/>
    <s v="TGL0724"/>
    <x v="223"/>
    <s v="CNA0188"/>
    <x v="76"/>
    <n v="19"/>
    <s v="BRCH002"/>
    <x v="1"/>
    <s v="KOA0103"/>
    <s v="Jakarta"/>
    <s v="MENU008"/>
    <s v="Americano"/>
    <s v="KTG0205"/>
    <x v="0"/>
    <n v="5"/>
    <n v="20000"/>
    <n v="5"/>
    <n v="2.1"/>
    <s v="PAY0710"/>
    <x v="1"/>
    <n v="95000"/>
  </r>
  <r>
    <s v="TRX0257"/>
    <s v="TGL0725"/>
    <x v="224"/>
    <s v="CNA0280"/>
    <x v="126"/>
    <n v="25"/>
    <s v="BRCH003"/>
    <x v="2"/>
    <s v="KOA0104"/>
    <s v="Surabaya"/>
    <s v="MENU008"/>
    <s v="Americano"/>
    <s v="KTG0205"/>
    <x v="0"/>
    <n v="4"/>
    <n v="20000"/>
    <n v="10"/>
    <n v="3.3"/>
    <s v="PAY0711"/>
    <x v="2"/>
    <n v="72000"/>
  </r>
  <r>
    <s v="TRX0943"/>
    <s v="TGL0725"/>
    <x v="224"/>
    <s v="CNA0139"/>
    <x v="36"/>
    <n v="51"/>
    <s v="BRCH005"/>
    <x v="4"/>
    <s v="KOA0106"/>
    <s v="Makassar"/>
    <s v="MENU005"/>
    <s v="Croissant"/>
    <s v="KTG0206"/>
    <x v="1"/>
    <n v="1"/>
    <n v="23000"/>
    <n v="0"/>
    <n v="4.7"/>
    <s v="PAY0711"/>
    <x v="2"/>
    <n v="23000"/>
  </r>
  <r>
    <s v="TRX0211"/>
    <s v="TGL0725"/>
    <x v="224"/>
    <s v="CNA0202"/>
    <x v="83"/>
    <n v="53"/>
    <s v="BRCH003"/>
    <x v="2"/>
    <s v="KOA0104"/>
    <s v="Surabaya"/>
    <s v="MENU003"/>
    <s v="Kopi Susu Gula Aren"/>
    <s v="KTG0205"/>
    <x v="0"/>
    <n v="5"/>
    <n v="22000"/>
    <n v="5"/>
    <n v="3.5"/>
    <s v="PAY0710"/>
    <x v="1"/>
    <n v="104500"/>
  </r>
  <r>
    <s v="TRX0917"/>
    <s v="TGL0725"/>
    <x v="224"/>
    <s v="CNA0191"/>
    <x v="77"/>
    <n v="41"/>
    <s v="BRCH002"/>
    <x v="1"/>
    <s v="KOA0103"/>
    <s v="Jakarta"/>
    <s v="MENU009"/>
    <s v="Kentang Goreng"/>
    <s v="KTG0206"/>
    <x v="1"/>
    <n v="2"/>
    <n v="18000"/>
    <n v="5"/>
    <n v="2.2000000000000002"/>
    <s v="PAY0712"/>
    <x v="3"/>
    <n v="34200"/>
  </r>
  <r>
    <s v="TRX0947"/>
    <s v="TGL0726"/>
    <x v="225"/>
    <s v="CNA0103"/>
    <x v="2"/>
    <n v="44"/>
    <s v="BRCH002"/>
    <x v="1"/>
    <s v="KOA0103"/>
    <s v="Jakarta"/>
    <s v="MENU007"/>
    <s v="Chocolate Latte"/>
    <s v="KTG0207"/>
    <x v="2"/>
    <n v="4"/>
    <n v="27000"/>
    <n v="0"/>
    <n v="4.4000000000000004"/>
    <s v="PAY0709"/>
    <x v="0"/>
    <n v="108000"/>
  </r>
  <r>
    <s v="TRX0118"/>
    <s v="TGL0727"/>
    <x v="226"/>
    <s v="CNA0149"/>
    <x v="44"/>
    <n v="33"/>
    <s v="BRCH004"/>
    <x v="3"/>
    <s v="KOA0105"/>
    <s v="Medan"/>
    <s v="MENU008"/>
    <s v="Americano"/>
    <s v="KTG0205"/>
    <x v="0"/>
    <n v="5"/>
    <n v="20000"/>
    <n v="5"/>
    <n v="4.9000000000000004"/>
    <s v="PAY0710"/>
    <x v="1"/>
    <n v="95000"/>
  </r>
  <r>
    <s v="TRX0990"/>
    <s v="TGL0727"/>
    <x v="226"/>
    <s v="CNA0497"/>
    <x v="170"/>
    <n v="25"/>
    <s v="BRCH003"/>
    <x v="2"/>
    <s v="KOA0104"/>
    <s v="Surabaya"/>
    <s v="MENU009"/>
    <s v="Kentang Goreng"/>
    <s v="KTG0206"/>
    <x v="1"/>
    <n v="1"/>
    <n v="18000"/>
    <n v="20"/>
    <n v="5"/>
    <s v="PAY0709"/>
    <x v="0"/>
    <n v="14400"/>
  </r>
  <r>
    <s v="TRX0818"/>
    <s v="TGL0728"/>
    <x v="227"/>
    <s v="CNA0129"/>
    <x v="27"/>
    <n v="49"/>
    <s v="BRCH002"/>
    <x v="1"/>
    <s v="KOA0103"/>
    <s v="Jakarta"/>
    <s v="MENU001"/>
    <s v="Cappuccino"/>
    <s v="KTG0205"/>
    <x v="0"/>
    <n v="3"/>
    <n v="25000"/>
    <n v="15"/>
    <n v="1"/>
    <s v="PAY0711"/>
    <x v="2"/>
    <n v="63750"/>
  </r>
  <r>
    <s v="TRX0809"/>
    <s v="TGL0728"/>
    <x v="227"/>
    <s v="CNA0214"/>
    <x v="91"/>
    <n v="18"/>
    <s v="BRCH001"/>
    <x v="0"/>
    <s v="KOA0102"/>
    <s v="Bandung"/>
    <s v="MENU009"/>
    <s v="Kentang Goreng"/>
    <s v="KTG0206"/>
    <x v="1"/>
    <n v="4"/>
    <n v="18000"/>
    <n v="0"/>
    <n v="4.5999999999999996"/>
    <s v="PAY0710"/>
    <x v="1"/>
    <n v="72000"/>
  </r>
  <r>
    <s v="TRX0224"/>
    <s v="TGL0728"/>
    <x v="227"/>
    <s v="CNA0122"/>
    <x v="21"/>
    <n v="20"/>
    <s v="BRCH005"/>
    <x v="4"/>
    <s v="KOA0106"/>
    <s v="Makassar"/>
    <s v="MENU001"/>
    <s v="Cappuccino"/>
    <s v="KTG0205"/>
    <x v="0"/>
    <n v="1"/>
    <n v="25000"/>
    <n v="0"/>
    <n v="5"/>
    <s v="PAY0709"/>
    <x v="0"/>
    <n v="25000"/>
  </r>
  <r>
    <s v="TRX0677"/>
    <s v="TGL0728"/>
    <x v="227"/>
    <s v="CNA0531"/>
    <x v="174"/>
    <n v="45"/>
    <s v="BRCH001"/>
    <x v="0"/>
    <s v="KOA0102"/>
    <s v="Bandung"/>
    <s v="MENU007"/>
    <s v="Chocolate Latte"/>
    <s v="KTG0207"/>
    <x v="2"/>
    <n v="4"/>
    <n v="27000"/>
    <n v="0"/>
    <n v="2.8"/>
    <s v="PAY0711"/>
    <x v="2"/>
    <n v="108000"/>
  </r>
  <r>
    <s v="TRX0768"/>
    <s v="TGL0729"/>
    <x v="228"/>
    <s v="CNA0381"/>
    <x v="154"/>
    <n v="40"/>
    <s v="BRCH004"/>
    <x v="3"/>
    <s v="KOA0105"/>
    <s v="Medan"/>
    <s v="MENU007"/>
    <s v="Chocolate Latte"/>
    <s v="KTG0207"/>
    <x v="2"/>
    <n v="2"/>
    <n v="27000"/>
    <n v="10"/>
    <n v="1.4"/>
    <s v="PAY0710"/>
    <x v="1"/>
    <n v="48600"/>
  </r>
  <r>
    <s v="TRX0842"/>
    <s v="TGL0730"/>
    <x v="229"/>
    <s v="CNA0315"/>
    <x v="141"/>
    <n v="51"/>
    <s v="BRCH004"/>
    <x v="3"/>
    <s v="KOA0105"/>
    <s v="Medan"/>
    <s v="MENU010"/>
    <s v="Espresso"/>
    <s v="KTG0205"/>
    <x v="0"/>
    <n v="2"/>
    <n v="18000"/>
    <n v="15"/>
    <n v="1.6"/>
    <s v="PAY0709"/>
    <x v="0"/>
    <n v="30600"/>
  </r>
  <r>
    <s v="TRX0782"/>
    <s v="TGL0731"/>
    <x v="230"/>
    <s v="CNA0284"/>
    <x v="127"/>
    <n v="21"/>
    <s v="BRCH004"/>
    <x v="3"/>
    <s v="KOA0105"/>
    <s v="Medan"/>
    <s v="MENU009"/>
    <s v="Kentang Goreng"/>
    <s v="KTG0206"/>
    <x v="1"/>
    <n v="3"/>
    <n v="18000"/>
    <n v="10"/>
    <n v="2.1"/>
    <s v="PAY0712"/>
    <x v="3"/>
    <n v="48600"/>
  </r>
  <r>
    <s v="TRX0874"/>
    <s v="TGL0732"/>
    <x v="231"/>
    <s v="CNA0195"/>
    <x v="79"/>
    <n v="42"/>
    <s v="BRCH005"/>
    <x v="4"/>
    <s v="KOA0106"/>
    <s v="Makassar"/>
    <s v="MENU009"/>
    <s v="Kentang Goreng"/>
    <s v="KTG0206"/>
    <x v="1"/>
    <n v="5"/>
    <n v="18000"/>
    <n v="0"/>
    <n v="3.6"/>
    <s v="PAY0711"/>
    <x v="2"/>
    <n v="90000"/>
  </r>
  <r>
    <s v="TRX0781"/>
    <s v="TGL0732"/>
    <x v="231"/>
    <s v="CNA0110"/>
    <x v="9"/>
    <n v="39"/>
    <s v="BRCH005"/>
    <x v="4"/>
    <s v="KOA0106"/>
    <s v="Makassar"/>
    <s v="MENU003"/>
    <s v="Kopi Susu Gula Aren"/>
    <s v="KTG0205"/>
    <x v="0"/>
    <n v="4"/>
    <n v="22000"/>
    <n v="5"/>
    <n v="4.5"/>
    <s v="PAY0711"/>
    <x v="2"/>
    <n v="83600"/>
  </r>
  <r>
    <s v="TRX0762"/>
    <s v="TGL0732"/>
    <x v="231"/>
    <s v="CNA0537"/>
    <x v="175"/>
    <n v="19"/>
    <s v="BRCH004"/>
    <x v="3"/>
    <s v="KOA0105"/>
    <s v="Medan"/>
    <s v="MENU010"/>
    <s v="Espresso"/>
    <s v="KTG0205"/>
    <x v="0"/>
    <n v="4"/>
    <n v="18000"/>
    <n v="10"/>
    <n v="1.5"/>
    <s v="PAY0711"/>
    <x v="2"/>
    <n v="64800"/>
  </r>
  <r>
    <s v="TRX0875"/>
    <s v="TGL0733"/>
    <x v="232"/>
    <s v="CNA0411"/>
    <x v="161"/>
    <n v="52"/>
    <s v="BRCH002"/>
    <x v="1"/>
    <s v="KOA0103"/>
    <s v="Jakarta"/>
    <s v="MENU008"/>
    <s v="Americano"/>
    <s v="KTG0205"/>
    <x v="0"/>
    <n v="3"/>
    <n v="20000"/>
    <n v="0"/>
    <n v="2.1"/>
    <s v="PAY0712"/>
    <x v="3"/>
    <n v="60000"/>
  </r>
  <r>
    <s v="TRX0008"/>
    <s v="TGL0734"/>
    <x v="233"/>
    <s v="CNA0169"/>
    <x v="60"/>
    <n v="53"/>
    <s v="BRCH002"/>
    <x v="1"/>
    <s v="KOA0103"/>
    <s v="Jakarta"/>
    <s v="MENU008"/>
    <s v="Americano"/>
    <s v="KTG0205"/>
    <x v="0"/>
    <n v="5"/>
    <n v="20000"/>
    <n v="5"/>
    <n v="2.7"/>
    <s v="PAY0711"/>
    <x v="2"/>
    <n v="95000"/>
  </r>
  <r>
    <s v="TRX0715"/>
    <s v="TGL0735"/>
    <x v="234"/>
    <s v="CNA0256"/>
    <x v="115"/>
    <n v="29"/>
    <s v="BRCH005"/>
    <x v="4"/>
    <s v="KOA0106"/>
    <s v="Makassar"/>
    <s v="MENU002"/>
    <s v="Red Velvet Cake"/>
    <s v="KTG0206"/>
    <x v="1"/>
    <n v="1"/>
    <n v="30000"/>
    <n v="0"/>
    <n v="4.7"/>
    <s v="PAY0709"/>
    <x v="0"/>
    <n v="30000"/>
  </r>
  <r>
    <s v="TRX0372"/>
    <s v="TGL0736"/>
    <x v="235"/>
    <s v="CNA0541"/>
    <x v="176"/>
    <n v="28"/>
    <s v="BRCH001"/>
    <x v="0"/>
    <s v="KOA0102"/>
    <s v="Bandung"/>
    <s v="MENU001"/>
    <s v="Cappuccino"/>
    <s v="KTG0205"/>
    <x v="0"/>
    <n v="2"/>
    <n v="25000"/>
    <n v="20"/>
    <n v="3.7"/>
    <s v="PAY0711"/>
    <x v="2"/>
    <n v="40000"/>
  </r>
  <r>
    <s v="TRX0261"/>
    <s v="TGL0737"/>
    <x v="236"/>
    <s v="CNA0310"/>
    <x v="139"/>
    <n v="22"/>
    <s v="BRCH002"/>
    <x v="1"/>
    <s v="KOA0103"/>
    <s v="Jakarta"/>
    <s v="MENU004"/>
    <s v="Matcha Latte"/>
    <s v="KTG0207"/>
    <x v="2"/>
    <n v="5"/>
    <n v="28000"/>
    <n v="5"/>
    <n v="4.2"/>
    <s v="PAY0711"/>
    <x v="2"/>
    <n v="133000"/>
  </r>
  <r>
    <s v="TRX0100"/>
    <s v="TGL0737"/>
    <x v="236"/>
    <s v="CNA0242"/>
    <x v="109"/>
    <n v="40"/>
    <s v="BRCH003"/>
    <x v="2"/>
    <s v="KOA0104"/>
    <s v="Surabaya"/>
    <s v="MENU006"/>
    <s v="Sandwich Ayam"/>
    <s v="KTG0206"/>
    <x v="1"/>
    <n v="1"/>
    <n v="32000"/>
    <n v="10"/>
    <n v="1.2"/>
    <s v="PAY0712"/>
    <x v="3"/>
    <n v="28800"/>
  </r>
  <r>
    <s v="TRX0853"/>
    <s v="TGL0737"/>
    <x v="236"/>
    <s v="CNA0184"/>
    <x v="72"/>
    <n v="24"/>
    <s v="BRCH001"/>
    <x v="0"/>
    <s v="KOA0102"/>
    <s v="Bandung"/>
    <s v="MENU007"/>
    <s v="Chocolate Latte"/>
    <s v="KTG0207"/>
    <x v="2"/>
    <n v="4"/>
    <n v="27000"/>
    <n v="0"/>
    <n v="3.4"/>
    <s v="PAY0711"/>
    <x v="2"/>
    <n v="108000"/>
  </r>
  <r>
    <s v="TRX0614"/>
    <s v="TGL0738"/>
    <x v="237"/>
    <s v="CNA0537"/>
    <x v="175"/>
    <n v="19"/>
    <s v="BRCH003"/>
    <x v="2"/>
    <s v="KOA0104"/>
    <s v="Surabaya"/>
    <s v="MENU002"/>
    <s v="Red Velvet Cake"/>
    <s v="KTG0206"/>
    <x v="1"/>
    <n v="1"/>
    <n v="30000"/>
    <n v="10"/>
    <n v="3.4"/>
    <s v="PAY0711"/>
    <x v="2"/>
    <n v="27000"/>
  </r>
  <r>
    <s v="TRX0526"/>
    <s v="TGL0738"/>
    <x v="237"/>
    <s v="CNA0468"/>
    <x v="168"/>
    <n v="40"/>
    <s v="BRCH002"/>
    <x v="1"/>
    <s v="KOA0103"/>
    <s v="Jakarta"/>
    <s v="MENU007"/>
    <s v="Chocolate Latte"/>
    <s v="KTG0207"/>
    <x v="2"/>
    <n v="2"/>
    <n v="27000"/>
    <n v="15"/>
    <n v="3.1"/>
    <s v="PAY0711"/>
    <x v="2"/>
    <n v="45900"/>
  </r>
  <r>
    <s v="TRX0016"/>
    <s v="TGL0739"/>
    <x v="238"/>
    <s v="CNA0242"/>
    <x v="109"/>
    <n v="40"/>
    <s v="BRCH005"/>
    <x v="4"/>
    <s v="KOA0106"/>
    <s v="Makassar"/>
    <s v="MENU007"/>
    <s v="Chocolate Latte"/>
    <s v="KTG0207"/>
    <x v="2"/>
    <n v="1"/>
    <n v="27000"/>
    <n v="0"/>
    <n v="4.4000000000000004"/>
    <s v="PAY0711"/>
    <x v="2"/>
    <n v="27000"/>
  </r>
  <r>
    <s v="TRX0944"/>
    <s v="TGL0740"/>
    <x v="239"/>
    <s v="CNA0204"/>
    <x v="85"/>
    <n v="40"/>
    <s v="BRCH001"/>
    <x v="0"/>
    <s v="KOA0102"/>
    <s v="Bandung"/>
    <s v="MENU008"/>
    <s v="Americano"/>
    <s v="KTG0205"/>
    <x v="0"/>
    <n v="1"/>
    <n v="20000"/>
    <n v="5"/>
    <n v="1.5"/>
    <s v="PAY0711"/>
    <x v="2"/>
    <n v="19000"/>
  </r>
  <r>
    <s v="TRX0424"/>
    <s v="TGL0740"/>
    <x v="239"/>
    <s v="CNA0411"/>
    <x v="161"/>
    <n v="52"/>
    <s v="BRCH005"/>
    <x v="4"/>
    <s v="KOA0106"/>
    <s v="Makassar"/>
    <s v="MENU007"/>
    <s v="Chocolate Latte"/>
    <s v="KTG0207"/>
    <x v="2"/>
    <n v="2"/>
    <n v="27000"/>
    <n v="0"/>
    <n v="4.7"/>
    <s v="PAY0710"/>
    <x v="1"/>
    <n v="54000"/>
  </r>
  <r>
    <s v="TRX0157"/>
    <s v="TGL0740"/>
    <x v="239"/>
    <s v="CNA0143"/>
    <x v="38"/>
    <n v="49"/>
    <s v="BRCH005"/>
    <x v="4"/>
    <s v="KOA0106"/>
    <s v="Makassar"/>
    <s v="MENU005"/>
    <s v="Croissant"/>
    <s v="KTG0206"/>
    <x v="1"/>
    <n v="2"/>
    <n v="23000"/>
    <n v="20"/>
    <n v="1.3"/>
    <s v="PAY0712"/>
    <x v="3"/>
    <n v="36800"/>
  </r>
  <r>
    <s v="TRX0535"/>
    <s v="TGL0741"/>
    <x v="240"/>
    <s v="CNA0310"/>
    <x v="139"/>
    <n v="22"/>
    <s v="BRCH002"/>
    <x v="1"/>
    <s v="KOA0103"/>
    <s v="Jakarta"/>
    <s v="MENU010"/>
    <s v="Espresso"/>
    <s v="KTG0205"/>
    <x v="0"/>
    <n v="4"/>
    <n v="18000"/>
    <n v="10"/>
    <n v="4.7"/>
    <s v="PAY0712"/>
    <x v="3"/>
    <n v="64800"/>
  </r>
  <r>
    <s v="TRX0519"/>
    <s v="TGL0741"/>
    <x v="240"/>
    <s v="CNA0205"/>
    <x v="86"/>
    <n v="17"/>
    <s v="BRCH004"/>
    <x v="3"/>
    <s v="KOA0105"/>
    <s v="Medan"/>
    <s v="MENU006"/>
    <s v="Sandwich Ayam"/>
    <s v="KTG0206"/>
    <x v="1"/>
    <n v="3"/>
    <n v="32000"/>
    <n v="20"/>
    <n v="3.1"/>
    <s v="PAY0711"/>
    <x v="2"/>
    <n v="76800"/>
  </r>
  <r>
    <s v="TRX0540"/>
    <s v="TGL0742"/>
    <x v="241"/>
    <s v="CNA0105"/>
    <x v="4"/>
    <n v="53"/>
    <s v="BRCH005"/>
    <x v="4"/>
    <s v="KOA0106"/>
    <s v="Makassar"/>
    <s v="MENU010"/>
    <s v="Espresso"/>
    <s v="KTG0205"/>
    <x v="0"/>
    <n v="2"/>
    <n v="18000"/>
    <n v="10"/>
    <n v="3.2"/>
    <s v="PAY0709"/>
    <x v="0"/>
    <n v="32400"/>
  </r>
  <r>
    <s v="TRX0889"/>
    <s v="TGL0743"/>
    <x v="242"/>
    <s v="CNA0256"/>
    <x v="115"/>
    <n v="29"/>
    <s v="BRCH001"/>
    <x v="0"/>
    <s v="KOA0102"/>
    <s v="Bandung"/>
    <s v="MENU010"/>
    <s v="Espresso"/>
    <s v="KTG0205"/>
    <x v="0"/>
    <n v="2"/>
    <n v="18000"/>
    <n v="0"/>
    <n v="3.5"/>
    <s v="PAY0711"/>
    <x v="2"/>
    <n v="36000"/>
  </r>
  <r>
    <s v="TRX0628"/>
    <s v="TGL0744"/>
    <x v="243"/>
    <s v="CNA0106"/>
    <x v="5"/>
    <n v="30"/>
    <s v="BRCH004"/>
    <x v="3"/>
    <s v="KOA0105"/>
    <s v="Medan"/>
    <s v="MENU002"/>
    <s v="Red Velvet Cake"/>
    <s v="KTG0206"/>
    <x v="1"/>
    <n v="4"/>
    <n v="30000"/>
    <n v="0"/>
    <n v="4"/>
    <s v="PAY0709"/>
    <x v="0"/>
    <n v="120000"/>
  </r>
  <r>
    <s v="TRX0893"/>
    <s v="TGL0745"/>
    <x v="244"/>
    <s v="CNA0234"/>
    <x v="104"/>
    <n v="37"/>
    <s v="BRCH003"/>
    <x v="2"/>
    <s v="KOA0104"/>
    <s v="Surabaya"/>
    <s v="MENU004"/>
    <s v="Matcha Latte"/>
    <s v="KTG0207"/>
    <x v="2"/>
    <n v="1"/>
    <n v="28000"/>
    <n v="0"/>
    <n v="4"/>
    <s v="PAY0709"/>
    <x v="0"/>
    <n v="28000"/>
  </r>
  <r>
    <s v="TRX0975"/>
    <s v="TGL0745"/>
    <x v="244"/>
    <s v="CNA0287"/>
    <x v="128"/>
    <n v="31"/>
    <s v="BRCH001"/>
    <x v="0"/>
    <s v="KOA0102"/>
    <s v="Bandung"/>
    <s v="MENU010"/>
    <s v="Espresso"/>
    <s v="KTG0205"/>
    <x v="0"/>
    <n v="2"/>
    <n v="18000"/>
    <n v="15"/>
    <n v="3.8"/>
    <s v="PAY0709"/>
    <x v="0"/>
    <n v="30600"/>
  </r>
  <r>
    <s v="TRX0154"/>
    <s v="TGL0746"/>
    <x v="245"/>
    <s v="CNA0558"/>
    <x v="177"/>
    <n v="27"/>
    <s v="BRCH005"/>
    <x v="4"/>
    <s v="KOA0106"/>
    <s v="Makassar"/>
    <s v="MENU001"/>
    <s v="Cappuccino"/>
    <s v="KTG0205"/>
    <x v="0"/>
    <n v="4"/>
    <n v="25000"/>
    <n v="20"/>
    <n v="1.7"/>
    <s v="PAY0710"/>
    <x v="1"/>
    <n v="80000"/>
  </r>
  <r>
    <s v="TRX0675"/>
    <s v="TGL0747"/>
    <x v="246"/>
    <s v="CNA0323"/>
    <x v="145"/>
    <n v="18"/>
    <s v="BRCH002"/>
    <x v="1"/>
    <s v="KOA0103"/>
    <s v="Jakarta"/>
    <s v="MENU004"/>
    <s v="Matcha Latte"/>
    <s v="KTG0207"/>
    <x v="2"/>
    <n v="1"/>
    <n v="28000"/>
    <n v="10"/>
    <n v="5"/>
    <s v="PAY0710"/>
    <x v="1"/>
    <n v="25200"/>
  </r>
  <r>
    <s v="TRX0447"/>
    <s v="TGL0748"/>
    <x v="247"/>
    <s v="CNA0560"/>
    <x v="178"/>
    <n v="41"/>
    <s v="BRCH001"/>
    <x v="0"/>
    <s v="KOA0102"/>
    <s v="Bandung"/>
    <s v="MENU006"/>
    <s v="Sandwich Ayam"/>
    <s v="KTG0206"/>
    <x v="1"/>
    <n v="1"/>
    <n v="32000"/>
    <n v="5"/>
    <n v="4"/>
    <s v="PAY0709"/>
    <x v="0"/>
    <n v="30400"/>
  </r>
  <r>
    <s v="TRX0940"/>
    <s v="TGL0749"/>
    <x v="248"/>
    <s v="CNA0453"/>
    <x v="167"/>
    <n v="44"/>
    <s v="BRCH005"/>
    <x v="4"/>
    <s v="KOA0106"/>
    <s v="Makassar"/>
    <s v="MENU003"/>
    <s v="Kopi Susu Gula Aren"/>
    <s v="KTG0205"/>
    <x v="0"/>
    <n v="2"/>
    <n v="22000"/>
    <n v="0"/>
    <n v="2.9"/>
    <s v="PAY0712"/>
    <x v="3"/>
    <n v="44000"/>
  </r>
  <r>
    <s v="TRX0753"/>
    <s v="TGL0749"/>
    <x v="248"/>
    <s v="CNA0342"/>
    <x v="148"/>
    <n v="35"/>
    <s v="BRCH005"/>
    <x v="4"/>
    <s v="KOA0106"/>
    <s v="Makassar"/>
    <s v="MENU006"/>
    <s v="Sandwich Ayam"/>
    <s v="KTG0206"/>
    <x v="1"/>
    <n v="4"/>
    <n v="32000"/>
    <n v="10"/>
    <n v="1.4"/>
    <s v="PAY0712"/>
    <x v="3"/>
    <n v="115200"/>
  </r>
  <r>
    <s v="TRX0745"/>
    <s v="TGL0750"/>
    <x v="249"/>
    <s v="CNA0184"/>
    <x v="72"/>
    <n v="24"/>
    <s v="BRCH002"/>
    <x v="1"/>
    <s v="KOA0103"/>
    <s v="Jakarta"/>
    <s v="MENU003"/>
    <s v="Kopi Susu Gula Aren"/>
    <s v="KTG0205"/>
    <x v="0"/>
    <n v="4"/>
    <n v="22000"/>
    <n v="15"/>
    <n v="3.1"/>
    <s v="PAY0709"/>
    <x v="0"/>
    <n v="74800"/>
  </r>
  <r>
    <s v="TRX0673"/>
    <s v="TGL0751"/>
    <x v="250"/>
    <s v="CNA0240"/>
    <x v="108"/>
    <n v="47"/>
    <s v="BRCH001"/>
    <x v="0"/>
    <s v="KOA0102"/>
    <s v="Bandung"/>
    <s v="MENU002"/>
    <s v="Red Velvet Cake"/>
    <s v="KTG0206"/>
    <x v="1"/>
    <n v="5"/>
    <n v="30000"/>
    <n v="15"/>
    <n v="3.2"/>
    <s v="PAY0711"/>
    <x v="2"/>
    <n v="127500"/>
  </r>
  <r>
    <s v="TRX0729"/>
    <s v="TGL0751"/>
    <x v="250"/>
    <s v="CNA0292"/>
    <x v="132"/>
    <n v="18"/>
    <s v="BRCH004"/>
    <x v="3"/>
    <s v="KOA0105"/>
    <s v="Medan"/>
    <s v="MENU006"/>
    <s v="Sandwich Ayam"/>
    <s v="KTG0206"/>
    <x v="1"/>
    <n v="5"/>
    <n v="32000"/>
    <n v="0"/>
    <n v="1"/>
    <s v="PAY0712"/>
    <x v="3"/>
    <n v="160000"/>
  </r>
  <r>
    <s v="TRX0763"/>
    <s v="TGL0751"/>
    <x v="250"/>
    <s v="CNA0236"/>
    <x v="106"/>
    <n v="20"/>
    <s v="BRCH003"/>
    <x v="2"/>
    <s v="KOA0104"/>
    <s v="Surabaya"/>
    <s v="MENU005"/>
    <s v="Croissant"/>
    <s v="KTG0206"/>
    <x v="1"/>
    <n v="3"/>
    <n v="23000"/>
    <n v="0"/>
    <n v="2.5"/>
    <s v="PAY0712"/>
    <x v="3"/>
    <n v="69000"/>
  </r>
  <r>
    <s v="TRX0744"/>
    <s v="TGL0752"/>
    <x v="251"/>
    <s v="CNA0325"/>
    <x v="146"/>
    <n v="45"/>
    <s v="BRCH005"/>
    <x v="4"/>
    <s v="KOA0106"/>
    <s v="Makassar"/>
    <s v="MENU005"/>
    <s v="Croissant"/>
    <s v="KTG0206"/>
    <x v="1"/>
    <n v="5"/>
    <n v="23000"/>
    <n v="15"/>
    <n v="1.8"/>
    <s v="PAY0710"/>
    <x v="1"/>
    <n v="97750"/>
  </r>
  <r>
    <s v="TRX0138"/>
    <s v="TGL0752"/>
    <x v="251"/>
    <s v="CNA0315"/>
    <x v="141"/>
    <n v="51"/>
    <s v="BRCH005"/>
    <x v="4"/>
    <s v="KOA0106"/>
    <s v="Makassar"/>
    <s v="MENU008"/>
    <s v="Americano"/>
    <s v="KTG0205"/>
    <x v="0"/>
    <n v="4"/>
    <n v="20000"/>
    <n v="15"/>
    <n v="2.6"/>
    <s v="PAY0712"/>
    <x v="3"/>
    <n v="68000"/>
  </r>
  <r>
    <s v="TRX0699"/>
    <s v="TGL0753"/>
    <x v="252"/>
    <s v="CNA0134"/>
    <x v="32"/>
    <n v="54"/>
    <s v="BRCH003"/>
    <x v="2"/>
    <s v="KOA0104"/>
    <s v="Surabaya"/>
    <s v="MENU006"/>
    <s v="Sandwich Ayam"/>
    <s v="KTG0206"/>
    <x v="1"/>
    <n v="2"/>
    <n v="32000"/>
    <n v="0"/>
    <n v="3.7"/>
    <s v="PAY0712"/>
    <x v="3"/>
    <n v="64000"/>
  </r>
  <r>
    <s v="TRX0115"/>
    <s v="TGL0754"/>
    <x v="253"/>
    <s v="CNA0222"/>
    <x v="95"/>
    <n v="34"/>
    <s v="BRCH001"/>
    <x v="0"/>
    <s v="KOA0102"/>
    <s v="Bandung"/>
    <s v="MENU003"/>
    <s v="Kopi Susu Gula Aren"/>
    <s v="KTG0205"/>
    <x v="0"/>
    <n v="1"/>
    <n v="22000"/>
    <n v="15"/>
    <n v="2"/>
    <s v="PAY0710"/>
    <x v="1"/>
    <n v="18700"/>
  </r>
  <r>
    <s v="TRX0110"/>
    <s v="TGL0754"/>
    <x v="253"/>
    <s v="CNA0121"/>
    <x v="20"/>
    <n v="25"/>
    <s v="BRCH002"/>
    <x v="1"/>
    <s v="KOA0103"/>
    <s v="Jakarta"/>
    <s v="MENU001"/>
    <s v="Cappuccino"/>
    <s v="KTG0205"/>
    <x v="0"/>
    <n v="2"/>
    <n v="25000"/>
    <n v="10"/>
    <n v="4.0999999999999996"/>
    <s v="PAY0709"/>
    <x v="0"/>
    <n v="45000"/>
  </r>
  <r>
    <s v="TRX0836"/>
    <s v="TGL0755"/>
    <x v="254"/>
    <s v="CNA0318"/>
    <x v="143"/>
    <n v="27"/>
    <s v="BRCH001"/>
    <x v="0"/>
    <s v="KOA0102"/>
    <s v="Bandung"/>
    <s v="MENU003"/>
    <s v="Kopi Susu Gula Aren"/>
    <s v="KTG0205"/>
    <x v="0"/>
    <n v="1"/>
    <n v="22000"/>
    <n v="20"/>
    <n v="1.4"/>
    <s v="PAY0709"/>
    <x v="0"/>
    <n v="17600"/>
  </r>
  <r>
    <s v="TRX0865"/>
    <s v="TGL0755"/>
    <x v="254"/>
    <s v="CNA0225"/>
    <x v="98"/>
    <n v="25"/>
    <s v="BRCH005"/>
    <x v="4"/>
    <s v="KOA0106"/>
    <s v="Makassar"/>
    <s v="MENU007"/>
    <s v="Chocolate Latte"/>
    <s v="KTG0207"/>
    <x v="2"/>
    <n v="2"/>
    <n v="27000"/>
    <n v="0"/>
    <n v="4"/>
    <s v="PAY0712"/>
    <x v="3"/>
    <n v="54000"/>
  </r>
  <r>
    <s v="TRX0235"/>
    <s v="TGL0756"/>
    <x v="255"/>
    <s v="CNA0180"/>
    <x v="69"/>
    <n v="19"/>
    <s v="BRCH002"/>
    <x v="1"/>
    <s v="KOA0103"/>
    <s v="Jakarta"/>
    <s v="MENU001"/>
    <s v="Cappuccino"/>
    <s v="KTG0205"/>
    <x v="0"/>
    <n v="2"/>
    <n v="25000"/>
    <n v="20"/>
    <n v="2.6"/>
    <s v="PAY0709"/>
    <x v="0"/>
    <n v="40000"/>
  </r>
  <r>
    <s v="TRX0717"/>
    <s v="TGL0757"/>
    <x v="256"/>
    <s v="CNA0185"/>
    <x v="73"/>
    <n v="22"/>
    <s v="BRCH002"/>
    <x v="1"/>
    <s v="KOA0103"/>
    <s v="Jakarta"/>
    <s v="MENU003"/>
    <s v="Kopi Susu Gula Aren"/>
    <s v="KTG0205"/>
    <x v="0"/>
    <n v="5"/>
    <n v="22000"/>
    <n v="0"/>
    <n v="1.9"/>
    <s v="PAY0710"/>
    <x v="1"/>
    <n v="110000"/>
  </r>
  <r>
    <s v="TRX0370"/>
    <s v="TGL0758"/>
    <x v="257"/>
    <s v="CNA0177"/>
    <x v="68"/>
    <n v="38"/>
    <s v="BRCH002"/>
    <x v="1"/>
    <s v="KOA0103"/>
    <s v="Jakarta"/>
    <s v="MENU009"/>
    <s v="Kentang Goreng"/>
    <s v="KTG0206"/>
    <x v="1"/>
    <n v="5"/>
    <n v="18000"/>
    <n v="15"/>
    <n v="3.5"/>
    <s v="PAY0711"/>
    <x v="2"/>
    <n v="76500"/>
  </r>
  <r>
    <s v="TRX0935"/>
    <s v="TGL0758"/>
    <x v="257"/>
    <s v="CNA0323"/>
    <x v="145"/>
    <n v="18"/>
    <s v="BRCH005"/>
    <x v="4"/>
    <s v="KOA0106"/>
    <s v="Makassar"/>
    <s v="MENU004"/>
    <s v="Matcha Latte"/>
    <s v="KTG0207"/>
    <x v="2"/>
    <n v="2"/>
    <n v="28000"/>
    <n v="0"/>
    <n v="4.7"/>
    <s v="PAY0711"/>
    <x v="2"/>
    <n v="56000"/>
  </r>
  <r>
    <s v="TRX0977"/>
    <s v="TGL0759"/>
    <x v="258"/>
    <s v="CNA0323"/>
    <x v="145"/>
    <n v="18"/>
    <s v="BRCH003"/>
    <x v="2"/>
    <s v="KOA0104"/>
    <s v="Surabaya"/>
    <s v="MENU010"/>
    <s v="Espresso"/>
    <s v="KTG0205"/>
    <x v="0"/>
    <n v="4"/>
    <n v="18000"/>
    <n v="20"/>
    <n v="2.1"/>
    <s v="PAY0710"/>
    <x v="1"/>
    <n v="57600"/>
  </r>
  <r>
    <s v="TRX0747"/>
    <s v="TGL0760"/>
    <x v="259"/>
    <s v="CNA0497"/>
    <x v="170"/>
    <n v="25"/>
    <s v="BRCH004"/>
    <x v="3"/>
    <s v="KOA0105"/>
    <s v="Medan"/>
    <s v="MENU001"/>
    <s v="Cappuccino"/>
    <s v="KTG0205"/>
    <x v="0"/>
    <n v="4"/>
    <n v="25000"/>
    <n v="0"/>
    <n v="1.3"/>
    <s v="PAY0709"/>
    <x v="0"/>
    <n v="100000"/>
  </r>
  <r>
    <s v="TRX0435"/>
    <s v="TGL0761"/>
    <x v="260"/>
    <s v="CNA0468"/>
    <x v="168"/>
    <n v="40"/>
    <s v="BRCH003"/>
    <x v="2"/>
    <s v="KOA0104"/>
    <s v="Surabaya"/>
    <s v="MENU006"/>
    <s v="Sandwich Ayam"/>
    <s v="KTG0206"/>
    <x v="1"/>
    <n v="3"/>
    <n v="32000"/>
    <n v="5"/>
    <n v="3.8"/>
    <s v="PAY0710"/>
    <x v="1"/>
    <n v="91200"/>
  </r>
  <r>
    <s v="TRX0999"/>
    <s v="TGL0761"/>
    <x v="260"/>
    <s v="CNA0581"/>
    <x v="179"/>
    <n v="31"/>
    <s v="BRCH004"/>
    <x v="3"/>
    <s v="KOA0105"/>
    <s v="Medan"/>
    <s v="MENU005"/>
    <s v="Croissant"/>
    <s v="KTG0206"/>
    <x v="1"/>
    <n v="2"/>
    <n v="23000"/>
    <n v="5"/>
    <n v="1.9"/>
    <s v="PAY0711"/>
    <x v="2"/>
    <n v="43700"/>
  </r>
  <r>
    <s v="TRX0553"/>
    <s v="TGL0761"/>
    <x v="260"/>
    <s v="CNA0158"/>
    <x v="52"/>
    <n v="48"/>
    <s v="BRCH002"/>
    <x v="1"/>
    <s v="KOA0103"/>
    <s v="Jakarta"/>
    <s v="MENU009"/>
    <s v="Kentang Goreng"/>
    <s v="KTG0206"/>
    <x v="1"/>
    <n v="2"/>
    <n v="18000"/>
    <n v="15"/>
    <n v="2.1"/>
    <s v="PAY0710"/>
    <x v="1"/>
    <n v="30600"/>
  </r>
  <r>
    <s v="TRX0755"/>
    <s v="TGL0762"/>
    <x v="261"/>
    <s v="CNA0186"/>
    <x v="74"/>
    <n v="53"/>
    <s v="BRCH003"/>
    <x v="2"/>
    <s v="KOA0104"/>
    <s v="Surabaya"/>
    <s v="MENU004"/>
    <s v="Matcha Latte"/>
    <s v="KTG0207"/>
    <x v="2"/>
    <n v="2"/>
    <n v="28000"/>
    <n v="15"/>
    <n v="2.8"/>
    <s v="PAY0710"/>
    <x v="1"/>
    <n v="47600"/>
  </r>
  <r>
    <s v="TRX0544"/>
    <s v="TGL0763"/>
    <x v="262"/>
    <s v="CNA0219"/>
    <x v="94"/>
    <n v="23"/>
    <s v="BRCH004"/>
    <x v="3"/>
    <s v="KOA0105"/>
    <s v="Medan"/>
    <s v="MENU010"/>
    <s v="Espresso"/>
    <s v="KTG0205"/>
    <x v="0"/>
    <n v="3"/>
    <n v="18000"/>
    <n v="0"/>
    <n v="2.2000000000000002"/>
    <s v="PAY0712"/>
    <x v="3"/>
    <n v="54000"/>
  </r>
  <r>
    <s v="TRX0537"/>
    <s v="TGL0763"/>
    <x v="262"/>
    <s v="CNA0123"/>
    <x v="22"/>
    <n v="31"/>
    <s v="BRCH001"/>
    <x v="0"/>
    <s v="KOA0102"/>
    <s v="Bandung"/>
    <s v="MENU010"/>
    <s v="Espresso"/>
    <s v="KTG0205"/>
    <x v="0"/>
    <n v="5"/>
    <n v="18000"/>
    <n v="10"/>
    <n v="3.6"/>
    <s v="PAY0712"/>
    <x v="3"/>
    <n v="81000"/>
  </r>
  <r>
    <s v="TRX0238"/>
    <s v="TGL0764"/>
    <x v="263"/>
    <s v="CNA0414"/>
    <x v="162"/>
    <n v="46"/>
    <s v="BRCH001"/>
    <x v="0"/>
    <s v="KOA0102"/>
    <s v="Bandung"/>
    <s v="MENU009"/>
    <s v="Kentang Goreng"/>
    <s v="KTG0206"/>
    <x v="1"/>
    <n v="1"/>
    <n v="18000"/>
    <n v="0"/>
    <n v="3.6"/>
    <s v="PAY0712"/>
    <x v="3"/>
    <n v="18000"/>
  </r>
  <r>
    <s v="TRX0606"/>
    <s v="TGL0765"/>
    <x v="264"/>
    <s v="CNA0136"/>
    <x v="33"/>
    <n v="31"/>
    <s v="BRCH003"/>
    <x v="2"/>
    <s v="KOA0104"/>
    <s v="Surabaya"/>
    <s v="MENU002"/>
    <s v="Red Velvet Cake"/>
    <s v="KTG0206"/>
    <x v="1"/>
    <n v="2"/>
    <n v="30000"/>
    <n v="0"/>
    <n v="3.2"/>
    <s v="PAY0710"/>
    <x v="1"/>
    <n v="60000"/>
  </r>
  <r>
    <s v="TRX0046"/>
    <s v="TGL0766"/>
    <x v="265"/>
    <s v="CNA0434"/>
    <x v="165"/>
    <n v="37"/>
    <s v="BRCH005"/>
    <x v="4"/>
    <s v="KOA0106"/>
    <s v="Makassar"/>
    <s v="MENU005"/>
    <s v="Croissant"/>
    <s v="KTG0206"/>
    <x v="1"/>
    <n v="2"/>
    <n v="23000"/>
    <n v="10"/>
    <n v="3.1"/>
    <s v="PAY0712"/>
    <x v="3"/>
    <n v="41400"/>
  </r>
  <r>
    <s v="TRX0003"/>
    <s v="TGL0766"/>
    <x v="265"/>
    <s v="CNA0225"/>
    <x v="98"/>
    <n v="25"/>
    <s v="BRCH003"/>
    <x v="2"/>
    <s v="KOA0104"/>
    <s v="Surabaya"/>
    <s v="MENU002"/>
    <s v="Red Velvet Cake"/>
    <s v="KTG0206"/>
    <x v="1"/>
    <n v="1"/>
    <n v="30000"/>
    <n v="5"/>
    <n v="3.1"/>
    <s v="PAY0710"/>
    <x v="1"/>
    <n v="28500"/>
  </r>
  <r>
    <s v="TRX0362"/>
    <s v="TGL0767"/>
    <x v="266"/>
    <s v="CNA0126"/>
    <x v="24"/>
    <n v="30"/>
    <s v="BRCH004"/>
    <x v="3"/>
    <s v="KOA0105"/>
    <s v="Medan"/>
    <s v="MENU004"/>
    <s v="Matcha Latte"/>
    <s v="KTG0207"/>
    <x v="2"/>
    <n v="2"/>
    <n v="28000"/>
    <n v="0"/>
    <n v="1.5"/>
    <s v="PAY0710"/>
    <x v="1"/>
    <n v="56000"/>
  </r>
  <r>
    <s v="TRX0221"/>
    <s v="TGL0768"/>
    <x v="267"/>
    <s v="CNA0195"/>
    <x v="79"/>
    <n v="42"/>
    <s v="BRCH005"/>
    <x v="4"/>
    <s v="KOA0106"/>
    <s v="Makassar"/>
    <s v="MENU009"/>
    <s v="Kentang Goreng"/>
    <s v="KTG0206"/>
    <x v="1"/>
    <n v="1"/>
    <n v="18000"/>
    <n v="10"/>
    <n v="1.9"/>
    <s v="PAY0710"/>
    <x v="1"/>
    <n v="16200"/>
  </r>
  <r>
    <s v="TRX0929"/>
    <s v="TGL0769"/>
    <x v="268"/>
    <s v="CNA0312"/>
    <x v="140"/>
    <n v="49"/>
    <s v="BRCH005"/>
    <x v="4"/>
    <s v="KOA0106"/>
    <s v="Makassar"/>
    <s v="MENU009"/>
    <s v="Kentang Goreng"/>
    <s v="KTG0206"/>
    <x v="1"/>
    <n v="4"/>
    <n v="18000"/>
    <n v="0"/>
    <n v="2.9"/>
    <s v="PAY0709"/>
    <x v="0"/>
    <n v="72000"/>
  </r>
  <r>
    <s v="TRX0303"/>
    <s v="TGL0769"/>
    <x v="268"/>
    <s v="CNA0119"/>
    <x v="18"/>
    <n v="35"/>
    <s v="BRCH004"/>
    <x v="3"/>
    <s v="KOA0105"/>
    <s v="Medan"/>
    <s v="MENU006"/>
    <s v="Sandwich Ayam"/>
    <s v="KTG0206"/>
    <x v="1"/>
    <n v="1"/>
    <n v="32000"/>
    <n v="10"/>
    <n v="3.9"/>
    <s v="PAY0712"/>
    <x v="3"/>
    <n v="28800"/>
  </r>
  <r>
    <s v="TRX0156"/>
    <s v="TGL0769"/>
    <x v="268"/>
    <s v="CNA0318"/>
    <x v="143"/>
    <n v="27"/>
    <s v="BRCH004"/>
    <x v="3"/>
    <s v="KOA0105"/>
    <s v="Medan"/>
    <s v="MENU010"/>
    <s v="Espresso"/>
    <s v="KTG0205"/>
    <x v="0"/>
    <n v="3"/>
    <n v="18000"/>
    <n v="0"/>
    <n v="1.7"/>
    <s v="PAY0711"/>
    <x v="2"/>
    <n v="54000"/>
  </r>
  <r>
    <s v="TRX0366"/>
    <s v="TGL0769"/>
    <x v="268"/>
    <s v="CNA0357"/>
    <x v="152"/>
    <n v="25"/>
    <s v="BRCH003"/>
    <x v="2"/>
    <s v="KOA0104"/>
    <s v="Surabaya"/>
    <s v="MENU007"/>
    <s v="Chocolate Latte"/>
    <s v="KTG0207"/>
    <x v="2"/>
    <n v="5"/>
    <n v="27000"/>
    <n v="20"/>
    <n v="2.6"/>
    <s v="PAY0709"/>
    <x v="0"/>
    <n v="108000"/>
  </r>
  <r>
    <s v="TRX0590"/>
    <s v="TGL0770"/>
    <x v="269"/>
    <s v="CNA0223"/>
    <x v="96"/>
    <n v="18"/>
    <s v="BRCH001"/>
    <x v="0"/>
    <s v="KOA0102"/>
    <s v="Bandung"/>
    <s v="MENU007"/>
    <s v="Chocolate Latte"/>
    <s v="KTG0207"/>
    <x v="2"/>
    <n v="3"/>
    <n v="27000"/>
    <n v="10"/>
    <n v="1.7"/>
    <s v="PAY0710"/>
    <x v="1"/>
    <n v="72900"/>
  </r>
  <r>
    <s v="TRX0852"/>
    <s v="TGL0770"/>
    <x v="269"/>
    <s v="CNA0265"/>
    <x v="118"/>
    <n v="42"/>
    <s v="BRCH003"/>
    <x v="2"/>
    <s v="KOA0104"/>
    <s v="Surabaya"/>
    <s v="MENU006"/>
    <s v="Sandwich Ayam"/>
    <s v="KTG0206"/>
    <x v="1"/>
    <n v="1"/>
    <n v="32000"/>
    <n v="5"/>
    <n v="1.3"/>
    <s v="PAY0711"/>
    <x v="2"/>
    <n v="30400"/>
  </r>
  <r>
    <s v="TRX0183"/>
    <s v="TGL0770"/>
    <x v="269"/>
    <s v="CNA0101"/>
    <x v="0"/>
    <n v="27"/>
    <s v="BRCH001"/>
    <x v="0"/>
    <s v="KOA0102"/>
    <s v="Bandung"/>
    <s v="MENU001"/>
    <s v="Cappuccino"/>
    <s v="KTG0205"/>
    <x v="0"/>
    <n v="3"/>
    <n v="25000"/>
    <n v="0"/>
    <n v="3.7"/>
    <s v="PAY0711"/>
    <x v="2"/>
    <n v="75000"/>
  </r>
  <r>
    <s v="TRX0012"/>
    <s v="TGL0770"/>
    <x v="269"/>
    <s v="CNA0303"/>
    <x v="138"/>
    <n v="44"/>
    <s v="BRCH005"/>
    <x v="4"/>
    <s v="KOA0106"/>
    <s v="Makassar"/>
    <s v="MENU010"/>
    <s v="Espresso"/>
    <s v="KTG0205"/>
    <x v="0"/>
    <n v="4"/>
    <n v="18000"/>
    <n v="15"/>
    <n v="2.2999999999999998"/>
    <s v="PAY0711"/>
    <x v="2"/>
    <n v="61200"/>
  </r>
  <r>
    <s v="TRX0880"/>
    <s v="TGL0770"/>
    <x v="269"/>
    <s v="CNA0165"/>
    <x v="56"/>
    <n v="18"/>
    <s v="BRCH003"/>
    <x v="2"/>
    <s v="KOA0104"/>
    <s v="Surabaya"/>
    <s v="MENU003"/>
    <s v="Kopi Susu Gula Aren"/>
    <s v="KTG0205"/>
    <x v="0"/>
    <n v="1"/>
    <n v="22000"/>
    <n v="5"/>
    <n v="4.5"/>
    <s v="PAY0711"/>
    <x v="2"/>
    <n v="20900"/>
  </r>
  <r>
    <s v="TRX0905"/>
    <s v="TGL0771"/>
    <x v="270"/>
    <s v="CNA0497"/>
    <x v="170"/>
    <n v="25"/>
    <s v="BRCH005"/>
    <x v="4"/>
    <s v="KOA0106"/>
    <s v="Makassar"/>
    <s v="MENU005"/>
    <s v="Croissant"/>
    <s v="KTG0206"/>
    <x v="1"/>
    <n v="1"/>
    <n v="23000"/>
    <n v="0"/>
    <n v="3.4"/>
    <s v="PAY0711"/>
    <x v="2"/>
    <n v="23000"/>
  </r>
  <r>
    <s v="TRX0442"/>
    <s v="TGL0772"/>
    <x v="271"/>
    <s v="CNA0411"/>
    <x v="161"/>
    <n v="52"/>
    <s v="BRCH005"/>
    <x v="4"/>
    <s v="KOA0106"/>
    <s v="Makassar"/>
    <s v="MENU003"/>
    <s v="Kopi Susu Gula Aren"/>
    <s v="KTG0205"/>
    <x v="0"/>
    <n v="1"/>
    <n v="22000"/>
    <n v="0"/>
    <n v="1.5"/>
    <s v="PAY0712"/>
    <x v="3"/>
    <n v="22000"/>
  </r>
  <r>
    <s v="TRX0397"/>
    <s v="TGL0772"/>
    <x v="271"/>
    <s v="CNA0126"/>
    <x v="24"/>
    <n v="30"/>
    <s v="BRCH005"/>
    <x v="4"/>
    <s v="KOA0106"/>
    <s v="Makassar"/>
    <s v="MENU009"/>
    <s v="Kentang Goreng"/>
    <s v="KTG0206"/>
    <x v="1"/>
    <n v="1"/>
    <n v="18000"/>
    <n v="20"/>
    <n v="1.5"/>
    <s v="PAY0710"/>
    <x v="1"/>
    <n v="14400"/>
  </r>
  <r>
    <s v="TRX0510"/>
    <s v="TGL0772"/>
    <x v="271"/>
    <s v="CNA0531"/>
    <x v="174"/>
    <n v="45"/>
    <s v="BRCH002"/>
    <x v="1"/>
    <s v="KOA0103"/>
    <s v="Jakarta"/>
    <s v="MENU008"/>
    <s v="Americano"/>
    <s v="KTG0205"/>
    <x v="0"/>
    <n v="2"/>
    <n v="20000"/>
    <n v="5"/>
    <n v="1.5"/>
    <s v="PAY0711"/>
    <x v="2"/>
    <n v="38000"/>
  </r>
  <r>
    <s v="TRX0098"/>
    <s v="TGL0773"/>
    <x v="272"/>
    <s v="CNA0169"/>
    <x v="60"/>
    <n v="53"/>
    <s v="BRCH003"/>
    <x v="2"/>
    <s v="KOA0104"/>
    <s v="Surabaya"/>
    <s v="MENU004"/>
    <s v="Matcha Latte"/>
    <s v="KTG0207"/>
    <x v="2"/>
    <n v="3"/>
    <n v="28000"/>
    <n v="0"/>
    <n v="4.4000000000000004"/>
    <s v="PAY0710"/>
    <x v="1"/>
    <n v="84000"/>
  </r>
  <r>
    <s v="TRX0973"/>
    <s v="TGL0773"/>
    <x v="272"/>
    <s v="CNA0158"/>
    <x v="52"/>
    <n v="48"/>
    <s v="BRCH001"/>
    <x v="0"/>
    <s v="KOA0102"/>
    <s v="Bandung"/>
    <s v="MENU008"/>
    <s v="Americano"/>
    <s v="KTG0205"/>
    <x v="0"/>
    <n v="3"/>
    <n v="20000"/>
    <n v="20"/>
    <n v="2.5"/>
    <s v="PAY0709"/>
    <x v="0"/>
    <n v="48000"/>
  </r>
  <r>
    <s v="TRX0765"/>
    <s v="TGL0773"/>
    <x v="272"/>
    <s v="CNA0558"/>
    <x v="177"/>
    <n v="27"/>
    <s v="BRCH002"/>
    <x v="1"/>
    <s v="KOA0103"/>
    <s v="Jakarta"/>
    <s v="MENU004"/>
    <s v="Matcha Latte"/>
    <s v="KTG0207"/>
    <x v="2"/>
    <n v="4"/>
    <n v="28000"/>
    <n v="0"/>
    <n v="1.9"/>
    <s v="PAY0712"/>
    <x v="3"/>
    <n v="112000"/>
  </r>
  <r>
    <s v="TRX0688"/>
    <s v="TGL0774"/>
    <x v="273"/>
    <s v="CNA0531"/>
    <x v="174"/>
    <n v="45"/>
    <s v="BRCH003"/>
    <x v="2"/>
    <s v="KOA0104"/>
    <s v="Surabaya"/>
    <s v="MENU002"/>
    <s v="Red Velvet Cake"/>
    <s v="KTG0206"/>
    <x v="1"/>
    <n v="1"/>
    <n v="30000"/>
    <n v="0"/>
    <n v="3.5"/>
    <s v="PAY0710"/>
    <x v="1"/>
    <n v="30000"/>
  </r>
  <r>
    <s v="TRX0686"/>
    <s v="TGL0774"/>
    <x v="273"/>
    <s v="CNA0113"/>
    <x v="12"/>
    <n v="33"/>
    <s v="BRCH005"/>
    <x v="4"/>
    <s v="KOA0106"/>
    <s v="Makassar"/>
    <s v="MENU006"/>
    <s v="Sandwich Ayam"/>
    <s v="KTG0206"/>
    <x v="1"/>
    <n v="5"/>
    <n v="32000"/>
    <n v="20"/>
    <n v="2.2000000000000002"/>
    <s v="PAY0711"/>
    <x v="2"/>
    <n v="128000"/>
  </r>
  <r>
    <s v="TRX0170"/>
    <s v="TGL0774"/>
    <x v="273"/>
    <s v="CNA0277"/>
    <x v="124"/>
    <n v="52"/>
    <s v="BRCH004"/>
    <x v="3"/>
    <s v="KOA0105"/>
    <s v="Medan"/>
    <s v="MENU008"/>
    <s v="Americano"/>
    <s v="KTG0205"/>
    <x v="0"/>
    <n v="3"/>
    <n v="20000"/>
    <n v="10"/>
    <n v="4.4000000000000004"/>
    <s v="PAY0712"/>
    <x v="3"/>
    <n v="54000"/>
  </r>
  <r>
    <s v="TRX0602"/>
    <s v="TGL0774"/>
    <x v="273"/>
    <s v="CNA0152"/>
    <x v="47"/>
    <n v="49"/>
    <s v="BRCH003"/>
    <x v="2"/>
    <s v="KOA0104"/>
    <s v="Surabaya"/>
    <s v="MENU005"/>
    <s v="Croissant"/>
    <s v="KTG0206"/>
    <x v="1"/>
    <n v="2"/>
    <n v="23000"/>
    <n v="15"/>
    <n v="1.4"/>
    <s v="PAY0710"/>
    <x v="1"/>
    <n v="39100"/>
  </r>
  <r>
    <s v="TRX0145"/>
    <s v="TGL0775"/>
    <x v="274"/>
    <s v="CNA0155"/>
    <x v="50"/>
    <n v="18"/>
    <s v="BRCH003"/>
    <x v="2"/>
    <s v="KOA0104"/>
    <s v="Surabaya"/>
    <s v="MENU007"/>
    <s v="Chocolate Latte"/>
    <s v="KTG0207"/>
    <x v="2"/>
    <n v="1"/>
    <n v="27000"/>
    <n v="10"/>
    <n v="4.4000000000000004"/>
    <s v="PAY0709"/>
    <x v="0"/>
    <n v="24300"/>
  </r>
  <r>
    <s v="TRX0864"/>
    <s v="TGL0776"/>
    <x v="275"/>
    <s v="CNA0109"/>
    <x v="8"/>
    <n v="45"/>
    <s v="BRCH001"/>
    <x v="0"/>
    <s v="KOA0102"/>
    <s v="Bandung"/>
    <s v="MENU002"/>
    <s v="Red Velvet Cake"/>
    <s v="KTG0206"/>
    <x v="1"/>
    <n v="4"/>
    <n v="30000"/>
    <n v="0"/>
    <n v="2.4"/>
    <s v="PAY0709"/>
    <x v="0"/>
    <n v="120000"/>
  </r>
  <r>
    <s v="TRX0226"/>
    <s v="TGL0777"/>
    <x v="276"/>
    <s v="CNA0299"/>
    <x v="135"/>
    <n v="38"/>
    <s v="BRCH005"/>
    <x v="4"/>
    <s v="KOA0106"/>
    <s v="Makassar"/>
    <s v="MENU001"/>
    <s v="Cappuccino"/>
    <s v="KTG0205"/>
    <x v="0"/>
    <n v="4"/>
    <n v="25000"/>
    <n v="15"/>
    <n v="1.9"/>
    <s v="PAY0710"/>
    <x v="1"/>
    <n v="85000"/>
  </r>
  <r>
    <s v="TRX0436"/>
    <s v="TGL0778"/>
    <x v="277"/>
    <s v="CNA0280"/>
    <x v="126"/>
    <n v="25"/>
    <s v="BRCH001"/>
    <x v="0"/>
    <s v="KOA0102"/>
    <s v="Bandung"/>
    <s v="MENU007"/>
    <s v="Chocolate Latte"/>
    <s v="KTG0207"/>
    <x v="2"/>
    <n v="5"/>
    <n v="27000"/>
    <n v="0"/>
    <n v="4.3"/>
    <s v="PAY0709"/>
    <x v="0"/>
    <n v="135000"/>
  </r>
  <r>
    <s v="TRX0933"/>
    <s v="TGL0779"/>
    <x v="278"/>
    <s v="CNA0195"/>
    <x v="79"/>
    <n v="42"/>
    <s v="BRCH002"/>
    <x v="1"/>
    <s v="KOA0103"/>
    <s v="Jakarta"/>
    <s v="MENU007"/>
    <s v="Chocolate Latte"/>
    <s v="KTG0207"/>
    <x v="2"/>
    <n v="4"/>
    <n v="27000"/>
    <n v="15"/>
    <n v="2.8"/>
    <s v="PAY0712"/>
    <x v="3"/>
    <n v="91800"/>
  </r>
  <r>
    <s v="TRX0568"/>
    <s v="TGL0779"/>
    <x v="278"/>
    <s v="CNA0242"/>
    <x v="109"/>
    <n v="40"/>
    <s v="BRCH004"/>
    <x v="3"/>
    <s v="KOA0105"/>
    <s v="Medan"/>
    <s v="MENU003"/>
    <s v="Kopi Susu Gula Aren"/>
    <s v="KTG0205"/>
    <x v="0"/>
    <n v="1"/>
    <n v="22000"/>
    <n v="0"/>
    <n v="3"/>
    <s v="PAY0711"/>
    <x v="2"/>
    <n v="22000"/>
  </r>
  <r>
    <s v="TRX0925"/>
    <s v="TGL0780"/>
    <x v="279"/>
    <s v="CNA0195"/>
    <x v="79"/>
    <n v="42"/>
    <s v="BRCH004"/>
    <x v="3"/>
    <s v="KOA0105"/>
    <s v="Medan"/>
    <s v="MENU006"/>
    <s v="Sandwich Ayam"/>
    <s v="KTG0206"/>
    <x v="1"/>
    <n v="4"/>
    <n v="32000"/>
    <n v="20"/>
    <n v="1.9"/>
    <s v="PAY0712"/>
    <x v="3"/>
    <n v="102400"/>
  </r>
  <r>
    <s v="TRX0394"/>
    <s v="TGL0780"/>
    <x v="279"/>
    <s v="CNA0390"/>
    <x v="156"/>
    <n v="32"/>
    <s v="BRCH004"/>
    <x v="3"/>
    <s v="KOA0105"/>
    <s v="Medan"/>
    <s v="MENU006"/>
    <s v="Sandwich Ayam"/>
    <s v="KTG0206"/>
    <x v="1"/>
    <n v="3"/>
    <n v="32000"/>
    <n v="0"/>
    <n v="2.2000000000000002"/>
    <s v="PAY0709"/>
    <x v="0"/>
    <n v="96000"/>
  </r>
  <r>
    <s v="TRX0632"/>
    <s v="TGL0781"/>
    <x v="280"/>
    <s v="CNA0147"/>
    <x v="42"/>
    <n v="23"/>
    <s v="BRCH005"/>
    <x v="4"/>
    <s v="KOA0106"/>
    <s v="Makassar"/>
    <s v="MENU004"/>
    <s v="Matcha Latte"/>
    <s v="KTG0207"/>
    <x v="2"/>
    <n v="4"/>
    <n v="28000"/>
    <n v="0"/>
    <n v="2.4"/>
    <s v="PAY0711"/>
    <x v="2"/>
    <n v="112000"/>
  </r>
  <r>
    <s v="TRX0854"/>
    <s v="TGL0781"/>
    <x v="280"/>
    <s v="CNA0278"/>
    <x v="125"/>
    <n v="32"/>
    <s v="BRCH004"/>
    <x v="3"/>
    <s v="KOA0105"/>
    <s v="Medan"/>
    <s v="MENU008"/>
    <s v="Americano"/>
    <s v="KTG0205"/>
    <x v="0"/>
    <n v="3"/>
    <n v="20000"/>
    <n v="20"/>
    <n v="4.9000000000000004"/>
    <s v="PAY0709"/>
    <x v="0"/>
    <n v="48000"/>
  </r>
  <r>
    <s v="TRX0070"/>
    <s v="TGL0782"/>
    <x v="281"/>
    <s v="CNA0232"/>
    <x v="102"/>
    <n v="17"/>
    <s v="BRCH003"/>
    <x v="2"/>
    <s v="KOA0104"/>
    <s v="Surabaya"/>
    <s v="MENU002"/>
    <s v="Red Velvet Cake"/>
    <s v="KTG0206"/>
    <x v="1"/>
    <n v="5"/>
    <n v="30000"/>
    <n v="0"/>
    <n v="1.5"/>
    <s v="PAY0710"/>
    <x v="1"/>
    <n v="150000"/>
  </r>
  <r>
    <s v="TRX0365"/>
    <s v="TGL0782"/>
    <x v="281"/>
    <s v="CNA0157"/>
    <x v="51"/>
    <n v="29"/>
    <s v="BRCH001"/>
    <x v="0"/>
    <s v="KOA0102"/>
    <s v="Bandung"/>
    <s v="MENU002"/>
    <s v="Red Velvet Cake"/>
    <s v="KTG0206"/>
    <x v="1"/>
    <n v="5"/>
    <n v="30000"/>
    <n v="0"/>
    <n v="3.9"/>
    <s v="PAY0709"/>
    <x v="0"/>
    <n v="150000"/>
  </r>
  <r>
    <s v="TRX0624"/>
    <s v="TGL0782"/>
    <x v="281"/>
    <s v="CNA0318"/>
    <x v="143"/>
    <n v="27"/>
    <s v="BRCH003"/>
    <x v="2"/>
    <s v="KOA0104"/>
    <s v="Surabaya"/>
    <s v="MENU008"/>
    <s v="Americano"/>
    <s v="KTG0205"/>
    <x v="0"/>
    <n v="2"/>
    <n v="20000"/>
    <n v="0"/>
    <n v="4.7"/>
    <s v="PAY0712"/>
    <x v="3"/>
    <n v="40000"/>
  </r>
  <r>
    <s v="TRX0319"/>
    <s v="TGL0783"/>
    <x v="282"/>
    <s v="CNA0223"/>
    <x v="96"/>
    <n v="18"/>
    <s v="BRCH003"/>
    <x v="2"/>
    <s v="KOA0104"/>
    <s v="Surabaya"/>
    <s v="MENU010"/>
    <s v="Espresso"/>
    <s v="KTG0205"/>
    <x v="0"/>
    <n v="3"/>
    <n v="18000"/>
    <n v="10"/>
    <n v="1.5"/>
    <s v="PAY0711"/>
    <x v="2"/>
    <n v="48600"/>
  </r>
  <r>
    <s v="TRX0665"/>
    <s v="TGL0784"/>
    <x v="283"/>
    <s v="CNA0199"/>
    <x v="80"/>
    <n v="24"/>
    <s v="BRCH005"/>
    <x v="4"/>
    <s v="KOA0106"/>
    <s v="Makassar"/>
    <s v="MENU007"/>
    <s v="Chocolate Latte"/>
    <s v="KTG0207"/>
    <x v="2"/>
    <n v="3"/>
    <n v="27000"/>
    <n v="20"/>
    <n v="2.6"/>
    <s v="PAY0711"/>
    <x v="2"/>
    <n v="64800"/>
  </r>
  <r>
    <s v="TRX0294"/>
    <s v="TGL0784"/>
    <x v="283"/>
    <s v="CNA0181"/>
    <x v="70"/>
    <n v="43"/>
    <s v="BRCH002"/>
    <x v="1"/>
    <s v="KOA0103"/>
    <s v="Jakarta"/>
    <s v="MENU004"/>
    <s v="Matcha Latte"/>
    <s v="KTG0207"/>
    <x v="2"/>
    <n v="5"/>
    <n v="28000"/>
    <n v="15"/>
    <n v="4.3"/>
    <s v="PAY0711"/>
    <x v="2"/>
    <n v="119000"/>
  </r>
  <r>
    <s v="TRX0402"/>
    <s v="TGL0784"/>
    <x v="283"/>
    <s v="CNA0560"/>
    <x v="178"/>
    <n v="41"/>
    <s v="BRCH005"/>
    <x v="4"/>
    <s v="KOA0106"/>
    <s v="Makassar"/>
    <s v="MENU001"/>
    <s v="Cappuccino"/>
    <s v="KTG0205"/>
    <x v="0"/>
    <n v="2"/>
    <n v="25000"/>
    <n v="20"/>
    <n v="1.1000000000000001"/>
    <s v="PAY0710"/>
    <x v="1"/>
    <n v="40000"/>
  </r>
  <r>
    <s v="TRX0174"/>
    <s v="TGL0785"/>
    <x v="284"/>
    <s v="CNA0219"/>
    <x v="94"/>
    <n v="23"/>
    <s v="BRCH002"/>
    <x v="1"/>
    <s v="KOA0103"/>
    <s v="Jakarta"/>
    <s v="MENU003"/>
    <s v="Kopi Susu Gula Aren"/>
    <s v="KTG0205"/>
    <x v="0"/>
    <n v="1"/>
    <n v="22000"/>
    <n v="5"/>
    <n v="4.2"/>
    <s v="PAY0710"/>
    <x v="1"/>
    <n v="20900"/>
  </r>
  <r>
    <s v="TRX0886"/>
    <s v="TGL0786"/>
    <x v="285"/>
    <s v="CNA0113"/>
    <x v="12"/>
    <n v="33"/>
    <s v="BRCH004"/>
    <x v="3"/>
    <s v="KOA0105"/>
    <s v="Medan"/>
    <s v="MENU006"/>
    <s v="Sandwich Ayam"/>
    <s v="KTG0206"/>
    <x v="1"/>
    <n v="4"/>
    <n v="32000"/>
    <n v="10"/>
    <n v="1.1000000000000001"/>
    <s v="PAY0712"/>
    <x v="3"/>
    <n v="115200"/>
  </r>
  <r>
    <s v="TRX0953"/>
    <s v="TGL0786"/>
    <x v="285"/>
    <s v="CNA0297"/>
    <x v="134"/>
    <n v="28"/>
    <s v="BRCH003"/>
    <x v="2"/>
    <s v="KOA0104"/>
    <s v="Surabaya"/>
    <s v="MENU010"/>
    <s v="Espresso"/>
    <s v="KTG0205"/>
    <x v="0"/>
    <n v="5"/>
    <n v="18000"/>
    <n v="0"/>
    <n v="4.8"/>
    <s v="PAY0712"/>
    <x v="3"/>
    <n v="90000"/>
  </r>
  <r>
    <s v="TRX0439"/>
    <s v="TGL0787"/>
    <x v="286"/>
    <s v="CNA0105"/>
    <x v="4"/>
    <n v="53"/>
    <s v="BRCH002"/>
    <x v="1"/>
    <s v="KOA0103"/>
    <s v="Jakarta"/>
    <s v="MENU006"/>
    <s v="Sandwich Ayam"/>
    <s v="KTG0206"/>
    <x v="1"/>
    <n v="1"/>
    <n v="32000"/>
    <n v="15"/>
    <n v="1.6"/>
    <s v="PAY0709"/>
    <x v="0"/>
    <n v="27200"/>
  </r>
  <r>
    <s v="TRX0093"/>
    <s v="TGL0787"/>
    <x v="286"/>
    <s v="CNA0153"/>
    <x v="48"/>
    <n v="20"/>
    <s v="BRCH003"/>
    <x v="2"/>
    <s v="KOA0104"/>
    <s v="Surabaya"/>
    <s v="MENU009"/>
    <s v="Kentang Goreng"/>
    <s v="KTG0206"/>
    <x v="1"/>
    <n v="4"/>
    <n v="18000"/>
    <n v="5"/>
    <n v="2.2000000000000002"/>
    <s v="PAY0709"/>
    <x v="0"/>
    <n v="68400"/>
  </r>
  <r>
    <s v="TRX0429"/>
    <s v="TGL0787"/>
    <x v="286"/>
    <s v="CNA0138"/>
    <x v="35"/>
    <n v="53"/>
    <s v="BRCH005"/>
    <x v="4"/>
    <s v="KOA0106"/>
    <s v="Makassar"/>
    <s v="MENU001"/>
    <s v="Cappuccino"/>
    <s v="KTG0205"/>
    <x v="0"/>
    <n v="3"/>
    <n v="25000"/>
    <n v="0"/>
    <n v="3.3"/>
    <s v="PAY0710"/>
    <x v="1"/>
    <n v="75000"/>
  </r>
  <r>
    <s v="TRX0566"/>
    <s v="TGL0788"/>
    <x v="287"/>
    <s v="CNA0152"/>
    <x v="47"/>
    <n v="49"/>
    <s v="BRCH005"/>
    <x v="4"/>
    <s v="KOA0106"/>
    <s v="Makassar"/>
    <s v="MENU003"/>
    <s v="Kopi Susu Gula Aren"/>
    <s v="KTG0205"/>
    <x v="0"/>
    <n v="4"/>
    <n v="22000"/>
    <n v="0"/>
    <n v="3.3"/>
    <s v="PAY0710"/>
    <x v="1"/>
    <n v="88000"/>
  </r>
  <r>
    <s v="TRX0470"/>
    <s v="TGL0788"/>
    <x v="287"/>
    <s v="CNA0278"/>
    <x v="125"/>
    <n v="32"/>
    <s v="BRCH003"/>
    <x v="2"/>
    <s v="KOA0104"/>
    <s v="Surabaya"/>
    <s v="MENU002"/>
    <s v="Red Velvet Cake"/>
    <s v="KTG0206"/>
    <x v="1"/>
    <n v="3"/>
    <n v="30000"/>
    <n v="5"/>
    <n v="2.7"/>
    <s v="PAY0710"/>
    <x v="1"/>
    <n v="85500"/>
  </r>
  <r>
    <s v="TRX0065"/>
    <s v="TGL0789"/>
    <x v="288"/>
    <s v="CNA0174"/>
    <x v="65"/>
    <n v="48"/>
    <s v="BRCH003"/>
    <x v="2"/>
    <s v="KOA0104"/>
    <s v="Surabaya"/>
    <s v="MENU003"/>
    <s v="Kopi Susu Gula Aren"/>
    <s v="KTG0205"/>
    <x v="0"/>
    <n v="5"/>
    <n v="22000"/>
    <n v="20"/>
    <n v="3.8"/>
    <s v="PAY0711"/>
    <x v="2"/>
    <n v="88000"/>
  </r>
  <r>
    <s v="TRX0756"/>
    <s v="TGL0790"/>
    <x v="289"/>
    <s v="CNA0126"/>
    <x v="24"/>
    <n v="30"/>
    <s v="BRCH003"/>
    <x v="2"/>
    <s v="KOA0104"/>
    <s v="Surabaya"/>
    <s v="MENU008"/>
    <s v="Americano"/>
    <s v="KTG0205"/>
    <x v="0"/>
    <n v="3"/>
    <n v="20000"/>
    <n v="15"/>
    <n v="3.9"/>
    <s v="PAY0711"/>
    <x v="2"/>
    <n v="51000"/>
  </r>
  <r>
    <s v="TRX0278"/>
    <s v="TGL0790"/>
    <x v="289"/>
    <s v="CNA0130"/>
    <x v="28"/>
    <n v="33"/>
    <s v="BRCH001"/>
    <x v="0"/>
    <s v="KOA0102"/>
    <s v="Bandung"/>
    <s v="MENU002"/>
    <s v="Red Velvet Cake"/>
    <s v="KTG0206"/>
    <x v="1"/>
    <n v="1"/>
    <n v="30000"/>
    <n v="0"/>
    <n v="2.8"/>
    <s v="PAY0710"/>
    <x v="1"/>
    <n v="30000"/>
  </r>
  <r>
    <s v="TRX0676"/>
    <s v="TGL0791"/>
    <x v="290"/>
    <s v="CNA0191"/>
    <x v="77"/>
    <n v="41"/>
    <s v="BRCH003"/>
    <x v="2"/>
    <s v="KOA0104"/>
    <s v="Surabaya"/>
    <s v="MENU001"/>
    <s v="Cappuccino"/>
    <s v="KTG0205"/>
    <x v="0"/>
    <n v="1"/>
    <n v="25000"/>
    <n v="15"/>
    <n v="4.9000000000000004"/>
    <s v="PAY0711"/>
    <x v="2"/>
    <n v="21250"/>
  </r>
  <r>
    <s v="TRX0870"/>
    <s v="TGL0792"/>
    <x v="291"/>
    <s v="CNA0641"/>
    <x v="180"/>
    <n v="41"/>
    <s v="BRCH002"/>
    <x v="1"/>
    <s v="KOA0103"/>
    <s v="Jakarta"/>
    <s v="MENU003"/>
    <s v="Kopi Susu Gula Aren"/>
    <s v="KTG0205"/>
    <x v="0"/>
    <n v="1"/>
    <n v="22000"/>
    <n v="15"/>
    <n v="4.5999999999999996"/>
    <s v="PAY0711"/>
    <x v="2"/>
    <n v="18700"/>
  </r>
  <r>
    <s v="TRX0772"/>
    <s v="TGL0793"/>
    <x v="292"/>
    <s v="CNA0453"/>
    <x v="167"/>
    <n v="44"/>
    <s v="BRCH002"/>
    <x v="1"/>
    <s v="KOA0103"/>
    <s v="Jakarta"/>
    <s v="MENU009"/>
    <s v="Kentang Goreng"/>
    <s v="KTG0206"/>
    <x v="1"/>
    <n v="3"/>
    <n v="18000"/>
    <n v="0"/>
    <n v="1.6"/>
    <s v="PAY0711"/>
    <x v="2"/>
    <n v="54000"/>
  </r>
  <r>
    <s v="TRX0246"/>
    <s v="TGL0794"/>
    <x v="293"/>
    <s v="CNA0453"/>
    <x v="167"/>
    <n v="44"/>
    <s v="BRCH003"/>
    <x v="2"/>
    <s v="KOA0104"/>
    <s v="Surabaya"/>
    <s v="MENU005"/>
    <s v="Croissant"/>
    <s v="KTG0206"/>
    <x v="1"/>
    <n v="3"/>
    <n v="23000"/>
    <n v="0"/>
    <n v="1.5"/>
    <s v="PAY0709"/>
    <x v="0"/>
    <n v="69000"/>
  </r>
  <r>
    <s v="TRX0967"/>
    <s v="TGL0794"/>
    <x v="293"/>
    <s v="CNA0140"/>
    <x v="37"/>
    <n v="43"/>
    <s v="BRCH002"/>
    <x v="1"/>
    <s v="KOA0103"/>
    <s v="Jakarta"/>
    <s v="MENU010"/>
    <s v="Espresso"/>
    <s v="KTG0205"/>
    <x v="0"/>
    <n v="4"/>
    <n v="18000"/>
    <n v="0"/>
    <n v="4.2"/>
    <s v="PAY0711"/>
    <x v="2"/>
    <n v="72000"/>
  </r>
  <r>
    <s v="TRX0316"/>
    <s v="TGL0795"/>
    <x v="294"/>
    <s v="CNA0106"/>
    <x v="5"/>
    <n v="30"/>
    <s v="BRCH005"/>
    <x v="4"/>
    <s v="KOA0106"/>
    <s v="Makassar"/>
    <s v="MENU009"/>
    <s v="Kentang Goreng"/>
    <s v="KTG0206"/>
    <x v="1"/>
    <n v="5"/>
    <n v="18000"/>
    <n v="20"/>
    <n v="2.4"/>
    <s v="PAY0709"/>
    <x v="0"/>
    <n v="72000"/>
  </r>
  <r>
    <s v="TRX0485"/>
    <s v="TGL0796"/>
    <x v="295"/>
    <s v="CNA0646"/>
    <x v="181"/>
    <n v="27"/>
    <s v="BRCH001"/>
    <x v="0"/>
    <s v="KOA0102"/>
    <s v="Bandung"/>
    <s v="MENU004"/>
    <s v="Matcha Latte"/>
    <s v="KTG0207"/>
    <x v="2"/>
    <n v="4"/>
    <n v="28000"/>
    <n v="0"/>
    <n v="1"/>
    <s v="PAY0711"/>
    <x v="2"/>
    <n v="112000"/>
  </r>
  <r>
    <s v="TRX0123"/>
    <s v="TGL0797"/>
    <x v="296"/>
    <s v="CNA0104"/>
    <x v="3"/>
    <n v="41"/>
    <s v="BRCH002"/>
    <x v="1"/>
    <s v="KOA0103"/>
    <s v="Jakarta"/>
    <s v="MENU004"/>
    <s v="Matcha Latte"/>
    <s v="KTG0207"/>
    <x v="2"/>
    <n v="3"/>
    <n v="28000"/>
    <n v="20"/>
    <n v="2.5"/>
    <s v="PAY0710"/>
    <x v="1"/>
    <n v="67200"/>
  </r>
  <r>
    <s v="TRX0623"/>
    <s v="TGL0797"/>
    <x v="296"/>
    <s v="CNA0265"/>
    <x v="118"/>
    <n v="42"/>
    <s v="BRCH001"/>
    <x v="0"/>
    <s v="KOA0102"/>
    <s v="Bandung"/>
    <s v="MENU006"/>
    <s v="Sandwich Ayam"/>
    <s v="KTG0206"/>
    <x v="1"/>
    <n v="1"/>
    <n v="32000"/>
    <n v="15"/>
    <n v="2.4"/>
    <s v="PAY0710"/>
    <x v="1"/>
    <n v="27200"/>
  </r>
  <r>
    <s v="TRX0901"/>
    <s v="TGL0797"/>
    <x v="296"/>
    <s v="CNA0303"/>
    <x v="138"/>
    <n v="44"/>
    <s v="BRCH002"/>
    <x v="1"/>
    <s v="KOA0103"/>
    <s v="Jakarta"/>
    <s v="MENU009"/>
    <s v="Kentang Goreng"/>
    <s v="KTG0206"/>
    <x v="1"/>
    <n v="2"/>
    <n v="18000"/>
    <n v="5"/>
    <n v="2.4"/>
    <s v="PAY0711"/>
    <x v="2"/>
    <n v="34200"/>
  </r>
  <r>
    <s v="TRX0396"/>
    <s v="TGL0798"/>
    <x v="297"/>
    <s v="CNA0453"/>
    <x v="167"/>
    <n v="44"/>
    <s v="BRCH003"/>
    <x v="2"/>
    <s v="KOA0104"/>
    <s v="Surabaya"/>
    <s v="MENU005"/>
    <s v="Croissant"/>
    <s v="KTG0206"/>
    <x v="1"/>
    <n v="3"/>
    <n v="23000"/>
    <n v="0"/>
    <n v="3.7"/>
    <s v="PAY0712"/>
    <x v="3"/>
    <n v="69000"/>
  </r>
  <r>
    <s v="TRX0523"/>
    <s v="TGL0799"/>
    <x v="298"/>
    <s v="CNA0211"/>
    <x v="89"/>
    <n v="49"/>
    <s v="BRCH005"/>
    <x v="4"/>
    <s v="KOA0106"/>
    <s v="Makassar"/>
    <s v="MENU003"/>
    <s v="Kopi Susu Gula Aren"/>
    <s v="KTG0205"/>
    <x v="0"/>
    <n v="4"/>
    <n v="22000"/>
    <n v="15"/>
    <n v="3.3"/>
    <s v="PAY0709"/>
    <x v="0"/>
    <n v="74800"/>
  </r>
  <r>
    <s v="TRX0460"/>
    <s v="TGL0800"/>
    <x v="299"/>
    <s v="CNA0101"/>
    <x v="0"/>
    <n v="27"/>
    <s v="BRCH003"/>
    <x v="2"/>
    <s v="KOA0104"/>
    <s v="Surabaya"/>
    <s v="MENU009"/>
    <s v="Kentang Goreng"/>
    <s v="KTG0206"/>
    <x v="1"/>
    <n v="5"/>
    <n v="18000"/>
    <n v="0"/>
    <n v="2"/>
    <s v="PAY0709"/>
    <x v="0"/>
    <n v="90000"/>
  </r>
  <r>
    <s v="TRX0801"/>
    <s v="TGL0801"/>
    <x v="300"/>
    <s v="CNA0278"/>
    <x v="125"/>
    <n v="32"/>
    <s v="BRCH004"/>
    <x v="3"/>
    <s v="KOA0105"/>
    <s v="Medan"/>
    <s v="MENU004"/>
    <s v="Matcha Latte"/>
    <s v="KTG0207"/>
    <x v="2"/>
    <n v="3"/>
    <n v="28000"/>
    <n v="20"/>
    <n v="1.7"/>
    <s v="PAY0709"/>
    <x v="0"/>
    <n v="67200"/>
  </r>
  <r>
    <s v="TRX0972"/>
    <s v="TGL0801"/>
    <x v="300"/>
    <s v="CNA0654"/>
    <x v="182"/>
    <n v="35"/>
    <s v="BRCH003"/>
    <x v="2"/>
    <s v="KOA0104"/>
    <s v="Surabaya"/>
    <s v="MENU003"/>
    <s v="Kopi Susu Gula Aren"/>
    <s v="KTG0205"/>
    <x v="0"/>
    <n v="5"/>
    <n v="22000"/>
    <n v="10"/>
    <n v="4.7"/>
    <s v="PAY0709"/>
    <x v="0"/>
    <n v="99000"/>
  </r>
  <r>
    <s v="TRX0711"/>
    <s v="TGL0802"/>
    <x v="301"/>
    <s v="CNA0233"/>
    <x v="103"/>
    <n v="18"/>
    <s v="BRCH003"/>
    <x v="2"/>
    <s v="KOA0104"/>
    <s v="Surabaya"/>
    <s v="MENU006"/>
    <s v="Sandwich Ayam"/>
    <s v="KTG0206"/>
    <x v="1"/>
    <n v="2"/>
    <n v="32000"/>
    <n v="10"/>
    <n v="3.5"/>
    <s v="PAY0712"/>
    <x v="3"/>
    <n v="57600"/>
  </r>
  <r>
    <s v="TRX0056"/>
    <s v="TGL0802"/>
    <x v="301"/>
    <s v="CNA0426"/>
    <x v="164"/>
    <n v="38"/>
    <s v="BRCH002"/>
    <x v="1"/>
    <s v="KOA0103"/>
    <s v="Jakarta"/>
    <s v="MENU007"/>
    <s v="Chocolate Latte"/>
    <s v="KTG0207"/>
    <x v="2"/>
    <n v="5"/>
    <n v="27000"/>
    <n v="20"/>
    <n v="1.4"/>
    <s v="PAY0711"/>
    <x v="2"/>
    <n v="108000"/>
  </r>
  <r>
    <s v="TRX0187"/>
    <s v="TGL0803"/>
    <x v="302"/>
    <s v="CNA0205"/>
    <x v="86"/>
    <n v="17"/>
    <s v="BRCH002"/>
    <x v="1"/>
    <s v="KOA0103"/>
    <s v="Jakarta"/>
    <s v="MENU007"/>
    <s v="Chocolate Latte"/>
    <s v="KTG0207"/>
    <x v="2"/>
    <n v="2"/>
    <n v="27000"/>
    <n v="15"/>
    <n v="1.6"/>
    <s v="PAY0709"/>
    <x v="0"/>
    <n v="45900"/>
  </r>
  <r>
    <s v="TRX0125"/>
    <s v="TGL0803"/>
    <x v="302"/>
    <s v="CNA0183"/>
    <x v="71"/>
    <n v="54"/>
    <s v="BRCH005"/>
    <x v="4"/>
    <s v="KOA0106"/>
    <s v="Makassar"/>
    <s v="MENU005"/>
    <s v="Croissant"/>
    <s v="KTG0206"/>
    <x v="1"/>
    <n v="1"/>
    <n v="23000"/>
    <n v="10"/>
    <n v="3.2"/>
    <s v="PAY0710"/>
    <x v="1"/>
    <n v="20700"/>
  </r>
  <r>
    <s v="TRX0355"/>
    <s v="TGL0803"/>
    <x v="302"/>
    <s v="CNA0123"/>
    <x v="22"/>
    <n v="31"/>
    <s v="BRCH004"/>
    <x v="3"/>
    <s v="KOA0105"/>
    <s v="Medan"/>
    <s v="MENU008"/>
    <s v="Americano"/>
    <s v="KTG0205"/>
    <x v="0"/>
    <n v="4"/>
    <n v="20000"/>
    <n v="0"/>
    <n v="4.3"/>
    <s v="PAY0709"/>
    <x v="0"/>
    <n v="80000"/>
  </r>
  <r>
    <s v="TRX0654"/>
    <s v="TGL0804"/>
    <x v="303"/>
    <s v="CNA0225"/>
    <x v="98"/>
    <n v="25"/>
    <s v="BRCH004"/>
    <x v="3"/>
    <s v="KOA0105"/>
    <s v="Medan"/>
    <s v="MENU009"/>
    <s v="Kentang Goreng"/>
    <s v="KTG0206"/>
    <x v="1"/>
    <n v="5"/>
    <n v="18000"/>
    <n v="0"/>
    <n v="3.9"/>
    <s v="PAY0710"/>
    <x v="1"/>
    <n v="90000"/>
  </r>
  <r>
    <s v="TRX0283"/>
    <s v="TGL0804"/>
    <x v="303"/>
    <s v="CNA0174"/>
    <x v="65"/>
    <n v="48"/>
    <s v="BRCH002"/>
    <x v="1"/>
    <s v="KOA0103"/>
    <s v="Jakarta"/>
    <s v="MENU004"/>
    <s v="Matcha Latte"/>
    <s v="KTG0207"/>
    <x v="2"/>
    <n v="3"/>
    <n v="28000"/>
    <n v="5"/>
    <n v="3.8"/>
    <s v="PAY0709"/>
    <x v="0"/>
    <n v="79800"/>
  </r>
  <r>
    <s v="TRX0323"/>
    <s v="TGL0805"/>
    <x v="304"/>
    <s v="CNA0497"/>
    <x v="170"/>
    <n v="25"/>
    <s v="BRCH001"/>
    <x v="0"/>
    <s v="KOA0102"/>
    <s v="Bandung"/>
    <s v="MENU006"/>
    <s v="Sandwich Ayam"/>
    <s v="KTG0206"/>
    <x v="1"/>
    <n v="3"/>
    <n v="32000"/>
    <n v="10"/>
    <n v="1.3"/>
    <s v="PAY0710"/>
    <x v="1"/>
    <n v="86400"/>
  </r>
  <r>
    <s v="TRX0309"/>
    <s v="TGL0805"/>
    <x v="304"/>
    <s v="CNA0224"/>
    <x v="97"/>
    <n v="49"/>
    <s v="BRCH003"/>
    <x v="2"/>
    <s v="KOA0104"/>
    <s v="Surabaya"/>
    <s v="MENU004"/>
    <s v="Matcha Latte"/>
    <s v="KTG0207"/>
    <x v="2"/>
    <n v="4"/>
    <n v="28000"/>
    <n v="5"/>
    <n v="4.3"/>
    <s v="PAY0709"/>
    <x v="0"/>
    <n v="106400"/>
  </r>
  <r>
    <s v="TRX0855"/>
    <s v="TGL0805"/>
    <x v="304"/>
    <s v="CNA0333"/>
    <x v="147"/>
    <n v="27"/>
    <s v="BRCH004"/>
    <x v="3"/>
    <s v="KOA0105"/>
    <s v="Medan"/>
    <s v="MENU004"/>
    <s v="Matcha Latte"/>
    <s v="KTG0207"/>
    <x v="2"/>
    <n v="2"/>
    <n v="28000"/>
    <n v="10"/>
    <n v="2.4"/>
    <s v="PAY0710"/>
    <x v="1"/>
    <n v="50400"/>
  </r>
  <r>
    <s v="TRX0258"/>
    <s v="TGL0806"/>
    <x v="305"/>
    <s v="CNA0174"/>
    <x v="65"/>
    <n v="48"/>
    <s v="BRCH004"/>
    <x v="3"/>
    <s v="KOA0105"/>
    <s v="Medan"/>
    <s v="MENU007"/>
    <s v="Chocolate Latte"/>
    <s v="KTG0207"/>
    <x v="2"/>
    <n v="4"/>
    <n v="27000"/>
    <n v="0"/>
    <n v="3.7"/>
    <s v="PAY0712"/>
    <x v="3"/>
    <n v="108000"/>
  </r>
  <r>
    <s v="TRX0304"/>
    <s v="TGL0806"/>
    <x v="305"/>
    <s v="CNA0348"/>
    <x v="150"/>
    <n v="42"/>
    <s v="BRCH003"/>
    <x v="2"/>
    <s v="KOA0104"/>
    <s v="Surabaya"/>
    <s v="MENU003"/>
    <s v="Kopi Susu Gula Aren"/>
    <s v="KTG0205"/>
    <x v="0"/>
    <n v="1"/>
    <n v="22000"/>
    <n v="5"/>
    <n v="4.9000000000000004"/>
    <s v="PAY0709"/>
    <x v="0"/>
    <n v="20900"/>
  </r>
  <r>
    <s v="TRX0053"/>
    <s v="TGL0807"/>
    <x v="306"/>
    <s v="CNA0217"/>
    <x v="93"/>
    <n v="25"/>
    <s v="BRCH001"/>
    <x v="0"/>
    <s v="KOA0102"/>
    <s v="Bandung"/>
    <s v="MENU005"/>
    <s v="Croissant"/>
    <s v="KTG0206"/>
    <x v="1"/>
    <n v="4"/>
    <n v="23000"/>
    <n v="0"/>
    <n v="2.1"/>
    <s v="PAY0710"/>
    <x v="1"/>
    <n v="92000"/>
  </r>
  <r>
    <s v="TRX0336"/>
    <s v="TGL0807"/>
    <x v="306"/>
    <s v="CNA0537"/>
    <x v="175"/>
    <n v="19"/>
    <s v="BRCH002"/>
    <x v="1"/>
    <s v="KOA0103"/>
    <s v="Jakarta"/>
    <s v="MENU010"/>
    <s v="Espresso"/>
    <s v="KTG0205"/>
    <x v="0"/>
    <n v="3"/>
    <n v="18000"/>
    <n v="10"/>
    <n v="4.9000000000000004"/>
    <s v="PAY0710"/>
    <x v="1"/>
    <n v="48600"/>
  </r>
  <r>
    <s v="TRX0140"/>
    <s v="TGL0808"/>
    <x v="307"/>
    <s v="CNA0188"/>
    <x v="76"/>
    <n v="19"/>
    <s v="BRCH001"/>
    <x v="0"/>
    <s v="KOA0102"/>
    <s v="Bandung"/>
    <s v="MENU006"/>
    <s v="Sandwich Ayam"/>
    <s v="KTG0206"/>
    <x v="1"/>
    <n v="5"/>
    <n v="32000"/>
    <n v="0"/>
    <n v="4.5"/>
    <s v="PAY0711"/>
    <x v="2"/>
    <n v="160000"/>
  </r>
  <r>
    <s v="TRX0552"/>
    <s v="TGL0809"/>
    <x v="308"/>
    <s v="CNA0670"/>
    <x v="183"/>
    <n v="39"/>
    <s v="BRCH002"/>
    <x v="1"/>
    <s v="KOA0103"/>
    <s v="Jakarta"/>
    <s v="MENU004"/>
    <s v="Matcha Latte"/>
    <s v="KTG0207"/>
    <x v="2"/>
    <n v="4"/>
    <n v="28000"/>
    <n v="0"/>
    <n v="4.0999999999999996"/>
    <s v="PAY0711"/>
    <x v="2"/>
    <n v="112000"/>
  </r>
  <r>
    <s v="TRX0059"/>
    <s v="TGL0809"/>
    <x v="308"/>
    <s v="CNA0200"/>
    <x v="81"/>
    <n v="51"/>
    <s v="BRCH003"/>
    <x v="2"/>
    <s v="KOA0104"/>
    <s v="Surabaya"/>
    <s v="MENU005"/>
    <s v="Croissant"/>
    <s v="KTG0206"/>
    <x v="1"/>
    <n v="2"/>
    <n v="23000"/>
    <n v="20"/>
    <n v="1.4"/>
    <s v="PAY0709"/>
    <x v="0"/>
    <n v="36800"/>
  </r>
  <r>
    <s v="TRX0524"/>
    <s v="TGL0809"/>
    <x v="308"/>
    <s v="CNA0269"/>
    <x v="120"/>
    <n v="34"/>
    <s v="BRCH004"/>
    <x v="3"/>
    <s v="KOA0105"/>
    <s v="Medan"/>
    <s v="MENU010"/>
    <s v="Espresso"/>
    <s v="KTG0205"/>
    <x v="0"/>
    <n v="1"/>
    <n v="18000"/>
    <n v="15"/>
    <n v="1"/>
    <s v="PAY0712"/>
    <x v="3"/>
    <n v="15300"/>
  </r>
  <r>
    <s v="TRX0780"/>
    <s v="TGL0810"/>
    <x v="309"/>
    <s v="CNA0402"/>
    <x v="159"/>
    <n v="19"/>
    <s v="BRCH005"/>
    <x v="4"/>
    <s v="KOA0106"/>
    <s v="Makassar"/>
    <s v="MENU004"/>
    <s v="Matcha Latte"/>
    <s v="KTG0207"/>
    <x v="2"/>
    <n v="3"/>
    <n v="28000"/>
    <n v="20"/>
    <n v="1.5"/>
    <s v="PAY0711"/>
    <x v="2"/>
    <n v="67200"/>
  </r>
  <r>
    <s v="TRX0421"/>
    <s v="TGL0810"/>
    <x v="309"/>
    <s v="CNA0674"/>
    <x v="184"/>
    <n v="30"/>
    <s v="BRCH004"/>
    <x v="3"/>
    <s v="KOA0105"/>
    <s v="Medan"/>
    <s v="MENU006"/>
    <s v="Sandwich Ayam"/>
    <s v="KTG0206"/>
    <x v="1"/>
    <n v="5"/>
    <n v="32000"/>
    <n v="20"/>
    <n v="4.5"/>
    <s v="PAY0709"/>
    <x v="0"/>
    <n v="128000"/>
  </r>
  <r>
    <s v="TRX0579"/>
    <s v="TGL0811"/>
    <x v="310"/>
    <s v="CNA0381"/>
    <x v="154"/>
    <n v="40"/>
    <s v="BRCH001"/>
    <x v="0"/>
    <s v="KOA0102"/>
    <s v="Bandung"/>
    <s v="MENU008"/>
    <s v="Americano"/>
    <s v="KTG0205"/>
    <x v="0"/>
    <n v="3"/>
    <n v="20000"/>
    <n v="0"/>
    <n v="2.8"/>
    <s v="PAY0710"/>
    <x v="1"/>
    <n v="60000"/>
  </r>
  <r>
    <s v="TRX0028"/>
    <s v="TGL0812"/>
    <x v="311"/>
    <s v="CNA0344"/>
    <x v="149"/>
    <n v="43"/>
    <s v="BRCH001"/>
    <x v="0"/>
    <s v="KOA0102"/>
    <s v="Bandung"/>
    <s v="MENU006"/>
    <s v="Sandwich Ayam"/>
    <s v="KTG0206"/>
    <x v="1"/>
    <n v="3"/>
    <n v="32000"/>
    <n v="5"/>
    <n v="4.4000000000000004"/>
    <s v="PAY0712"/>
    <x v="3"/>
    <n v="91200"/>
  </r>
  <r>
    <s v="TRX0585"/>
    <s v="TGL0813"/>
    <x v="312"/>
    <s v="CNA0208"/>
    <x v="88"/>
    <n v="21"/>
    <s v="BRCH002"/>
    <x v="1"/>
    <s v="KOA0103"/>
    <s v="Jakarta"/>
    <s v="MENU006"/>
    <s v="Sandwich Ayam"/>
    <s v="KTG0206"/>
    <x v="1"/>
    <n v="5"/>
    <n v="32000"/>
    <n v="20"/>
    <n v="2.8"/>
    <s v="PAY0709"/>
    <x v="0"/>
    <n v="128000"/>
  </r>
  <r>
    <s v="TRX0486"/>
    <s v="TGL0813"/>
    <x v="312"/>
    <s v="CNA0114"/>
    <x v="13"/>
    <n v="51"/>
    <s v="BRCH003"/>
    <x v="2"/>
    <s v="KOA0104"/>
    <s v="Surabaya"/>
    <s v="MENU002"/>
    <s v="Red Velvet Cake"/>
    <s v="KTG0206"/>
    <x v="1"/>
    <n v="4"/>
    <n v="30000"/>
    <n v="20"/>
    <n v="3"/>
    <s v="PAY0712"/>
    <x v="3"/>
    <n v="96000"/>
  </r>
  <r>
    <s v="TRX0879"/>
    <s v="TGL0813"/>
    <x v="312"/>
    <s v="CNA0214"/>
    <x v="91"/>
    <n v="18"/>
    <s v="BRCH003"/>
    <x v="2"/>
    <s v="KOA0104"/>
    <s v="Surabaya"/>
    <s v="MENU009"/>
    <s v="Kentang Goreng"/>
    <s v="KTG0206"/>
    <x v="1"/>
    <n v="5"/>
    <n v="18000"/>
    <n v="0"/>
    <n v="3.5"/>
    <s v="PAY0711"/>
    <x v="2"/>
    <n v="90000"/>
  </r>
  <r>
    <s v="TRX0877"/>
    <s v="TGL0814"/>
    <x v="313"/>
    <s v="CNA0670"/>
    <x v="183"/>
    <n v="39"/>
    <s v="BRCH003"/>
    <x v="2"/>
    <s v="KOA0104"/>
    <s v="Surabaya"/>
    <s v="MENU009"/>
    <s v="Kentang Goreng"/>
    <s v="KTG0206"/>
    <x v="1"/>
    <n v="3"/>
    <n v="18000"/>
    <n v="0"/>
    <n v="2.4"/>
    <s v="PAY0711"/>
    <x v="2"/>
    <n v="54000"/>
  </r>
  <r>
    <s v="TRX0437"/>
    <s v="TGL0815"/>
    <x v="314"/>
    <s v="CNA0167"/>
    <x v="58"/>
    <n v="38"/>
    <s v="BRCH003"/>
    <x v="2"/>
    <s v="KOA0104"/>
    <s v="Surabaya"/>
    <s v="MENU004"/>
    <s v="Matcha Latte"/>
    <s v="KTG0207"/>
    <x v="2"/>
    <n v="5"/>
    <n v="28000"/>
    <n v="0"/>
    <n v="2.2999999999999998"/>
    <s v="PAY0712"/>
    <x v="3"/>
    <n v="140000"/>
  </r>
  <r>
    <s v="TRX0132"/>
    <s v="TGL0815"/>
    <x v="314"/>
    <s v="CNA0233"/>
    <x v="103"/>
    <n v="18"/>
    <s v="BRCH005"/>
    <x v="4"/>
    <s v="KOA0106"/>
    <s v="Makassar"/>
    <s v="MENU003"/>
    <s v="Kopi Susu Gula Aren"/>
    <s v="KTG0205"/>
    <x v="0"/>
    <n v="2"/>
    <n v="22000"/>
    <n v="20"/>
    <n v="2.4"/>
    <s v="PAY0710"/>
    <x v="1"/>
    <n v="35200"/>
  </r>
  <r>
    <s v="TRX0403"/>
    <s v="TGL0816"/>
    <x v="315"/>
    <s v="CNA0223"/>
    <x v="96"/>
    <n v="18"/>
    <s v="BRCH002"/>
    <x v="1"/>
    <s v="KOA0103"/>
    <s v="Jakarta"/>
    <s v="MENU007"/>
    <s v="Chocolate Latte"/>
    <s v="KTG0207"/>
    <x v="2"/>
    <n v="3"/>
    <n v="27000"/>
    <n v="0"/>
    <n v="2"/>
    <s v="PAY0712"/>
    <x v="3"/>
    <n v="81000"/>
  </r>
  <r>
    <s v="TRX0718"/>
    <s v="TGL0817"/>
    <x v="316"/>
    <s v="CNA0170"/>
    <x v="61"/>
    <n v="18"/>
    <s v="BRCH002"/>
    <x v="1"/>
    <s v="KOA0103"/>
    <s v="Jakarta"/>
    <s v="MENU007"/>
    <s v="Chocolate Latte"/>
    <s v="KTG0207"/>
    <x v="2"/>
    <n v="1"/>
    <n v="27000"/>
    <n v="10"/>
    <n v="1.8"/>
    <s v="PAY0709"/>
    <x v="0"/>
    <n v="24300"/>
  </r>
  <r>
    <s v="TRX0774"/>
    <s v="TGL0817"/>
    <x v="316"/>
    <s v="CNA0318"/>
    <x v="143"/>
    <n v="27"/>
    <s v="BRCH005"/>
    <x v="4"/>
    <s v="KOA0106"/>
    <s v="Makassar"/>
    <s v="MENU010"/>
    <s v="Espresso"/>
    <s v="KTG0205"/>
    <x v="0"/>
    <n v="4"/>
    <n v="18000"/>
    <n v="20"/>
    <n v="2.4"/>
    <s v="PAY0711"/>
    <x v="2"/>
    <n v="57600"/>
  </r>
  <r>
    <s v="TRX0817"/>
    <s v="TGL0818"/>
    <x v="317"/>
    <s v="CNA0169"/>
    <x v="60"/>
    <n v="53"/>
    <s v="BRCH004"/>
    <x v="3"/>
    <s v="KOA0105"/>
    <s v="Medan"/>
    <s v="MENU001"/>
    <s v="Cappuccino"/>
    <s v="KTG0205"/>
    <x v="0"/>
    <n v="4"/>
    <n v="25000"/>
    <n v="10"/>
    <n v="1.7"/>
    <s v="PAY0709"/>
    <x v="0"/>
    <n v="90000"/>
  </r>
  <r>
    <s v="TRX0839"/>
    <s v="TGL0818"/>
    <x v="317"/>
    <s v="CNA0318"/>
    <x v="143"/>
    <n v="27"/>
    <s v="BRCH005"/>
    <x v="4"/>
    <s v="KOA0106"/>
    <s v="Makassar"/>
    <s v="MENU004"/>
    <s v="Matcha Latte"/>
    <s v="KTG0207"/>
    <x v="2"/>
    <n v="2"/>
    <n v="28000"/>
    <n v="5"/>
    <n v="3.1"/>
    <s v="PAY0710"/>
    <x v="1"/>
    <n v="53200"/>
  </r>
  <r>
    <s v="TRX0277"/>
    <s v="TGL0819"/>
    <x v="318"/>
    <s v="CNA0670"/>
    <x v="183"/>
    <n v="39"/>
    <s v="BRCH003"/>
    <x v="2"/>
    <s v="KOA0104"/>
    <s v="Surabaya"/>
    <s v="MENU005"/>
    <s v="Croissant"/>
    <s v="KTG0206"/>
    <x v="1"/>
    <n v="1"/>
    <n v="23000"/>
    <n v="20"/>
    <n v="3.9"/>
    <s v="PAY0712"/>
    <x v="3"/>
    <n v="18400"/>
  </r>
  <r>
    <s v="TRX0376"/>
    <s v="TGL0820"/>
    <x v="319"/>
    <s v="CNA0558"/>
    <x v="177"/>
    <n v="27"/>
    <s v="BRCH002"/>
    <x v="1"/>
    <s v="KOA0103"/>
    <s v="Jakarta"/>
    <s v="MENU008"/>
    <s v="Americano"/>
    <s v="KTG0205"/>
    <x v="0"/>
    <n v="5"/>
    <n v="20000"/>
    <n v="0"/>
    <n v="4.2"/>
    <s v="PAY0711"/>
    <x v="2"/>
    <n v="100000"/>
  </r>
  <r>
    <s v="TRX0427"/>
    <s v="TGL0820"/>
    <x v="319"/>
    <s v="CNA0244"/>
    <x v="110"/>
    <n v="39"/>
    <s v="BRCH003"/>
    <x v="2"/>
    <s v="KOA0104"/>
    <s v="Surabaya"/>
    <s v="MENU007"/>
    <s v="Chocolate Latte"/>
    <s v="KTG0207"/>
    <x v="2"/>
    <n v="1"/>
    <n v="27000"/>
    <n v="0"/>
    <n v="1.5"/>
    <s v="PAY0712"/>
    <x v="3"/>
    <n v="27000"/>
  </r>
  <r>
    <s v="TRX0007"/>
    <s v="TGL0820"/>
    <x v="319"/>
    <s v="CNA0255"/>
    <x v="114"/>
    <n v="30"/>
    <s v="BRCH005"/>
    <x v="4"/>
    <s v="KOA0106"/>
    <s v="Makassar"/>
    <s v="MENU008"/>
    <s v="Americano"/>
    <s v="KTG0205"/>
    <x v="0"/>
    <n v="1"/>
    <n v="20000"/>
    <n v="0"/>
    <n v="3"/>
    <s v="PAY0710"/>
    <x v="1"/>
    <n v="20000"/>
  </r>
  <r>
    <s v="TRX0253"/>
    <s v="TGL0821"/>
    <x v="320"/>
    <s v="CNA0138"/>
    <x v="35"/>
    <n v="53"/>
    <s v="BRCH005"/>
    <x v="4"/>
    <s v="KOA0106"/>
    <s v="Makassar"/>
    <s v="MENU004"/>
    <s v="Matcha Latte"/>
    <s v="KTG0207"/>
    <x v="2"/>
    <n v="1"/>
    <n v="28000"/>
    <n v="5"/>
    <n v="3.7"/>
    <s v="PAY0709"/>
    <x v="0"/>
    <n v="26600"/>
  </r>
  <r>
    <s v="TRX0986"/>
    <s v="TGL0822"/>
    <x v="321"/>
    <s v="CNA0134"/>
    <x v="32"/>
    <n v="54"/>
    <s v="BRCH001"/>
    <x v="0"/>
    <s v="KOA0102"/>
    <s v="Bandung"/>
    <s v="MENU010"/>
    <s v="Espresso"/>
    <s v="KTG0205"/>
    <x v="0"/>
    <n v="5"/>
    <n v="18000"/>
    <n v="0"/>
    <n v="3.5"/>
    <s v="PAY0712"/>
    <x v="3"/>
    <n v="90000"/>
  </r>
  <r>
    <s v="TRX0269"/>
    <s v="TGL0822"/>
    <x v="321"/>
    <s v="CNA0118"/>
    <x v="17"/>
    <n v="22"/>
    <s v="BRCH003"/>
    <x v="2"/>
    <s v="KOA0104"/>
    <s v="Surabaya"/>
    <s v="MENU004"/>
    <s v="Matcha Latte"/>
    <s v="KTG0207"/>
    <x v="2"/>
    <n v="5"/>
    <n v="28000"/>
    <n v="20"/>
    <n v="3"/>
    <s v="PAY0710"/>
    <x v="1"/>
    <n v="112000"/>
  </r>
  <r>
    <s v="TRX0904"/>
    <s v="TGL0822"/>
    <x v="321"/>
    <s v="CNA0219"/>
    <x v="94"/>
    <n v="23"/>
    <s v="BRCH003"/>
    <x v="2"/>
    <s v="KOA0104"/>
    <s v="Surabaya"/>
    <s v="MENU006"/>
    <s v="Sandwich Ayam"/>
    <s v="KTG0206"/>
    <x v="1"/>
    <n v="2"/>
    <n v="32000"/>
    <n v="0"/>
    <n v="3.3"/>
    <s v="PAY0709"/>
    <x v="0"/>
    <n v="64000"/>
  </r>
  <r>
    <s v="TRX0749"/>
    <s v="TGL0823"/>
    <x v="322"/>
    <s v="CNA0696"/>
    <x v="185"/>
    <n v="34"/>
    <s v="BRCH003"/>
    <x v="2"/>
    <s v="KOA0104"/>
    <s v="Surabaya"/>
    <s v="MENU007"/>
    <s v="Chocolate Latte"/>
    <s v="KTG0207"/>
    <x v="2"/>
    <n v="5"/>
    <n v="27000"/>
    <n v="0"/>
    <n v="2.2999999999999998"/>
    <s v="PAY0710"/>
    <x v="1"/>
    <n v="135000"/>
  </r>
  <r>
    <s v="TRX0882"/>
    <s v="TGL0824"/>
    <x v="323"/>
    <s v="CNA0124"/>
    <x v="23"/>
    <n v="33"/>
    <s v="BRCH003"/>
    <x v="2"/>
    <s v="KOA0104"/>
    <s v="Surabaya"/>
    <s v="MENU006"/>
    <s v="Sandwich Ayam"/>
    <s v="KTG0206"/>
    <x v="1"/>
    <n v="1"/>
    <n v="32000"/>
    <n v="0"/>
    <n v="1.8"/>
    <s v="PAY0710"/>
    <x v="1"/>
    <n v="32000"/>
  </r>
  <r>
    <s v="TRX0279"/>
    <s v="TGL0824"/>
    <x v="323"/>
    <s v="CNA0201"/>
    <x v="82"/>
    <n v="23"/>
    <s v="BRCH001"/>
    <x v="0"/>
    <s v="KOA0102"/>
    <s v="Bandung"/>
    <s v="MENU006"/>
    <s v="Sandwich Ayam"/>
    <s v="KTG0206"/>
    <x v="1"/>
    <n v="2"/>
    <n v="32000"/>
    <n v="20"/>
    <n v="4.8"/>
    <s v="PAY0712"/>
    <x v="3"/>
    <n v="51200"/>
  </r>
  <r>
    <s v="TRX0812"/>
    <s v="TGL0824"/>
    <x v="323"/>
    <s v="CNA0224"/>
    <x v="97"/>
    <n v="49"/>
    <s v="BRCH003"/>
    <x v="2"/>
    <s v="KOA0104"/>
    <s v="Surabaya"/>
    <s v="MENU010"/>
    <s v="Espresso"/>
    <s v="KTG0205"/>
    <x v="0"/>
    <n v="2"/>
    <n v="18000"/>
    <n v="0"/>
    <n v="4.5"/>
    <s v="PAY0712"/>
    <x v="3"/>
    <n v="36000"/>
  </r>
  <r>
    <s v="TRX0036"/>
    <s v="TGL0824"/>
    <x v="323"/>
    <s v="CNA0426"/>
    <x v="164"/>
    <n v="38"/>
    <s v="BRCH003"/>
    <x v="2"/>
    <s v="KOA0104"/>
    <s v="Surabaya"/>
    <s v="MENU003"/>
    <s v="Kopi Susu Gula Aren"/>
    <s v="KTG0205"/>
    <x v="0"/>
    <n v="5"/>
    <n v="22000"/>
    <n v="5"/>
    <n v="1.3"/>
    <s v="PAY0709"/>
    <x v="0"/>
    <n v="104500"/>
  </r>
  <r>
    <s v="TRX0533"/>
    <s v="TGL0825"/>
    <x v="324"/>
    <s v="CNA0411"/>
    <x v="161"/>
    <n v="52"/>
    <s v="BRCH003"/>
    <x v="2"/>
    <s v="KOA0104"/>
    <s v="Surabaya"/>
    <s v="MENU008"/>
    <s v="Americano"/>
    <s v="KTG0205"/>
    <x v="0"/>
    <n v="4"/>
    <n v="20000"/>
    <n v="10"/>
    <n v="2.8"/>
    <s v="PAY0712"/>
    <x v="3"/>
    <n v="72000"/>
  </r>
  <r>
    <s v="TRX0361"/>
    <s v="TGL0825"/>
    <x v="324"/>
    <s v="CNA0263"/>
    <x v="117"/>
    <n v="36"/>
    <s v="BRCH001"/>
    <x v="0"/>
    <s v="KOA0102"/>
    <s v="Bandung"/>
    <s v="MENU004"/>
    <s v="Matcha Latte"/>
    <s v="KTG0207"/>
    <x v="2"/>
    <n v="2"/>
    <n v="28000"/>
    <n v="20"/>
    <n v="1.3"/>
    <s v="PAY0709"/>
    <x v="0"/>
    <n v="44800"/>
  </r>
  <r>
    <s v="TRX0037"/>
    <s v="TGL0825"/>
    <x v="324"/>
    <s v="CNA0265"/>
    <x v="118"/>
    <n v="42"/>
    <s v="BRCH004"/>
    <x v="3"/>
    <s v="KOA0105"/>
    <s v="Medan"/>
    <s v="MENU008"/>
    <s v="Americano"/>
    <s v="KTG0205"/>
    <x v="0"/>
    <n v="4"/>
    <n v="20000"/>
    <n v="15"/>
    <n v="2.4"/>
    <s v="PAY0710"/>
    <x v="1"/>
    <n v="68000"/>
  </r>
  <r>
    <s v="TRX0787"/>
    <s v="TGL0825"/>
    <x v="324"/>
    <s v="CNA0202"/>
    <x v="83"/>
    <n v="53"/>
    <s v="BRCH004"/>
    <x v="3"/>
    <s v="KOA0105"/>
    <s v="Medan"/>
    <s v="MENU003"/>
    <s v="Kopi Susu Gula Aren"/>
    <s v="KTG0205"/>
    <x v="0"/>
    <n v="2"/>
    <n v="22000"/>
    <n v="10"/>
    <n v="3"/>
    <s v="PAY0711"/>
    <x v="2"/>
    <n v="39600"/>
  </r>
  <r>
    <s v="TRX0949"/>
    <s v="TGL0826"/>
    <x v="325"/>
    <s v="CNA0130"/>
    <x v="28"/>
    <n v="33"/>
    <s v="BRCH003"/>
    <x v="2"/>
    <s v="KOA0104"/>
    <s v="Surabaya"/>
    <s v="MENU006"/>
    <s v="Sandwich Ayam"/>
    <s v="KTG0206"/>
    <x v="1"/>
    <n v="3"/>
    <n v="32000"/>
    <n v="0"/>
    <n v="3.5"/>
    <s v="PAY0710"/>
    <x v="1"/>
    <n v="96000"/>
  </r>
  <r>
    <s v="TRX0668"/>
    <s v="TGL0827"/>
    <x v="326"/>
    <s v="CNA0132"/>
    <x v="30"/>
    <n v="40"/>
    <s v="BRCH005"/>
    <x v="4"/>
    <s v="KOA0106"/>
    <s v="Makassar"/>
    <s v="MENU001"/>
    <s v="Cappuccino"/>
    <s v="KTG0205"/>
    <x v="0"/>
    <n v="5"/>
    <n v="25000"/>
    <n v="20"/>
    <n v="1.5"/>
    <s v="PAY0709"/>
    <x v="0"/>
    <n v="100000"/>
  </r>
  <r>
    <s v="TRX0249"/>
    <s v="TGL0828"/>
    <x v="327"/>
    <s v="CNA0507"/>
    <x v="171"/>
    <n v="24"/>
    <s v="BRCH003"/>
    <x v="2"/>
    <s v="KOA0104"/>
    <s v="Surabaya"/>
    <s v="MENU008"/>
    <s v="Americano"/>
    <s v="KTG0205"/>
    <x v="0"/>
    <n v="5"/>
    <n v="20000"/>
    <n v="0"/>
    <n v="4"/>
    <s v="PAY0709"/>
    <x v="0"/>
    <n v="100000"/>
  </r>
  <r>
    <s v="TRX0945"/>
    <s v="TGL0829"/>
    <x v="328"/>
    <s v="CNA0708"/>
    <x v="186"/>
    <n v="24"/>
    <s v="BRCH001"/>
    <x v="0"/>
    <s v="KOA0102"/>
    <s v="Bandung"/>
    <s v="MENU007"/>
    <s v="Chocolate Latte"/>
    <s v="KTG0207"/>
    <x v="2"/>
    <n v="5"/>
    <n v="27000"/>
    <n v="0"/>
    <n v="2.5"/>
    <s v="PAY0711"/>
    <x v="2"/>
    <n v="135000"/>
  </r>
  <r>
    <s v="TRX0888"/>
    <s v="TGL0830"/>
    <x v="329"/>
    <s v="CNA0177"/>
    <x v="68"/>
    <n v="38"/>
    <s v="BRCH004"/>
    <x v="3"/>
    <s v="KOA0105"/>
    <s v="Medan"/>
    <s v="MENU009"/>
    <s v="Kentang Goreng"/>
    <s v="KTG0206"/>
    <x v="1"/>
    <n v="4"/>
    <n v="18000"/>
    <n v="15"/>
    <n v="4.8"/>
    <s v="PAY0711"/>
    <x v="2"/>
    <n v="61200"/>
  </r>
  <r>
    <s v="TRX0220"/>
    <s v="TGL0831"/>
    <x v="330"/>
    <s v="CNA0166"/>
    <x v="57"/>
    <n v="48"/>
    <s v="BRCH003"/>
    <x v="2"/>
    <s v="KOA0104"/>
    <s v="Surabaya"/>
    <s v="MENU008"/>
    <s v="Americano"/>
    <s v="KTG0205"/>
    <x v="0"/>
    <n v="5"/>
    <n v="20000"/>
    <n v="0"/>
    <n v="3.5"/>
    <s v="PAY0712"/>
    <x v="3"/>
    <n v="100000"/>
  </r>
  <r>
    <s v="TRX0538"/>
    <s v="TGL0832"/>
    <x v="331"/>
    <s v="CNA0136"/>
    <x v="33"/>
    <n v="31"/>
    <s v="BRCH001"/>
    <x v="0"/>
    <s v="KOA0102"/>
    <s v="Bandung"/>
    <s v="MENU001"/>
    <s v="Cappuccino"/>
    <s v="KTG0205"/>
    <x v="0"/>
    <n v="2"/>
    <n v="25000"/>
    <n v="15"/>
    <n v="1.2"/>
    <s v="PAY0711"/>
    <x v="2"/>
    <n v="42500"/>
  </r>
  <r>
    <s v="TRX0713"/>
    <s v="TGL0832"/>
    <x v="331"/>
    <s v="CNA0157"/>
    <x v="51"/>
    <n v="29"/>
    <s v="BRCH002"/>
    <x v="1"/>
    <s v="KOA0103"/>
    <s v="Jakarta"/>
    <s v="MENU006"/>
    <s v="Sandwich Ayam"/>
    <s v="KTG0206"/>
    <x v="1"/>
    <n v="4"/>
    <n v="32000"/>
    <n v="10"/>
    <n v="2.9"/>
    <s v="PAY0711"/>
    <x v="2"/>
    <n v="115200"/>
  </r>
  <r>
    <s v="TRX0208"/>
    <s v="TGL0832"/>
    <x v="331"/>
    <s v="CNA0133"/>
    <x v="31"/>
    <n v="42"/>
    <s v="BRCH001"/>
    <x v="0"/>
    <s v="KOA0102"/>
    <s v="Bandung"/>
    <s v="MENU007"/>
    <s v="Chocolate Latte"/>
    <s v="KTG0207"/>
    <x v="2"/>
    <n v="4"/>
    <n v="27000"/>
    <n v="0"/>
    <n v="3"/>
    <s v="PAY0711"/>
    <x v="2"/>
    <n v="108000"/>
  </r>
  <r>
    <s v="TRX0938"/>
    <s v="TGL0832"/>
    <x v="331"/>
    <s v="CNA0174"/>
    <x v="65"/>
    <n v="48"/>
    <s v="BRCH001"/>
    <x v="0"/>
    <s v="KOA0102"/>
    <s v="Bandung"/>
    <s v="MENU008"/>
    <s v="Americano"/>
    <s v="KTG0205"/>
    <x v="0"/>
    <n v="2"/>
    <n v="20000"/>
    <n v="0"/>
    <n v="2.2000000000000002"/>
    <s v="PAY0711"/>
    <x v="2"/>
    <n v="40000"/>
  </r>
  <r>
    <s v="TRX0531"/>
    <s v="TGL0832"/>
    <x v="331"/>
    <s v="CNA0185"/>
    <x v="73"/>
    <n v="22"/>
    <s v="BRCH003"/>
    <x v="2"/>
    <s v="KOA0104"/>
    <s v="Surabaya"/>
    <s v="MENU008"/>
    <s v="Americano"/>
    <s v="KTG0205"/>
    <x v="0"/>
    <n v="5"/>
    <n v="20000"/>
    <n v="0"/>
    <n v="2.8"/>
    <s v="PAY0710"/>
    <x v="1"/>
    <n v="100000"/>
  </r>
  <r>
    <s v="TRX0892"/>
    <s v="TGL0833"/>
    <x v="332"/>
    <s v="CNA0315"/>
    <x v="141"/>
    <n v="51"/>
    <s v="BRCH005"/>
    <x v="4"/>
    <s v="KOA0106"/>
    <s v="Makassar"/>
    <s v="MENU009"/>
    <s v="Kentang Goreng"/>
    <s v="KTG0206"/>
    <x v="1"/>
    <n v="5"/>
    <n v="18000"/>
    <n v="10"/>
    <n v="1.8"/>
    <s v="PAY0711"/>
    <x v="2"/>
    <n v="81000"/>
  </r>
  <r>
    <s v="TRX0678"/>
    <s v="TGL0834"/>
    <x v="333"/>
    <s v="CNA0211"/>
    <x v="89"/>
    <n v="49"/>
    <s v="BRCH003"/>
    <x v="2"/>
    <s v="KOA0104"/>
    <s v="Surabaya"/>
    <s v="MENU009"/>
    <s v="Kentang Goreng"/>
    <s v="KTG0206"/>
    <x v="1"/>
    <n v="2"/>
    <n v="18000"/>
    <n v="5"/>
    <n v="2"/>
    <s v="PAY0711"/>
    <x v="2"/>
    <n v="34200"/>
  </r>
  <r>
    <s v="TRX0491"/>
    <s v="TGL0834"/>
    <x v="333"/>
    <s v="CNA0166"/>
    <x v="57"/>
    <n v="48"/>
    <s v="BRCH004"/>
    <x v="3"/>
    <s v="KOA0105"/>
    <s v="Medan"/>
    <s v="MENU006"/>
    <s v="Sandwich Ayam"/>
    <s v="KTG0206"/>
    <x v="1"/>
    <n v="4"/>
    <n v="32000"/>
    <n v="0"/>
    <n v="2.8"/>
    <s v="PAY0709"/>
    <x v="0"/>
    <n v="128000"/>
  </r>
  <r>
    <s v="TRX0072"/>
    <s v="TGL0835"/>
    <x v="334"/>
    <s v="CNA0287"/>
    <x v="128"/>
    <n v="31"/>
    <s v="BRCH002"/>
    <x v="1"/>
    <s v="KOA0103"/>
    <s v="Jakarta"/>
    <s v="MENU005"/>
    <s v="Croissant"/>
    <s v="KTG0206"/>
    <x v="1"/>
    <n v="2"/>
    <n v="23000"/>
    <n v="10"/>
    <n v="1.7"/>
    <s v="PAY0710"/>
    <x v="1"/>
    <n v="41400"/>
  </r>
  <r>
    <s v="TRX0517"/>
    <s v="TGL0835"/>
    <x v="334"/>
    <s v="CNA0204"/>
    <x v="85"/>
    <n v="40"/>
    <s v="BRCH004"/>
    <x v="3"/>
    <s v="KOA0105"/>
    <s v="Medan"/>
    <s v="MENU008"/>
    <s v="Americano"/>
    <s v="KTG0205"/>
    <x v="0"/>
    <n v="4"/>
    <n v="20000"/>
    <n v="20"/>
    <n v="1.4"/>
    <s v="PAY0712"/>
    <x v="3"/>
    <n v="64000"/>
  </r>
  <r>
    <s v="TRX0420"/>
    <s v="TGL0836"/>
    <x v="335"/>
    <s v="CNA0183"/>
    <x v="71"/>
    <n v="54"/>
    <s v="BRCH002"/>
    <x v="1"/>
    <s v="KOA0103"/>
    <s v="Jakarta"/>
    <s v="MENU006"/>
    <s v="Sandwich Ayam"/>
    <s v="KTG0206"/>
    <x v="1"/>
    <n v="2"/>
    <n v="32000"/>
    <n v="15"/>
    <n v="3.6"/>
    <s v="PAY0711"/>
    <x v="2"/>
    <n v="54400"/>
  </r>
  <r>
    <s v="TRX0708"/>
    <s v="TGL0836"/>
    <x v="335"/>
    <s v="CNA0154"/>
    <x v="49"/>
    <n v="44"/>
    <s v="BRCH004"/>
    <x v="3"/>
    <s v="KOA0105"/>
    <s v="Medan"/>
    <s v="MENU010"/>
    <s v="Espresso"/>
    <s v="KTG0205"/>
    <x v="0"/>
    <n v="3"/>
    <n v="18000"/>
    <n v="0"/>
    <n v="4.2"/>
    <s v="PAY0711"/>
    <x v="2"/>
    <n v="54000"/>
  </r>
  <r>
    <s v="TRX0815"/>
    <s v="TGL0836"/>
    <x v="335"/>
    <s v="CNA0166"/>
    <x v="57"/>
    <n v="48"/>
    <s v="BRCH002"/>
    <x v="1"/>
    <s v="KOA0103"/>
    <s v="Jakarta"/>
    <s v="MENU010"/>
    <s v="Espresso"/>
    <s v="KTG0205"/>
    <x v="0"/>
    <n v="3"/>
    <n v="18000"/>
    <n v="0"/>
    <n v="3.3"/>
    <s v="PAY0711"/>
    <x v="2"/>
    <n v="54000"/>
  </r>
  <r>
    <s v="TRX0233"/>
    <s v="TGL0837"/>
    <x v="336"/>
    <s v="CNA0130"/>
    <x v="28"/>
    <n v="33"/>
    <s v="BRCH001"/>
    <x v="0"/>
    <s v="KOA0102"/>
    <s v="Bandung"/>
    <s v="MENU002"/>
    <s v="Red Velvet Cake"/>
    <s v="KTG0206"/>
    <x v="1"/>
    <n v="3"/>
    <n v="30000"/>
    <n v="0"/>
    <n v="1.2"/>
    <s v="PAY0710"/>
    <x v="1"/>
    <n v="90000"/>
  </r>
  <r>
    <s v="TRX0976"/>
    <s v="TGL0838"/>
    <x v="337"/>
    <s v="CNA0247"/>
    <x v="112"/>
    <n v="19"/>
    <s v="BRCH003"/>
    <x v="2"/>
    <s v="KOA0104"/>
    <s v="Surabaya"/>
    <s v="MENU007"/>
    <s v="Chocolate Latte"/>
    <s v="KTG0207"/>
    <x v="2"/>
    <n v="4"/>
    <n v="27000"/>
    <n v="5"/>
    <n v="2.2000000000000002"/>
    <s v="PAY0709"/>
    <x v="0"/>
    <n v="102600"/>
  </r>
  <r>
    <s v="TRX0674"/>
    <s v="TGL0838"/>
    <x v="337"/>
    <s v="CNA0185"/>
    <x v="73"/>
    <n v="22"/>
    <s v="BRCH004"/>
    <x v="3"/>
    <s v="KOA0105"/>
    <s v="Medan"/>
    <s v="MENU004"/>
    <s v="Matcha Latte"/>
    <s v="KTG0207"/>
    <x v="2"/>
    <n v="4"/>
    <n v="28000"/>
    <n v="15"/>
    <n v="2.1"/>
    <s v="PAY0712"/>
    <x v="3"/>
    <n v="95200"/>
  </r>
  <r>
    <s v="TRX0161"/>
    <s v="TGL0839"/>
    <x v="338"/>
    <s v="CNA0727"/>
    <x v="187"/>
    <n v="49"/>
    <s v="BRCH004"/>
    <x v="3"/>
    <s v="KOA0105"/>
    <s v="Medan"/>
    <s v="MENU004"/>
    <s v="Matcha Latte"/>
    <s v="KTG0207"/>
    <x v="2"/>
    <n v="4"/>
    <n v="28000"/>
    <n v="15"/>
    <n v="1.4"/>
    <s v="PAY0709"/>
    <x v="0"/>
    <n v="95200"/>
  </r>
  <r>
    <s v="TRX0310"/>
    <s v="TGL0840"/>
    <x v="339"/>
    <s v="CNA0136"/>
    <x v="33"/>
    <n v="31"/>
    <s v="BRCH003"/>
    <x v="2"/>
    <s v="KOA0104"/>
    <s v="Surabaya"/>
    <s v="MENU002"/>
    <s v="Red Velvet Cake"/>
    <s v="KTG0206"/>
    <x v="1"/>
    <n v="3"/>
    <n v="30000"/>
    <n v="20"/>
    <n v="1"/>
    <s v="PAY0710"/>
    <x v="1"/>
    <n v="72000"/>
  </r>
  <r>
    <s v="TRX0377"/>
    <s v="TGL0840"/>
    <x v="339"/>
    <s v="CNA0342"/>
    <x v="148"/>
    <n v="35"/>
    <s v="BRCH001"/>
    <x v="0"/>
    <s v="KOA0102"/>
    <s v="Bandung"/>
    <s v="MENU008"/>
    <s v="Americano"/>
    <s v="KTG0205"/>
    <x v="0"/>
    <n v="2"/>
    <n v="20000"/>
    <n v="20"/>
    <n v="1.1000000000000001"/>
    <s v="PAY0710"/>
    <x v="1"/>
    <n v="32000"/>
  </r>
  <r>
    <s v="TRX0506"/>
    <s v="TGL0841"/>
    <x v="340"/>
    <s v="CNA0215"/>
    <x v="92"/>
    <n v="52"/>
    <s v="BRCH003"/>
    <x v="2"/>
    <s v="KOA0104"/>
    <s v="Surabaya"/>
    <s v="MENU008"/>
    <s v="Americano"/>
    <s v="KTG0205"/>
    <x v="0"/>
    <n v="5"/>
    <n v="20000"/>
    <n v="0"/>
    <n v="1.9"/>
    <s v="PAY0709"/>
    <x v="0"/>
    <n v="100000"/>
  </r>
  <r>
    <s v="TRX0687"/>
    <s v="TGL0841"/>
    <x v="340"/>
    <s v="CNA0357"/>
    <x v="152"/>
    <n v="25"/>
    <s v="BRCH003"/>
    <x v="2"/>
    <s v="KOA0104"/>
    <s v="Surabaya"/>
    <s v="MENU007"/>
    <s v="Chocolate Latte"/>
    <s v="KTG0207"/>
    <x v="2"/>
    <n v="3"/>
    <n v="27000"/>
    <n v="15"/>
    <n v="4"/>
    <s v="PAY0710"/>
    <x v="1"/>
    <n v="68850"/>
  </r>
  <r>
    <s v="TRX0202"/>
    <s v="TGL0842"/>
    <x v="341"/>
    <s v="CNA0177"/>
    <x v="68"/>
    <n v="38"/>
    <s v="BRCH004"/>
    <x v="3"/>
    <s v="KOA0105"/>
    <s v="Medan"/>
    <s v="MENU001"/>
    <s v="Cappuccino"/>
    <s v="KTG0205"/>
    <x v="0"/>
    <n v="1"/>
    <n v="25000"/>
    <n v="0"/>
    <n v="4.2"/>
    <s v="PAY0709"/>
    <x v="0"/>
    <n v="25000"/>
  </r>
  <r>
    <s v="TRX0539"/>
    <s v="TGL0842"/>
    <x v="341"/>
    <s v="CNA0185"/>
    <x v="73"/>
    <n v="22"/>
    <s v="BRCH004"/>
    <x v="3"/>
    <s v="KOA0105"/>
    <s v="Medan"/>
    <s v="MENU008"/>
    <s v="Americano"/>
    <s v="KTG0205"/>
    <x v="0"/>
    <n v="1"/>
    <n v="20000"/>
    <n v="0"/>
    <n v="2.8"/>
    <s v="PAY0709"/>
    <x v="0"/>
    <n v="20000"/>
  </r>
  <r>
    <s v="TRX0804"/>
    <s v="TGL0843"/>
    <x v="342"/>
    <s v="CNA0115"/>
    <x v="14"/>
    <n v="46"/>
    <s v="BRCH002"/>
    <x v="1"/>
    <s v="KOA0103"/>
    <s v="Jakarta"/>
    <s v="MENU001"/>
    <s v="Cappuccino"/>
    <s v="KTG0205"/>
    <x v="0"/>
    <n v="3"/>
    <n v="25000"/>
    <n v="0"/>
    <n v="4.2"/>
    <s v="PAY0711"/>
    <x v="2"/>
    <n v="75000"/>
  </r>
  <r>
    <s v="TRX0507"/>
    <s v="TGL0844"/>
    <x v="343"/>
    <s v="CNA0152"/>
    <x v="47"/>
    <n v="49"/>
    <s v="BRCH005"/>
    <x v="4"/>
    <s v="KOA0106"/>
    <s v="Makassar"/>
    <s v="MENU010"/>
    <s v="Espresso"/>
    <s v="KTG0205"/>
    <x v="0"/>
    <n v="4"/>
    <n v="18000"/>
    <n v="0"/>
    <n v="1.7"/>
    <s v="PAY0709"/>
    <x v="0"/>
    <n v="72000"/>
  </r>
  <r>
    <s v="TRX0464"/>
    <s v="TGL0845"/>
    <x v="344"/>
    <s v="CNA0128"/>
    <x v="26"/>
    <n v="36"/>
    <s v="BRCH005"/>
    <x v="4"/>
    <s v="KOA0106"/>
    <s v="Makassar"/>
    <s v="MENU001"/>
    <s v="Cappuccino"/>
    <s v="KTG0205"/>
    <x v="0"/>
    <n v="3"/>
    <n v="25000"/>
    <n v="10"/>
    <n v="3"/>
    <s v="PAY0710"/>
    <x v="1"/>
    <n v="67500"/>
  </r>
  <r>
    <s v="TRX0558"/>
    <s v="TGL0845"/>
    <x v="344"/>
    <s v="CNA0168"/>
    <x v="59"/>
    <n v="37"/>
    <s v="BRCH002"/>
    <x v="1"/>
    <s v="KOA0103"/>
    <s v="Jakarta"/>
    <s v="MENU010"/>
    <s v="Espresso"/>
    <s v="KTG0205"/>
    <x v="0"/>
    <n v="5"/>
    <n v="18000"/>
    <n v="10"/>
    <n v="4.5"/>
    <s v="PAY0709"/>
    <x v="0"/>
    <n v="81000"/>
  </r>
  <r>
    <s v="TRX0385"/>
    <s v="TGL0846"/>
    <x v="345"/>
    <s v="CNA0284"/>
    <x v="127"/>
    <n v="21"/>
    <s v="BRCH002"/>
    <x v="1"/>
    <s v="KOA0103"/>
    <s v="Jakarta"/>
    <s v="MENU004"/>
    <s v="Matcha Latte"/>
    <s v="KTG0207"/>
    <x v="2"/>
    <n v="3"/>
    <n v="28000"/>
    <n v="0"/>
    <n v="4.5"/>
    <s v="PAY0710"/>
    <x v="1"/>
    <n v="84000"/>
  </r>
  <r>
    <s v="TRX0993"/>
    <s v="TGL0847"/>
    <x v="346"/>
    <s v="CNA0245"/>
    <x v="111"/>
    <n v="40"/>
    <s v="BRCH001"/>
    <x v="0"/>
    <s v="KOA0102"/>
    <s v="Bandung"/>
    <s v="MENU010"/>
    <s v="Espresso"/>
    <s v="KTG0205"/>
    <x v="0"/>
    <n v="4"/>
    <n v="18000"/>
    <n v="5"/>
    <n v="3.1"/>
    <s v="PAY0712"/>
    <x v="3"/>
    <n v="68400"/>
  </r>
  <r>
    <s v="TRX0080"/>
    <s v="TGL0848"/>
    <x v="347"/>
    <s v="CNA0219"/>
    <x v="94"/>
    <n v="23"/>
    <s v="BRCH004"/>
    <x v="3"/>
    <s v="KOA0105"/>
    <s v="Medan"/>
    <s v="MENU007"/>
    <s v="Chocolate Latte"/>
    <s v="KTG0207"/>
    <x v="2"/>
    <n v="5"/>
    <n v="27000"/>
    <n v="0"/>
    <n v="3.9"/>
    <s v="PAY0709"/>
    <x v="0"/>
    <n v="135000"/>
  </r>
  <r>
    <s v="TRX0019"/>
    <s v="TGL0848"/>
    <x v="347"/>
    <s v="CNA0115"/>
    <x v="14"/>
    <n v="46"/>
    <s v="BRCH001"/>
    <x v="0"/>
    <s v="KOA0102"/>
    <s v="Bandung"/>
    <s v="MENU007"/>
    <s v="Chocolate Latte"/>
    <s v="KTG0207"/>
    <x v="2"/>
    <n v="4"/>
    <n v="27000"/>
    <n v="10"/>
    <n v="3.8"/>
    <s v="PAY0712"/>
    <x v="3"/>
    <n v="97200"/>
  </r>
  <r>
    <s v="TRX0216"/>
    <s v="TGL0848"/>
    <x v="347"/>
    <s v="CNA0214"/>
    <x v="91"/>
    <n v="18"/>
    <s v="BRCH002"/>
    <x v="1"/>
    <s v="KOA0103"/>
    <s v="Jakarta"/>
    <s v="MENU001"/>
    <s v="Cappuccino"/>
    <s v="KTG0205"/>
    <x v="0"/>
    <n v="2"/>
    <n v="25000"/>
    <n v="15"/>
    <n v="3"/>
    <s v="PAY0711"/>
    <x v="2"/>
    <n v="42500"/>
  </r>
  <r>
    <s v="TRX0314"/>
    <s v="TGL0849"/>
    <x v="348"/>
    <s v="CNA0494"/>
    <x v="169"/>
    <n v="40"/>
    <s v="BRCH005"/>
    <x v="4"/>
    <s v="KOA0106"/>
    <s v="Makassar"/>
    <s v="MENU006"/>
    <s v="Sandwich Ayam"/>
    <s v="KTG0206"/>
    <x v="1"/>
    <n v="1"/>
    <n v="32000"/>
    <n v="20"/>
    <n v="2.8"/>
    <s v="PAY0712"/>
    <x v="3"/>
    <n v="25600"/>
  </r>
  <r>
    <s v="TRX0393"/>
    <s v="TGL0850"/>
    <x v="349"/>
    <s v="CNA0152"/>
    <x v="47"/>
    <n v="49"/>
    <s v="BRCH004"/>
    <x v="3"/>
    <s v="KOA0105"/>
    <s v="Medan"/>
    <s v="MENU010"/>
    <s v="Espresso"/>
    <s v="KTG0205"/>
    <x v="0"/>
    <n v="1"/>
    <n v="18000"/>
    <n v="5"/>
    <n v="1.4"/>
    <s v="PAY0710"/>
    <x v="1"/>
    <n v="17100"/>
  </r>
  <r>
    <s v="TRX0284"/>
    <s v="TGL0851"/>
    <x v="350"/>
    <s v="CNA0219"/>
    <x v="94"/>
    <n v="23"/>
    <s v="BRCH003"/>
    <x v="2"/>
    <s v="KOA0104"/>
    <s v="Surabaya"/>
    <s v="MENU002"/>
    <s v="Red Velvet Cake"/>
    <s v="KTG0206"/>
    <x v="1"/>
    <n v="5"/>
    <n v="30000"/>
    <n v="0"/>
    <n v="4.5"/>
    <s v="PAY0712"/>
    <x v="3"/>
    <n v="150000"/>
  </r>
  <r>
    <s v="TRX0501"/>
    <s v="TGL0851"/>
    <x v="350"/>
    <s v="CNA0129"/>
    <x v="27"/>
    <n v="49"/>
    <s v="BRCH004"/>
    <x v="3"/>
    <s v="KOA0105"/>
    <s v="Medan"/>
    <s v="MENU004"/>
    <s v="Matcha Latte"/>
    <s v="KTG0207"/>
    <x v="2"/>
    <n v="4"/>
    <n v="28000"/>
    <n v="10"/>
    <n v="1.7"/>
    <s v="PAY0712"/>
    <x v="3"/>
    <n v="100800"/>
  </r>
  <r>
    <s v="TRX0965"/>
    <s v="TGL0852"/>
    <x v="351"/>
    <s v="CNA0295"/>
    <x v="133"/>
    <n v="42"/>
    <s v="BRCH004"/>
    <x v="3"/>
    <s v="KOA0105"/>
    <s v="Medan"/>
    <s v="MENU003"/>
    <s v="Kopi Susu Gula Aren"/>
    <s v="KTG0205"/>
    <x v="0"/>
    <n v="3"/>
    <n v="22000"/>
    <n v="15"/>
    <n v="3.1"/>
    <s v="PAY0712"/>
    <x v="3"/>
    <n v="56100"/>
  </r>
  <r>
    <s v="TRX0496"/>
    <s v="TGL0852"/>
    <x v="351"/>
    <s v="CNA0748"/>
    <x v="188"/>
    <n v="17"/>
    <s v="BRCH001"/>
    <x v="0"/>
    <s v="KOA0102"/>
    <s v="Bandung"/>
    <s v="MENU007"/>
    <s v="Chocolate Latte"/>
    <s v="KTG0207"/>
    <x v="2"/>
    <n v="5"/>
    <n v="27000"/>
    <n v="15"/>
    <n v="2.7"/>
    <s v="PAY0709"/>
    <x v="0"/>
    <n v="114750"/>
  </r>
  <r>
    <s v="TRX0757"/>
    <s v="TGL0853"/>
    <x v="352"/>
    <s v="CNA0268"/>
    <x v="119"/>
    <n v="31"/>
    <s v="BRCH005"/>
    <x v="4"/>
    <s v="KOA0106"/>
    <s v="Makassar"/>
    <s v="MENU007"/>
    <s v="Chocolate Latte"/>
    <s v="KTG0207"/>
    <x v="2"/>
    <n v="2"/>
    <n v="27000"/>
    <n v="0"/>
    <n v="4.4000000000000004"/>
    <s v="PAY0709"/>
    <x v="0"/>
    <n v="54000"/>
  </r>
  <r>
    <s v="TRX0063"/>
    <s v="TGL0854"/>
    <x v="353"/>
    <s v="CNA0183"/>
    <x v="71"/>
    <n v="54"/>
    <s v="BRCH001"/>
    <x v="0"/>
    <s v="KOA0102"/>
    <s v="Bandung"/>
    <s v="MENU009"/>
    <s v="Kentang Goreng"/>
    <s v="KTG0206"/>
    <x v="1"/>
    <n v="2"/>
    <n v="18000"/>
    <n v="10"/>
    <n v="1.2"/>
    <s v="PAY0709"/>
    <x v="0"/>
    <n v="32400"/>
  </r>
  <r>
    <s v="TRX0863"/>
    <s v="TGL0854"/>
    <x v="353"/>
    <s v="CNA0222"/>
    <x v="95"/>
    <n v="34"/>
    <s v="BRCH002"/>
    <x v="1"/>
    <s v="KOA0103"/>
    <s v="Jakarta"/>
    <s v="MENU006"/>
    <s v="Sandwich Ayam"/>
    <s v="KTG0206"/>
    <x v="1"/>
    <n v="3"/>
    <n v="32000"/>
    <n v="0"/>
    <n v="4.4000000000000004"/>
    <s v="PAY0710"/>
    <x v="1"/>
    <n v="96000"/>
  </r>
  <r>
    <s v="TRX0480"/>
    <s v="TGL0855"/>
    <x v="354"/>
    <s v="CNA0247"/>
    <x v="112"/>
    <n v="19"/>
    <s v="BRCH005"/>
    <x v="4"/>
    <s v="KOA0106"/>
    <s v="Makassar"/>
    <s v="MENU003"/>
    <s v="Kopi Susu Gula Aren"/>
    <s v="KTG0205"/>
    <x v="0"/>
    <n v="5"/>
    <n v="22000"/>
    <n v="20"/>
    <n v="1.4"/>
    <s v="PAY0710"/>
    <x v="1"/>
    <n v="88000"/>
  </r>
  <r>
    <s v="TRX0456"/>
    <s v="TGL0855"/>
    <x v="354"/>
    <s v="CNA0169"/>
    <x v="60"/>
    <n v="53"/>
    <s v="BRCH001"/>
    <x v="0"/>
    <s v="KOA0102"/>
    <s v="Bandung"/>
    <s v="MENU006"/>
    <s v="Sandwich Ayam"/>
    <s v="KTG0206"/>
    <x v="1"/>
    <n v="3"/>
    <n v="32000"/>
    <n v="20"/>
    <n v="3.6"/>
    <s v="PAY0709"/>
    <x v="0"/>
    <n v="76800"/>
  </r>
  <r>
    <s v="TRX0873"/>
    <s v="TGL0856"/>
    <x v="355"/>
    <s v="CNA0180"/>
    <x v="69"/>
    <n v="19"/>
    <s v="BRCH003"/>
    <x v="2"/>
    <s v="KOA0104"/>
    <s v="Surabaya"/>
    <s v="MENU003"/>
    <s v="Kopi Susu Gula Aren"/>
    <s v="KTG0205"/>
    <x v="0"/>
    <n v="4"/>
    <n v="22000"/>
    <n v="15"/>
    <n v="1.1000000000000001"/>
    <s v="PAY0709"/>
    <x v="0"/>
    <n v="74800"/>
  </r>
  <r>
    <s v="TRX0581"/>
    <s v="TGL0857"/>
    <x v="356"/>
    <s v="CNA0130"/>
    <x v="28"/>
    <n v="33"/>
    <s v="BRCH001"/>
    <x v="0"/>
    <s v="KOA0102"/>
    <s v="Bandung"/>
    <s v="MENU005"/>
    <s v="Croissant"/>
    <s v="KTG0206"/>
    <x v="1"/>
    <n v="3"/>
    <n v="23000"/>
    <n v="0"/>
    <n v="1.5"/>
    <s v="PAY0709"/>
    <x v="0"/>
    <n v="69000"/>
  </r>
  <r>
    <s v="TRX0700"/>
    <s v="TGL0858"/>
    <x v="357"/>
    <s v="CNA0108"/>
    <x v="7"/>
    <n v="21"/>
    <s v="BRCH001"/>
    <x v="0"/>
    <s v="KOA0102"/>
    <s v="Bandung"/>
    <s v="MENU006"/>
    <s v="Sandwich Ayam"/>
    <s v="KTG0206"/>
    <x v="1"/>
    <n v="5"/>
    <n v="32000"/>
    <n v="20"/>
    <n v="3"/>
    <s v="PAY0712"/>
    <x v="3"/>
    <n v="128000"/>
  </r>
  <r>
    <s v="TRX0922"/>
    <s v="TGL0859"/>
    <x v="358"/>
    <s v="CNA0727"/>
    <x v="187"/>
    <n v="49"/>
    <s v="BRCH004"/>
    <x v="3"/>
    <s v="KOA0105"/>
    <s v="Medan"/>
    <s v="MENU001"/>
    <s v="Cappuccino"/>
    <s v="KTG0205"/>
    <x v="0"/>
    <n v="3"/>
    <n v="25000"/>
    <n v="20"/>
    <n v="3.9"/>
    <s v="PAY0709"/>
    <x v="0"/>
    <n v="60000"/>
  </r>
  <r>
    <s v="TRX0997"/>
    <s v="TGL0859"/>
    <x v="358"/>
    <s v="CNA0140"/>
    <x v="37"/>
    <n v="43"/>
    <s v="BRCH005"/>
    <x v="4"/>
    <s v="KOA0106"/>
    <s v="Makassar"/>
    <s v="MENU004"/>
    <s v="Matcha Latte"/>
    <s v="KTG0207"/>
    <x v="2"/>
    <n v="1"/>
    <n v="28000"/>
    <n v="0"/>
    <n v="3.8"/>
    <s v="PAY0710"/>
    <x v="1"/>
    <n v="28000"/>
  </r>
  <r>
    <s v="TRX0325"/>
    <s v="TGL0859"/>
    <x v="358"/>
    <s v="CNA0295"/>
    <x v="133"/>
    <n v="42"/>
    <s v="BRCH004"/>
    <x v="3"/>
    <s v="KOA0105"/>
    <s v="Medan"/>
    <s v="MENU005"/>
    <s v="Croissant"/>
    <s v="KTG0206"/>
    <x v="1"/>
    <n v="4"/>
    <n v="23000"/>
    <n v="20"/>
    <n v="1.1000000000000001"/>
    <s v="PAY0712"/>
    <x v="3"/>
    <n v="73600"/>
  </r>
  <r>
    <s v="TRX0064"/>
    <s v="TGL0860"/>
    <x v="359"/>
    <s v="CNA0760"/>
    <x v="189"/>
    <n v="48"/>
    <s v="BRCH005"/>
    <x v="4"/>
    <s v="KOA0106"/>
    <s v="Makassar"/>
    <s v="MENU001"/>
    <s v="Cappuccino"/>
    <s v="KTG0205"/>
    <x v="0"/>
    <n v="3"/>
    <n v="25000"/>
    <n v="0"/>
    <n v="1.7"/>
    <s v="PAY0711"/>
    <x v="2"/>
    <n v="75000"/>
  </r>
  <r>
    <s v="TRX0662"/>
    <s v="TGL0860"/>
    <x v="359"/>
    <s v="CNA0176"/>
    <x v="67"/>
    <n v="25"/>
    <s v="BRCH004"/>
    <x v="3"/>
    <s v="KOA0105"/>
    <s v="Medan"/>
    <s v="MENU002"/>
    <s v="Red Velvet Cake"/>
    <s v="KTG0206"/>
    <x v="1"/>
    <n v="3"/>
    <n v="30000"/>
    <n v="0"/>
    <n v="3.9"/>
    <s v="PAY0709"/>
    <x v="0"/>
    <n v="90000"/>
  </r>
  <r>
    <s v="TRX0433"/>
    <s v="TGL0861"/>
    <x v="360"/>
    <s v="CNA0323"/>
    <x v="145"/>
    <n v="18"/>
    <s v="BRCH004"/>
    <x v="3"/>
    <s v="KOA0105"/>
    <s v="Medan"/>
    <s v="MENU003"/>
    <s v="Kopi Susu Gula Aren"/>
    <s v="KTG0205"/>
    <x v="0"/>
    <n v="3"/>
    <n v="22000"/>
    <n v="20"/>
    <n v="3.2"/>
    <s v="PAY0711"/>
    <x v="2"/>
    <n v="52800"/>
  </r>
  <r>
    <s v="TRX0142"/>
    <s v="TGL0861"/>
    <x v="360"/>
    <s v="CNA0748"/>
    <x v="188"/>
    <n v="17"/>
    <s v="BRCH003"/>
    <x v="2"/>
    <s v="KOA0104"/>
    <s v="Surabaya"/>
    <s v="MENU009"/>
    <s v="Kentang Goreng"/>
    <s v="KTG0206"/>
    <x v="1"/>
    <n v="4"/>
    <n v="18000"/>
    <n v="20"/>
    <n v="3.1"/>
    <s v="PAY0711"/>
    <x v="2"/>
    <n v="57600"/>
  </r>
  <r>
    <s v="TRX0005"/>
    <s v="TGL0862"/>
    <x v="361"/>
    <s v="CNA0256"/>
    <x v="115"/>
    <n v="29"/>
    <s v="BRCH003"/>
    <x v="2"/>
    <s v="KOA0104"/>
    <s v="Surabaya"/>
    <s v="MENU006"/>
    <s v="Sandwich Ayam"/>
    <s v="KTG0206"/>
    <x v="1"/>
    <n v="5"/>
    <n v="32000"/>
    <n v="15"/>
    <n v="3.7"/>
    <s v="PAY0710"/>
    <x v="1"/>
    <n v="136000"/>
  </r>
  <r>
    <s v="TRX0043"/>
    <s v="TGL0862"/>
    <x v="361"/>
    <s v="CNA0420"/>
    <x v="163"/>
    <n v="44"/>
    <s v="BRCH003"/>
    <x v="2"/>
    <s v="KOA0104"/>
    <s v="Surabaya"/>
    <s v="MENU008"/>
    <s v="Americano"/>
    <s v="KTG0205"/>
    <x v="0"/>
    <n v="4"/>
    <n v="20000"/>
    <n v="20"/>
    <n v="1.5"/>
    <s v="PAY0709"/>
    <x v="0"/>
    <n v="64000"/>
  </r>
  <r>
    <s v="TRX0646"/>
    <s v="TGL0863"/>
    <x v="362"/>
    <s v="CNA0292"/>
    <x v="132"/>
    <n v="18"/>
    <s v="BRCH003"/>
    <x v="2"/>
    <s v="KOA0104"/>
    <s v="Surabaya"/>
    <s v="MENU004"/>
    <s v="Matcha Latte"/>
    <s v="KTG0207"/>
    <x v="2"/>
    <n v="5"/>
    <n v="28000"/>
    <n v="10"/>
    <n v="4.8"/>
    <s v="PAY0710"/>
    <x v="1"/>
    <n v="126000"/>
  </r>
  <r>
    <s v="TRX0184"/>
    <s v="TGL0863"/>
    <x v="362"/>
    <s v="CNA0391"/>
    <x v="157"/>
    <n v="44"/>
    <s v="BRCH005"/>
    <x v="4"/>
    <s v="KOA0106"/>
    <s v="Makassar"/>
    <s v="MENU003"/>
    <s v="Kopi Susu Gula Aren"/>
    <s v="KTG0205"/>
    <x v="0"/>
    <n v="3"/>
    <n v="22000"/>
    <n v="0"/>
    <n v="2.6"/>
    <s v="PAY0710"/>
    <x v="1"/>
    <n v="66000"/>
  </r>
  <r>
    <s v="TRX0619"/>
    <s v="TGL0863"/>
    <x v="362"/>
    <s v="CNA0104"/>
    <x v="3"/>
    <n v="41"/>
    <s v="BRCH004"/>
    <x v="3"/>
    <s v="KOA0105"/>
    <s v="Medan"/>
    <s v="MENU010"/>
    <s v="Espresso"/>
    <s v="KTG0205"/>
    <x v="0"/>
    <n v="4"/>
    <n v="18000"/>
    <n v="0"/>
    <n v="4.8"/>
    <s v="PAY0709"/>
    <x v="0"/>
    <n v="72000"/>
  </r>
  <r>
    <s v="TRX0219"/>
    <s v="TGL0863"/>
    <x v="362"/>
    <s v="CNA0133"/>
    <x v="31"/>
    <n v="42"/>
    <s v="BRCH003"/>
    <x v="2"/>
    <s v="KOA0104"/>
    <s v="Surabaya"/>
    <s v="MENU001"/>
    <s v="Cappuccino"/>
    <s v="KTG0205"/>
    <x v="0"/>
    <n v="1"/>
    <n v="25000"/>
    <n v="0"/>
    <n v="2.7"/>
    <s v="PAY0712"/>
    <x v="3"/>
    <n v="25000"/>
  </r>
  <r>
    <s v="TRX0903"/>
    <s v="TGL0864"/>
    <x v="363"/>
    <s v="CNA0348"/>
    <x v="150"/>
    <n v="42"/>
    <s v="BRCH005"/>
    <x v="4"/>
    <s v="KOA0106"/>
    <s v="Makassar"/>
    <s v="MENU009"/>
    <s v="Kentang Goreng"/>
    <s v="KTG0206"/>
    <x v="1"/>
    <n v="1"/>
    <n v="18000"/>
    <n v="10"/>
    <n v="1.3"/>
    <s v="PAY0712"/>
    <x v="3"/>
    <n v="16200"/>
  </r>
  <r>
    <s v="TRX0242"/>
    <s v="TGL0864"/>
    <x v="363"/>
    <s v="CNA0138"/>
    <x v="35"/>
    <n v="53"/>
    <s v="BRCH001"/>
    <x v="0"/>
    <s v="KOA0102"/>
    <s v="Bandung"/>
    <s v="MENU003"/>
    <s v="Kopi Susu Gula Aren"/>
    <s v="KTG0205"/>
    <x v="0"/>
    <n v="2"/>
    <n v="22000"/>
    <n v="10"/>
    <n v="3.6"/>
    <s v="PAY0710"/>
    <x v="1"/>
    <n v="39600"/>
  </r>
  <r>
    <s v="TRX0392"/>
    <s v="TGL0865"/>
    <x v="364"/>
    <s v="CNA0772"/>
    <x v="190"/>
    <n v="28"/>
    <s v="BRCH004"/>
    <x v="3"/>
    <s v="KOA0105"/>
    <s v="Medan"/>
    <s v="MENU002"/>
    <s v="Red Velvet Cake"/>
    <s v="KTG0206"/>
    <x v="1"/>
    <n v="1"/>
    <n v="30000"/>
    <n v="0"/>
    <n v="2.1"/>
    <s v="PAY0712"/>
    <x v="3"/>
    <n v="30000"/>
  </r>
  <r>
    <s v="TRX0488"/>
    <s v="TGL0865"/>
    <x v="364"/>
    <s v="CNA0287"/>
    <x v="128"/>
    <n v="31"/>
    <s v="BRCH003"/>
    <x v="2"/>
    <s v="KOA0104"/>
    <s v="Surabaya"/>
    <s v="MENU008"/>
    <s v="Americano"/>
    <s v="KTG0205"/>
    <x v="0"/>
    <n v="5"/>
    <n v="20000"/>
    <n v="15"/>
    <n v="4.5"/>
    <s v="PAY0710"/>
    <x v="1"/>
    <n v="85000"/>
  </r>
  <r>
    <s v="TRX0970"/>
    <s v="TGL0865"/>
    <x v="364"/>
    <s v="CNA0162"/>
    <x v="54"/>
    <n v="24"/>
    <s v="BRCH003"/>
    <x v="2"/>
    <s v="KOA0104"/>
    <s v="Surabaya"/>
    <s v="MENU003"/>
    <s v="Kopi Susu Gula Aren"/>
    <s v="KTG0205"/>
    <x v="0"/>
    <n v="4"/>
    <n v="22000"/>
    <n v="15"/>
    <n v="1.2"/>
    <s v="PAY0709"/>
    <x v="0"/>
    <n v="74800"/>
  </r>
  <r>
    <s v="TRX0930"/>
    <s v="TGL0865"/>
    <x v="364"/>
    <s v="CNA0278"/>
    <x v="125"/>
    <n v="32"/>
    <s v="BRCH001"/>
    <x v="0"/>
    <s v="KOA0102"/>
    <s v="Bandung"/>
    <s v="MENU003"/>
    <s v="Kopi Susu Gula Aren"/>
    <s v="KTG0205"/>
    <x v="0"/>
    <n v="3"/>
    <n v="22000"/>
    <n v="0"/>
    <n v="4.7"/>
    <s v="PAY0711"/>
    <x v="2"/>
    <n v="66000"/>
  </r>
  <r>
    <s v="TRX0091"/>
    <s v="TGL0866"/>
    <x v="365"/>
    <s v="CNA0284"/>
    <x v="127"/>
    <n v="21"/>
    <s v="BRCH004"/>
    <x v="3"/>
    <s v="KOA0105"/>
    <s v="Medan"/>
    <s v="MENU010"/>
    <s v="Espresso"/>
    <s v="KTG0205"/>
    <x v="0"/>
    <n v="1"/>
    <n v="18000"/>
    <n v="5"/>
    <n v="4.5999999999999996"/>
    <s v="PAY0712"/>
    <x v="3"/>
    <n v="17100"/>
  </r>
  <r>
    <s v="TRX0946"/>
    <s v="TGL0866"/>
    <x v="365"/>
    <s v="CNA0124"/>
    <x v="23"/>
    <n v="33"/>
    <s v="BRCH004"/>
    <x v="3"/>
    <s v="KOA0105"/>
    <s v="Medan"/>
    <s v="MENU003"/>
    <s v="Kopi Susu Gula Aren"/>
    <s v="KTG0205"/>
    <x v="0"/>
    <n v="3"/>
    <n v="22000"/>
    <n v="5"/>
    <n v="1.1000000000000001"/>
    <s v="PAY0712"/>
    <x v="3"/>
    <n v="62700"/>
  </r>
  <r>
    <s v="TRX0129"/>
    <s v="TGL0866"/>
    <x v="365"/>
    <s v="CNA0674"/>
    <x v="184"/>
    <n v="30"/>
    <s v="BRCH002"/>
    <x v="1"/>
    <s v="KOA0103"/>
    <s v="Jakarta"/>
    <s v="MENU010"/>
    <s v="Espresso"/>
    <s v="KTG0205"/>
    <x v="0"/>
    <n v="1"/>
    <n v="18000"/>
    <n v="0"/>
    <n v="2.6"/>
    <s v="PAY0709"/>
    <x v="0"/>
    <n v="18000"/>
  </r>
  <r>
    <s v="TRX0810"/>
    <s v="TGL0867"/>
    <x v="366"/>
    <s v="CNA0108"/>
    <x v="7"/>
    <n v="21"/>
    <s v="BRCH002"/>
    <x v="1"/>
    <s v="KOA0103"/>
    <s v="Jakarta"/>
    <s v="MENU005"/>
    <s v="Croissant"/>
    <s v="KTG0206"/>
    <x v="1"/>
    <n v="3"/>
    <n v="23000"/>
    <n v="0"/>
    <n v="4.7"/>
    <s v="PAY0711"/>
    <x v="2"/>
    <n v="69000"/>
  </r>
  <r>
    <s v="TRX0543"/>
    <s v="TGL0868"/>
    <x v="367"/>
    <s v="CNA0174"/>
    <x v="65"/>
    <n v="48"/>
    <s v="BRCH001"/>
    <x v="0"/>
    <s v="KOA0102"/>
    <s v="Bandung"/>
    <s v="MENU010"/>
    <s v="Espresso"/>
    <s v="KTG0205"/>
    <x v="0"/>
    <n v="2"/>
    <n v="18000"/>
    <n v="0"/>
    <n v="1.7"/>
    <s v="PAY0712"/>
    <x v="3"/>
    <n v="36000"/>
  </r>
  <r>
    <s v="TRX0079"/>
    <s v="TGL0868"/>
    <x v="367"/>
    <s v="CNA0269"/>
    <x v="120"/>
    <n v="34"/>
    <s v="BRCH002"/>
    <x v="1"/>
    <s v="KOA0103"/>
    <s v="Jakarta"/>
    <s v="MENU002"/>
    <s v="Red Velvet Cake"/>
    <s v="KTG0206"/>
    <x v="1"/>
    <n v="3"/>
    <n v="30000"/>
    <n v="0"/>
    <n v="1.5"/>
    <s v="PAY0712"/>
    <x v="3"/>
    <n v="90000"/>
  </r>
  <r>
    <s v="TRX0326"/>
    <s v="TGL0869"/>
    <x v="368"/>
    <s v="CNA0301"/>
    <x v="136"/>
    <n v="29"/>
    <s v="BRCH001"/>
    <x v="0"/>
    <s v="KOA0102"/>
    <s v="Bandung"/>
    <s v="MENU001"/>
    <s v="Cappuccino"/>
    <s v="KTG0205"/>
    <x v="0"/>
    <n v="4"/>
    <n v="25000"/>
    <n v="0"/>
    <n v="1.8"/>
    <s v="PAY0709"/>
    <x v="0"/>
    <n v="100000"/>
  </r>
  <r>
    <s v="TRX0639"/>
    <s v="TGL0870"/>
    <x v="369"/>
    <s v="CNA0111"/>
    <x v="10"/>
    <n v="40"/>
    <s v="BRCH001"/>
    <x v="0"/>
    <s v="KOA0102"/>
    <s v="Bandung"/>
    <s v="MENU002"/>
    <s v="Red Velvet Cake"/>
    <s v="KTG0206"/>
    <x v="1"/>
    <n v="4"/>
    <n v="30000"/>
    <n v="5"/>
    <n v="4.9000000000000004"/>
    <s v="PAY0710"/>
    <x v="1"/>
    <n v="114000"/>
  </r>
  <r>
    <s v="TRX0197"/>
    <s v="TGL0871"/>
    <x v="370"/>
    <s v="CNA0113"/>
    <x v="12"/>
    <n v="33"/>
    <s v="BRCH005"/>
    <x v="4"/>
    <s v="KOA0106"/>
    <s v="Makassar"/>
    <s v="MENU001"/>
    <s v="Cappuccino"/>
    <s v="KTG0205"/>
    <x v="0"/>
    <n v="2"/>
    <n v="25000"/>
    <n v="0"/>
    <n v="1.8"/>
    <s v="PAY0711"/>
    <x v="2"/>
    <n v="50000"/>
  </r>
  <r>
    <s v="TRX0508"/>
    <s v="TGL0871"/>
    <x v="370"/>
    <s v="CNA0204"/>
    <x v="85"/>
    <n v="40"/>
    <s v="BRCH001"/>
    <x v="0"/>
    <s v="KOA0102"/>
    <s v="Bandung"/>
    <s v="MENU005"/>
    <s v="Croissant"/>
    <s v="KTG0206"/>
    <x v="1"/>
    <n v="5"/>
    <n v="23000"/>
    <n v="15"/>
    <n v="4.5"/>
    <s v="PAY0709"/>
    <x v="0"/>
    <n v="97750"/>
  </r>
  <r>
    <s v="TRX0122"/>
    <s v="TGL0872"/>
    <x v="371"/>
    <s v="CNA0195"/>
    <x v="79"/>
    <n v="42"/>
    <s v="BRCH003"/>
    <x v="2"/>
    <s v="KOA0104"/>
    <s v="Surabaya"/>
    <s v="MENU008"/>
    <s v="Americano"/>
    <s v="KTG0205"/>
    <x v="0"/>
    <n v="5"/>
    <n v="20000"/>
    <n v="20"/>
    <n v="2.7"/>
    <s v="PAY0711"/>
    <x v="2"/>
    <n v="80000"/>
  </r>
  <r>
    <s v="TRX0992"/>
    <s v="TGL0873"/>
    <x v="372"/>
    <s v="CNA0101"/>
    <x v="0"/>
    <n v="27"/>
    <s v="BRCH002"/>
    <x v="1"/>
    <s v="KOA0103"/>
    <s v="Jakarta"/>
    <s v="MENU004"/>
    <s v="Matcha Latte"/>
    <s v="KTG0207"/>
    <x v="2"/>
    <n v="5"/>
    <n v="28000"/>
    <n v="5"/>
    <n v="1.6"/>
    <s v="PAY0711"/>
    <x v="2"/>
    <n v="133000"/>
  </r>
  <r>
    <s v="TRX0347"/>
    <s v="TGL0874"/>
    <x v="373"/>
    <s v="CNA0289"/>
    <x v="129"/>
    <n v="42"/>
    <s v="BRCH002"/>
    <x v="1"/>
    <s v="KOA0103"/>
    <s v="Jakarta"/>
    <s v="MENU006"/>
    <s v="Sandwich Ayam"/>
    <s v="KTG0206"/>
    <x v="1"/>
    <n v="4"/>
    <n v="32000"/>
    <n v="0"/>
    <n v="4.5999999999999996"/>
    <s v="PAY0710"/>
    <x v="1"/>
    <n v="128000"/>
  </r>
  <r>
    <s v="TRX0275"/>
    <s v="TGL0875"/>
    <x v="374"/>
    <s v="CNA0233"/>
    <x v="103"/>
    <n v="18"/>
    <s v="BRCH005"/>
    <x v="4"/>
    <s v="KOA0106"/>
    <s v="Makassar"/>
    <s v="MENU004"/>
    <s v="Matcha Latte"/>
    <s v="KTG0207"/>
    <x v="2"/>
    <n v="5"/>
    <n v="28000"/>
    <n v="10"/>
    <n v="2.4"/>
    <s v="PAY0712"/>
    <x v="3"/>
    <n v="126000"/>
  </r>
  <r>
    <s v="TRX0364"/>
    <s v="TGL0876"/>
    <x v="375"/>
    <s v="CNA0211"/>
    <x v="89"/>
    <n v="49"/>
    <s v="BRCH001"/>
    <x v="0"/>
    <s v="KOA0102"/>
    <s v="Bandung"/>
    <s v="MENU006"/>
    <s v="Sandwich Ayam"/>
    <s v="KTG0206"/>
    <x v="1"/>
    <n v="5"/>
    <n v="32000"/>
    <n v="20"/>
    <n v="2.9"/>
    <s v="PAY0710"/>
    <x v="1"/>
    <n v="128000"/>
  </r>
  <r>
    <s v="TRX0240"/>
    <s v="TGL0877"/>
    <x v="376"/>
    <s v="CNA0110"/>
    <x v="9"/>
    <n v="39"/>
    <s v="BRCH004"/>
    <x v="3"/>
    <s v="KOA0105"/>
    <s v="Medan"/>
    <s v="MENU003"/>
    <s v="Kopi Susu Gula Aren"/>
    <s v="KTG0205"/>
    <x v="0"/>
    <n v="5"/>
    <n v="22000"/>
    <n v="10"/>
    <n v="4"/>
    <s v="PAY0712"/>
    <x v="3"/>
    <n v="99000"/>
  </r>
  <r>
    <s v="TRX0099"/>
    <s v="TGL0877"/>
    <x v="376"/>
    <s v="CNA0143"/>
    <x v="38"/>
    <n v="49"/>
    <s v="BRCH001"/>
    <x v="0"/>
    <s v="KOA0102"/>
    <s v="Bandung"/>
    <s v="MENU004"/>
    <s v="Matcha Latte"/>
    <s v="KTG0207"/>
    <x v="2"/>
    <n v="2"/>
    <n v="28000"/>
    <n v="5"/>
    <n v="1.2"/>
    <s v="PAY0711"/>
    <x v="2"/>
    <n v="53200"/>
  </r>
  <r>
    <s v="TRX0263"/>
    <s v="TGL0878"/>
    <x v="377"/>
    <s v="CNA0145"/>
    <x v="40"/>
    <n v="19"/>
    <s v="BRCH005"/>
    <x v="4"/>
    <s v="KOA0106"/>
    <s v="Makassar"/>
    <s v="MENU003"/>
    <s v="Kopi Susu Gula Aren"/>
    <s v="KTG0205"/>
    <x v="0"/>
    <n v="5"/>
    <n v="22000"/>
    <n v="0"/>
    <n v="2.1"/>
    <s v="PAY0710"/>
    <x v="1"/>
    <n v="110000"/>
  </r>
  <r>
    <s v="TRX0367"/>
    <s v="TGL0879"/>
    <x v="378"/>
    <s v="CNA0272"/>
    <x v="122"/>
    <n v="40"/>
    <s v="BRCH002"/>
    <x v="1"/>
    <s v="KOA0103"/>
    <s v="Jakarta"/>
    <s v="MENU010"/>
    <s v="Espresso"/>
    <s v="KTG0205"/>
    <x v="0"/>
    <n v="4"/>
    <n v="18000"/>
    <n v="15"/>
    <n v="2"/>
    <s v="PAY0710"/>
    <x v="1"/>
    <n v="61200"/>
  </r>
  <r>
    <s v="TRX0805"/>
    <s v="TGL0879"/>
    <x v="378"/>
    <s v="CNA0191"/>
    <x v="77"/>
    <n v="41"/>
    <s v="BRCH003"/>
    <x v="2"/>
    <s v="KOA0104"/>
    <s v="Surabaya"/>
    <s v="MENU009"/>
    <s v="Kentang Goreng"/>
    <s v="KTG0206"/>
    <x v="1"/>
    <n v="4"/>
    <n v="18000"/>
    <n v="0"/>
    <n v="5"/>
    <s v="PAY0709"/>
    <x v="0"/>
    <n v="72000"/>
  </r>
  <r>
    <s v="TRX0994"/>
    <s v="TGL0879"/>
    <x v="378"/>
    <s v="CNA0133"/>
    <x v="31"/>
    <n v="42"/>
    <s v="BRCH005"/>
    <x v="4"/>
    <s v="KOA0106"/>
    <s v="Makassar"/>
    <s v="MENU009"/>
    <s v="Kentang Goreng"/>
    <s v="KTG0206"/>
    <x v="1"/>
    <n v="1"/>
    <n v="18000"/>
    <n v="10"/>
    <n v="1.1000000000000001"/>
    <s v="PAY0709"/>
    <x v="0"/>
    <n v="16200"/>
  </r>
  <r>
    <s v="TRX0273"/>
    <s v="TGL0880"/>
    <x v="379"/>
    <s v="CNA0215"/>
    <x v="92"/>
    <n v="52"/>
    <s v="BRCH005"/>
    <x v="4"/>
    <s v="KOA0106"/>
    <s v="Makassar"/>
    <s v="MENU007"/>
    <s v="Chocolate Latte"/>
    <s v="KTG0207"/>
    <x v="2"/>
    <n v="4"/>
    <n v="27000"/>
    <n v="10"/>
    <n v="4.4000000000000004"/>
    <s v="PAY0712"/>
    <x v="3"/>
    <n v="97200"/>
  </r>
  <r>
    <s v="TRX0914"/>
    <s v="TGL0880"/>
    <x v="379"/>
    <s v="CNA0211"/>
    <x v="89"/>
    <n v="49"/>
    <s v="BRCH003"/>
    <x v="2"/>
    <s v="KOA0104"/>
    <s v="Surabaya"/>
    <s v="MENU003"/>
    <s v="Kopi Susu Gula Aren"/>
    <s v="KTG0205"/>
    <x v="0"/>
    <n v="1"/>
    <n v="22000"/>
    <n v="5"/>
    <n v="3"/>
    <s v="PAY0712"/>
    <x v="3"/>
    <n v="20900"/>
  </r>
  <r>
    <s v="TRX0956"/>
    <s v="TGL0881"/>
    <x v="380"/>
    <s v="CNA0558"/>
    <x v="177"/>
    <n v="27"/>
    <s v="BRCH002"/>
    <x v="1"/>
    <s v="KOA0103"/>
    <s v="Jakarta"/>
    <s v="MENU007"/>
    <s v="Chocolate Latte"/>
    <s v="KTG0207"/>
    <x v="2"/>
    <n v="2"/>
    <n v="27000"/>
    <n v="5"/>
    <n v="2.9"/>
    <s v="PAY0712"/>
    <x v="3"/>
    <n v="51300"/>
  </r>
  <r>
    <s v="TRX0452"/>
    <s v="TGL0881"/>
    <x v="380"/>
    <s v="CNA0112"/>
    <x v="11"/>
    <n v="22"/>
    <s v="BRCH004"/>
    <x v="3"/>
    <s v="KOA0105"/>
    <s v="Medan"/>
    <s v="MENU004"/>
    <s v="Matcha Latte"/>
    <s v="KTG0207"/>
    <x v="2"/>
    <n v="3"/>
    <n v="28000"/>
    <n v="0"/>
    <n v="4.0999999999999996"/>
    <s v="PAY0711"/>
    <x v="2"/>
    <n v="84000"/>
  </r>
  <r>
    <s v="TRX0794"/>
    <s v="TGL0882"/>
    <x v="381"/>
    <s v="CNA0531"/>
    <x v="174"/>
    <n v="45"/>
    <s v="BRCH001"/>
    <x v="0"/>
    <s v="KOA0102"/>
    <s v="Bandung"/>
    <s v="MENU007"/>
    <s v="Chocolate Latte"/>
    <s v="KTG0207"/>
    <x v="2"/>
    <n v="1"/>
    <n v="27000"/>
    <n v="20"/>
    <n v="4.8"/>
    <s v="PAY0710"/>
    <x v="1"/>
    <n v="21600"/>
  </r>
  <r>
    <s v="TRX0683"/>
    <s v="TGL0882"/>
    <x v="381"/>
    <s v="CNA0381"/>
    <x v="154"/>
    <n v="40"/>
    <s v="BRCH003"/>
    <x v="2"/>
    <s v="KOA0104"/>
    <s v="Surabaya"/>
    <s v="MENU005"/>
    <s v="Croissant"/>
    <s v="KTG0206"/>
    <x v="1"/>
    <n v="3"/>
    <n v="23000"/>
    <n v="0"/>
    <n v="3.8"/>
    <s v="PAY0712"/>
    <x v="3"/>
    <n v="69000"/>
  </r>
  <r>
    <s v="TRX0706"/>
    <s v="TGL0883"/>
    <x v="382"/>
    <s v="CNA0696"/>
    <x v="185"/>
    <n v="34"/>
    <s v="BRCH001"/>
    <x v="0"/>
    <s v="KOA0102"/>
    <s v="Bandung"/>
    <s v="MENU002"/>
    <s v="Red Velvet Cake"/>
    <s v="KTG0206"/>
    <x v="1"/>
    <n v="4"/>
    <n v="30000"/>
    <n v="0"/>
    <n v="4.8"/>
    <s v="PAY0709"/>
    <x v="0"/>
    <n v="120000"/>
  </r>
  <r>
    <s v="TRX0055"/>
    <s v="TGL0883"/>
    <x v="382"/>
    <s v="CNA0171"/>
    <x v="62"/>
    <n v="43"/>
    <s v="BRCH003"/>
    <x v="2"/>
    <s v="KOA0104"/>
    <s v="Surabaya"/>
    <s v="MENU010"/>
    <s v="Espresso"/>
    <s v="KTG0205"/>
    <x v="0"/>
    <n v="1"/>
    <n v="18000"/>
    <n v="0"/>
    <n v="1.8"/>
    <s v="PAY0712"/>
    <x v="3"/>
    <n v="18000"/>
  </r>
  <r>
    <s v="TRX0399"/>
    <s v="TGL0884"/>
    <x v="383"/>
    <s v="CNA0146"/>
    <x v="41"/>
    <n v="37"/>
    <s v="BRCH002"/>
    <x v="1"/>
    <s v="KOA0103"/>
    <s v="Jakarta"/>
    <s v="MENU006"/>
    <s v="Sandwich Ayam"/>
    <s v="KTG0206"/>
    <x v="1"/>
    <n v="3"/>
    <n v="32000"/>
    <n v="10"/>
    <n v="4.3"/>
    <s v="PAY0709"/>
    <x v="0"/>
    <n v="86400"/>
  </r>
  <r>
    <s v="TRX0635"/>
    <s v="TGL0885"/>
    <x v="384"/>
    <s v="CNA0235"/>
    <x v="105"/>
    <n v="44"/>
    <s v="BRCH003"/>
    <x v="2"/>
    <s v="KOA0104"/>
    <s v="Surabaya"/>
    <s v="MENU001"/>
    <s v="Cappuccino"/>
    <s v="KTG0205"/>
    <x v="0"/>
    <n v="2"/>
    <n v="25000"/>
    <n v="15"/>
    <n v="1"/>
    <s v="PAY0709"/>
    <x v="0"/>
    <n v="42500"/>
  </r>
  <r>
    <s v="TRX0134"/>
    <s v="TGL0885"/>
    <x v="384"/>
    <s v="CNA0185"/>
    <x v="73"/>
    <n v="22"/>
    <s v="BRCH005"/>
    <x v="4"/>
    <s v="KOA0106"/>
    <s v="Makassar"/>
    <s v="MENU003"/>
    <s v="Kopi Susu Gula Aren"/>
    <s v="KTG0205"/>
    <x v="0"/>
    <n v="4"/>
    <n v="22000"/>
    <n v="20"/>
    <n v="3"/>
    <s v="PAY0709"/>
    <x v="0"/>
    <n v="70400"/>
  </r>
  <r>
    <s v="TRX0318"/>
    <s v="TGL0885"/>
    <x v="384"/>
    <s v="CNA0507"/>
    <x v="171"/>
    <n v="24"/>
    <s v="BRCH003"/>
    <x v="2"/>
    <s v="KOA0104"/>
    <s v="Surabaya"/>
    <s v="MENU001"/>
    <s v="Cappuccino"/>
    <s v="KTG0205"/>
    <x v="0"/>
    <n v="3"/>
    <n v="25000"/>
    <n v="20"/>
    <n v="3.1"/>
    <s v="PAY0712"/>
    <x v="3"/>
    <n v="60000"/>
  </r>
  <r>
    <s v="TRX0633"/>
    <s v="TGL0886"/>
    <x v="385"/>
    <s v="CNA0101"/>
    <x v="0"/>
    <n v="27"/>
    <s v="BRCH001"/>
    <x v="0"/>
    <s v="KOA0102"/>
    <s v="Bandung"/>
    <s v="MENU002"/>
    <s v="Red Velvet Cake"/>
    <s v="KTG0206"/>
    <x v="1"/>
    <n v="4"/>
    <n v="30000"/>
    <n v="0"/>
    <n v="3.7"/>
    <s v="PAY0712"/>
    <x v="3"/>
    <n v="120000"/>
  </r>
  <r>
    <s v="TRX0401"/>
    <s v="TGL0886"/>
    <x v="385"/>
    <s v="CNA0144"/>
    <x v="39"/>
    <n v="42"/>
    <s v="BRCH003"/>
    <x v="2"/>
    <s v="KOA0104"/>
    <s v="Surabaya"/>
    <s v="MENU009"/>
    <s v="Kentang Goreng"/>
    <s v="KTG0206"/>
    <x v="1"/>
    <n v="3"/>
    <n v="18000"/>
    <n v="0"/>
    <n v="4.5999999999999996"/>
    <s v="PAY0709"/>
    <x v="0"/>
    <n v="54000"/>
  </r>
  <r>
    <s v="TRX0554"/>
    <s v="TGL0886"/>
    <x v="385"/>
    <s v="CNA0410"/>
    <x v="160"/>
    <n v="18"/>
    <s v="BRCH003"/>
    <x v="2"/>
    <s v="KOA0104"/>
    <s v="Surabaya"/>
    <s v="MENU008"/>
    <s v="Americano"/>
    <s v="KTG0205"/>
    <x v="0"/>
    <n v="2"/>
    <n v="20000"/>
    <n v="15"/>
    <n v="4.2"/>
    <s v="PAY0711"/>
    <x v="2"/>
    <n v="34000"/>
  </r>
  <r>
    <s v="TRX0042"/>
    <s v="TGL0887"/>
    <x v="386"/>
    <s v="CNA0195"/>
    <x v="79"/>
    <n v="42"/>
    <s v="BRCH001"/>
    <x v="0"/>
    <s v="KOA0102"/>
    <s v="Bandung"/>
    <s v="MENU003"/>
    <s v="Kopi Susu Gula Aren"/>
    <s v="KTG0205"/>
    <x v="0"/>
    <n v="4"/>
    <n v="22000"/>
    <n v="15"/>
    <n v="4.2"/>
    <s v="PAY0710"/>
    <x v="1"/>
    <n v="74800"/>
  </r>
  <r>
    <s v="TRX0484"/>
    <s v="TGL0888"/>
    <x v="387"/>
    <s v="CNA0410"/>
    <x v="160"/>
    <n v="18"/>
    <s v="BRCH004"/>
    <x v="3"/>
    <s v="KOA0105"/>
    <s v="Medan"/>
    <s v="MENU003"/>
    <s v="Kopi Susu Gula Aren"/>
    <s v="KTG0205"/>
    <x v="0"/>
    <n v="5"/>
    <n v="22000"/>
    <n v="15"/>
    <n v="3.9"/>
    <s v="PAY0709"/>
    <x v="0"/>
    <n v="93500"/>
  </r>
  <r>
    <s v="TRX0732"/>
    <s v="TGL0888"/>
    <x v="387"/>
    <s v="CNA0115"/>
    <x v="14"/>
    <n v="46"/>
    <s v="BRCH003"/>
    <x v="2"/>
    <s v="KOA0104"/>
    <s v="Surabaya"/>
    <s v="MENU008"/>
    <s v="Americano"/>
    <s v="KTG0205"/>
    <x v="0"/>
    <n v="4"/>
    <n v="20000"/>
    <n v="0"/>
    <n v="1.2"/>
    <s v="PAY0709"/>
    <x v="0"/>
    <n v="80000"/>
  </r>
  <r>
    <s v="TRX0369"/>
    <s v="TGL0888"/>
    <x v="387"/>
    <s v="CNA0263"/>
    <x v="117"/>
    <n v="36"/>
    <s v="BRCH002"/>
    <x v="1"/>
    <s v="KOA0103"/>
    <s v="Jakarta"/>
    <s v="MENU006"/>
    <s v="Sandwich Ayam"/>
    <s v="KTG0206"/>
    <x v="1"/>
    <n v="3"/>
    <n v="32000"/>
    <n v="0"/>
    <n v="4.2"/>
    <s v="PAY0709"/>
    <x v="0"/>
    <n v="96000"/>
  </r>
  <r>
    <s v="TRX0086"/>
    <s v="TGL0889"/>
    <x v="388"/>
    <s v="CNA0136"/>
    <x v="33"/>
    <n v="31"/>
    <s v="BRCH005"/>
    <x v="4"/>
    <s v="KOA0106"/>
    <s v="Makassar"/>
    <s v="MENU010"/>
    <s v="Espresso"/>
    <s v="KTG0205"/>
    <x v="0"/>
    <n v="4"/>
    <n v="18000"/>
    <n v="15"/>
    <n v="4.4000000000000004"/>
    <s v="PAY0712"/>
    <x v="3"/>
    <n v="61200"/>
  </r>
  <r>
    <s v="TRX0139"/>
    <s v="TGL0889"/>
    <x v="388"/>
    <s v="CNA0177"/>
    <x v="68"/>
    <n v="38"/>
    <s v="BRCH004"/>
    <x v="3"/>
    <s v="KOA0105"/>
    <s v="Medan"/>
    <s v="MENU006"/>
    <s v="Sandwich Ayam"/>
    <s v="KTG0206"/>
    <x v="1"/>
    <n v="2"/>
    <n v="32000"/>
    <n v="10"/>
    <n v="5"/>
    <s v="PAY0711"/>
    <x v="2"/>
    <n v="57600"/>
  </r>
  <r>
    <s v="TRX0428"/>
    <s v="TGL0890"/>
    <x v="389"/>
    <s v="CNA0325"/>
    <x v="146"/>
    <n v="45"/>
    <s v="BRCH004"/>
    <x v="3"/>
    <s v="KOA0105"/>
    <s v="Medan"/>
    <s v="MENU001"/>
    <s v="Cappuccino"/>
    <s v="KTG0205"/>
    <x v="0"/>
    <n v="1"/>
    <n v="25000"/>
    <n v="20"/>
    <n v="2"/>
    <s v="PAY0712"/>
    <x v="3"/>
    <n v="20000"/>
  </r>
  <r>
    <s v="TRX0586"/>
    <s v="TGL0890"/>
    <x v="389"/>
    <s v="CNA0385"/>
    <x v="155"/>
    <n v="50"/>
    <s v="BRCH003"/>
    <x v="2"/>
    <s v="KOA0104"/>
    <s v="Surabaya"/>
    <s v="MENU009"/>
    <s v="Kentang Goreng"/>
    <s v="KTG0206"/>
    <x v="1"/>
    <n v="3"/>
    <n v="18000"/>
    <n v="0"/>
    <n v="3"/>
    <s v="PAY0712"/>
    <x v="3"/>
    <n v="54000"/>
  </r>
  <r>
    <s v="TRX0761"/>
    <s v="TGL0890"/>
    <x v="389"/>
    <s v="CNA0350"/>
    <x v="151"/>
    <n v="52"/>
    <s v="BRCH001"/>
    <x v="0"/>
    <s v="KOA0102"/>
    <s v="Bandung"/>
    <s v="MENU005"/>
    <s v="Croissant"/>
    <s v="KTG0206"/>
    <x v="1"/>
    <n v="1"/>
    <n v="23000"/>
    <n v="20"/>
    <n v="1.7"/>
    <s v="PAY0711"/>
    <x v="2"/>
    <n v="18400"/>
  </r>
  <r>
    <s v="TRX0191"/>
    <s v="TGL0890"/>
    <x v="389"/>
    <s v="CNA0821"/>
    <x v="191"/>
    <n v="17"/>
    <s v="BRCH004"/>
    <x v="3"/>
    <s v="KOA0105"/>
    <s v="Medan"/>
    <s v="MENU009"/>
    <s v="Kentang Goreng"/>
    <s v="KTG0206"/>
    <x v="1"/>
    <n v="4"/>
    <n v="18000"/>
    <n v="15"/>
    <n v="4.8"/>
    <s v="PAY0709"/>
    <x v="0"/>
    <n v="61200"/>
  </r>
  <r>
    <s v="TRX0082"/>
    <s v="TGL0891"/>
    <x v="390"/>
    <s v="CNA0271"/>
    <x v="121"/>
    <n v="48"/>
    <s v="BRCH003"/>
    <x v="2"/>
    <s v="KOA0104"/>
    <s v="Surabaya"/>
    <s v="MENU005"/>
    <s v="Croissant"/>
    <s v="KTG0206"/>
    <x v="1"/>
    <n v="1"/>
    <n v="23000"/>
    <n v="0"/>
    <n v="2"/>
    <s v="PAY0712"/>
    <x v="3"/>
    <n v="23000"/>
  </r>
  <r>
    <s v="TRX0685"/>
    <s v="TGL0891"/>
    <x v="390"/>
    <s v="CNA0291"/>
    <x v="131"/>
    <n v="39"/>
    <s v="BRCH004"/>
    <x v="3"/>
    <s v="KOA0105"/>
    <s v="Medan"/>
    <s v="MENU006"/>
    <s v="Sandwich Ayam"/>
    <s v="KTG0206"/>
    <x v="1"/>
    <n v="1"/>
    <n v="32000"/>
    <n v="0"/>
    <n v="3.8"/>
    <s v="PAY0709"/>
    <x v="0"/>
    <n v="32000"/>
  </r>
  <r>
    <s v="TRX0236"/>
    <s v="TGL0891"/>
    <x v="390"/>
    <s v="CNA0106"/>
    <x v="5"/>
    <n v="30"/>
    <s v="BRCH003"/>
    <x v="2"/>
    <s v="KOA0104"/>
    <s v="Surabaya"/>
    <s v="MENU001"/>
    <s v="Cappuccino"/>
    <s v="KTG0205"/>
    <x v="0"/>
    <n v="1"/>
    <n v="25000"/>
    <n v="0"/>
    <n v="2"/>
    <s v="PAY0712"/>
    <x v="3"/>
    <n v="25000"/>
  </r>
  <r>
    <s v="TRX0823"/>
    <s v="TGL0892"/>
    <x v="391"/>
    <s v="CNA0268"/>
    <x v="119"/>
    <n v="31"/>
    <s v="BRCH002"/>
    <x v="1"/>
    <s v="KOA0103"/>
    <s v="Jakarta"/>
    <s v="MENU007"/>
    <s v="Chocolate Latte"/>
    <s v="KTG0207"/>
    <x v="2"/>
    <n v="5"/>
    <n v="27000"/>
    <n v="20"/>
    <n v="1.9"/>
    <s v="PAY0711"/>
    <x v="2"/>
    <n v="108000"/>
  </r>
  <r>
    <s v="TRX0358"/>
    <s v="TGL0892"/>
    <x v="391"/>
    <s v="CNA0102"/>
    <x v="1"/>
    <n v="36"/>
    <s v="BRCH004"/>
    <x v="3"/>
    <s v="KOA0105"/>
    <s v="Medan"/>
    <s v="MENU003"/>
    <s v="Kopi Susu Gula Aren"/>
    <s v="KTG0205"/>
    <x v="0"/>
    <n v="5"/>
    <n v="22000"/>
    <n v="15"/>
    <n v="3.9"/>
    <s v="PAY0710"/>
    <x v="1"/>
    <n v="93500"/>
  </r>
  <r>
    <s v="TRX0670"/>
    <s v="TGL0893"/>
    <x v="392"/>
    <s v="CNA0117"/>
    <x v="16"/>
    <n v="53"/>
    <s v="BRCH004"/>
    <x v="3"/>
    <s v="KOA0105"/>
    <s v="Medan"/>
    <s v="MENU007"/>
    <s v="Chocolate Latte"/>
    <s v="KTG0207"/>
    <x v="2"/>
    <n v="4"/>
    <n v="27000"/>
    <n v="20"/>
    <n v="1.4"/>
    <s v="PAY0712"/>
    <x v="3"/>
    <n v="86400"/>
  </r>
  <r>
    <s v="TRX0487"/>
    <s v="TGL0893"/>
    <x v="392"/>
    <s v="CNA0167"/>
    <x v="58"/>
    <n v="38"/>
    <s v="BRCH002"/>
    <x v="1"/>
    <s v="KOA0103"/>
    <s v="Jakarta"/>
    <s v="MENU008"/>
    <s v="Americano"/>
    <s v="KTG0205"/>
    <x v="0"/>
    <n v="5"/>
    <n v="20000"/>
    <n v="20"/>
    <n v="1.6"/>
    <s v="PAY0711"/>
    <x v="2"/>
    <n v="80000"/>
  </r>
  <r>
    <s v="TRX0094"/>
    <s v="TGL0893"/>
    <x v="392"/>
    <s v="CNA0310"/>
    <x v="139"/>
    <n v="22"/>
    <s v="BRCH003"/>
    <x v="2"/>
    <s v="KOA0104"/>
    <s v="Surabaya"/>
    <s v="MENU005"/>
    <s v="Croissant"/>
    <s v="KTG0206"/>
    <x v="1"/>
    <n v="1"/>
    <n v="23000"/>
    <n v="0"/>
    <n v="3.9"/>
    <s v="PAY0709"/>
    <x v="0"/>
    <n v="23000"/>
  </r>
  <r>
    <s v="TRX0350"/>
    <s v="TGL0894"/>
    <x v="393"/>
    <s v="CNA0124"/>
    <x v="23"/>
    <n v="33"/>
    <s v="BRCH004"/>
    <x v="3"/>
    <s v="KOA0105"/>
    <s v="Medan"/>
    <s v="MENU008"/>
    <s v="Americano"/>
    <s v="KTG0205"/>
    <x v="0"/>
    <n v="3"/>
    <n v="20000"/>
    <n v="10"/>
    <n v="2"/>
    <s v="PAY0710"/>
    <x v="1"/>
    <n v="54000"/>
  </r>
  <r>
    <s v="TRX0567"/>
    <s v="TGL0895"/>
    <x v="394"/>
    <s v="CNA0176"/>
    <x v="67"/>
    <n v="25"/>
    <s v="BRCH005"/>
    <x v="4"/>
    <s v="KOA0106"/>
    <s v="Makassar"/>
    <s v="MENU002"/>
    <s v="Red Velvet Cake"/>
    <s v="KTG0206"/>
    <x v="1"/>
    <n v="1"/>
    <n v="30000"/>
    <n v="0"/>
    <n v="3"/>
    <s v="PAY0711"/>
    <x v="2"/>
    <n v="30000"/>
  </r>
  <r>
    <s v="TRX0228"/>
    <s v="TGL0896"/>
    <x v="395"/>
    <s v="CNA0170"/>
    <x v="61"/>
    <n v="18"/>
    <s v="BRCH004"/>
    <x v="3"/>
    <s v="KOA0105"/>
    <s v="Medan"/>
    <s v="MENU003"/>
    <s v="Kopi Susu Gula Aren"/>
    <s v="KTG0205"/>
    <x v="0"/>
    <n v="3"/>
    <n v="22000"/>
    <n v="0"/>
    <n v="2.6"/>
    <s v="PAY0710"/>
    <x v="1"/>
    <n v="66000"/>
  </r>
  <r>
    <s v="TRX0822"/>
    <s v="TGL0896"/>
    <x v="395"/>
    <s v="CNA0494"/>
    <x v="169"/>
    <n v="40"/>
    <s v="BRCH002"/>
    <x v="1"/>
    <s v="KOA0103"/>
    <s v="Jakarta"/>
    <s v="MENU005"/>
    <s v="Croissant"/>
    <s v="KTG0206"/>
    <x v="1"/>
    <n v="4"/>
    <n v="23000"/>
    <n v="0"/>
    <n v="3.7"/>
    <s v="PAY0709"/>
    <x v="0"/>
    <n v="92000"/>
  </r>
  <r>
    <s v="TRX0589"/>
    <s v="TGL0897"/>
    <x v="396"/>
    <s v="CNA0342"/>
    <x v="148"/>
    <n v="35"/>
    <s v="BRCH003"/>
    <x v="2"/>
    <s v="KOA0104"/>
    <s v="Surabaya"/>
    <s v="MENU009"/>
    <s v="Kentang Goreng"/>
    <s v="KTG0206"/>
    <x v="1"/>
    <n v="2"/>
    <n v="18000"/>
    <n v="5"/>
    <n v="4.4000000000000004"/>
    <s v="PAY0712"/>
    <x v="3"/>
    <n v="34200"/>
  </r>
  <r>
    <s v="TRX0133"/>
    <s v="TGL0898"/>
    <x v="397"/>
    <s v="CNA0191"/>
    <x v="77"/>
    <n v="41"/>
    <s v="BRCH001"/>
    <x v="0"/>
    <s v="KOA0102"/>
    <s v="Bandung"/>
    <s v="MENU005"/>
    <s v="Croissant"/>
    <s v="KTG0206"/>
    <x v="1"/>
    <n v="3"/>
    <n v="23000"/>
    <n v="0"/>
    <n v="3.6"/>
    <s v="PAY0712"/>
    <x v="3"/>
    <n v="69000"/>
  </r>
  <r>
    <s v="TRX0296"/>
    <s v="TGL0898"/>
    <x v="397"/>
    <s v="CNA0284"/>
    <x v="127"/>
    <n v="21"/>
    <s v="BRCH002"/>
    <x v="1"/>
    <s v="KOA0103"/>
    <s v="Jakarta"/>
    <s v="MENU005"/>
    <s v="Croissant"/>
    <s v="KTG0206"/>
    <x v="1"/>
    <n v="5"/>
    <n v="23000"/>
    <n v="0"/>
    <n v="2.6"/>
    <s v="PAY0712"/>
    <x v="3"/>
    <n v="115000"/>
  </r>
  <r>
    <s v="TRX0650"/>
    <s v="TGL0898"/>
    <x v="397"/>
    <s v="CNA0140"/>
    <x v="37"/>
    <n v="43"/>
    <s v="BRCH004"/>
    <x v="3"/>
    <s v="KOA0105"/>
    <s v="Medan"/>
    <s v="MENU001"/>
    <s v="Cappuccino"/>
    <s v="KTG0205"/>
    <x v="0"/>
    <n v="4"/>
    <n v="25000"/>
    <n v="0"/>
    <n v="2.2999999999999998"/>
    <s v="PAY0709"/>
    <x v="0"/>
    <n v="100000"/>
  </r>
  <r>
    <s v="TRX0425"/>
    <s v="TGL0899"/>
    <x v="398"/>
    <s v="CNA0201"/>
    <x v="82"/>
    <n v="23"/>
    <s v="BRCH004"/>
    <x v="3"/>
    <s v="KOA0105"/>
    <s v="Medan"/>
    <s v="MENU007"/>
    <s v="Chocolate Latte"/>
    <s v="KTG0207"/>
    <x v="2"/>
    <n v="1"/>
    <n v="27000"/>
    <n v="5"/>
    <n v="3.6"/>
    <s v="PAY0710"/>
    <x v="1"/>
    <n v="25650"/>
  </r>
  <r>
    <s v="TRX0618"/>
    <s v="TGL0899"/>
    <x v="398"/>
    <s v="CNA0212"/>
    <x v="90"/>
    <n v="39"/>
    <s v="BRCH002"/>
    <x v="1"/>
    <s v="KOA0103"/>
    <s v="Jakarta"/>
    <s v="MENU001"/>
    <s v="Cappuccino"/>
    <s v="KTG0205"/>
    <x v="0"/>
    <n v="2"/>
    <n v="25000"/>
    <n v="0"/>
    <n v="4.0999999999999996"/>
    <s v="PAY0711"/>
    <x v="2"/>
    <n v="50000"/>
  </r>
  <r>
    <s v="TRX0784"/>
    <s v="TGL0899"/>
    <x v="398"/>
    <s v="CNA0646"/>
    <x v="181"/>
    <n v="27"/>
    <s v="BRCH003"/>
    <x v="2"/>
    <s v="KOA0104"/>
    <s v="Surabaya"/>
    <s v="MENU007"/>
    <s v="Chocolate Latte"/>
    <s v="KTG0207"/>
    <x v="2"/>
    <n v="4"/>
    <n v="27000"/>
    <n v="0"/>
    <n v="4.4000000000000004"/>
    <s v="PAY0712"/>
    <x v="3"/>
    <n v="108000"/>
  </r>
  <r>
    <s v="TRX0626"/>
    <s v="TGL0899"/>
    <x v="398"/>
    <s v="CNA0494"/>
    <x v="169"/>
    <n v="40"/>
    <s v="BRCH001"/>
    <x v="0"/>
    <s v="KOA0102"/>
    <s v="Bandung"/>
    <s v="MENU005"/>
    <s v="Croissant"/>
    <s v="KTG0206"/>
    <x v="1"/>
    <n v="2"/>
    <n v="23000"/>
    <n v="0"/>
    <n v="3.6"/>
    <s v="PAY0712"/>
    <x v="3"/>
    <n v="46000"/>
  </r>
  <r>
    <s v="TRX0906"/>
    <s v="TGL0900"/>
    <x v="399"/>
    <s v="CNA0145"/>
    <x v="40"/>
    <n v="19"/>
    <s v="BRCH003"/>
    <x v="2"/>
    <s v="KOA0104"/>
    <s v="Surabaya"/>
    <s v="MENU010"/>
    <s v="Espresso"/>
    <s v="KTG0205"/>
    <x v="0"/>
    <n v="2"/>
    <n v="18000"/>
    <n v="0"/>
    <n v="4"/>
    <s v="PAY0710"/>
    <x v="1"/>
    <n v="36000"/>
  </r>
  <r>
    <s v="TRX0382"/>
    <s v="TGL0901"/>
    <x v="400"/>
    <s v="CNA0151"/>
    <x v="46"/>
    <n v="20"/>
    <s v="BRCH005"/>
    <x v="4"/>
    <s v="KOA0106"/>
    <s v="Makassar"/>
    <s v="MENU005"/>
    <s v="Croissant"/>
    <s v="KTG0206"/>
    <x v="1"/>
    <n v="2"/>
    <n v="23000"/>
    <n v="5"/>
    <n v="4.5"/>
    <s v="PAY0710"/>
    <x v="1"/>
    <n v="43700"/>
  </r>
  <r>
    <s v="TRX0419"/>
    <s v="TGL0902"/>
    <x v="401"/>
    <s v="CNA0319"/>
    <x v="144"/>
    <n v="31"/>
    <s v="BRCH003"/>
    <x v="2"/>
    <s v="KOA0104"/>
    <s v="Surabaya"/>
    <s v="MENU004"/>
    <s v="Matcha Latte"/>
    <s v="KTG0207"/>
    <x v="2"/>
    <n v="4"/>
    <n v="28000"/>
    <n v="10"/>
    <n v="3.8"/>
    <s v="PAY0711"/>
    <x v="2"/>
    <n v="100800"/>
  </r>
  <r>
    <s v="TRX0722"/>
    <s v="TGL0902"/>
    <x v="401"/>
    <s v="CNA0344"/>
    <x v="149"/>
    <n v="43"/>
    <s v="BRCH005"/>
    <x v="4"/>
    <s v="KOA0106"/>
    <s v="Makassar"/>
    <s v="MENU009"/>
    <s v="Kentang Goreng"/>
    <s v="KTG0206"/>
    <x v="1"/>
    <n v="4"/>
    <n v="18000"/>
    <n v="10"/>
    <n v="3.3"/>
    <s v="PAY0711"/>
    <x v="2"/>
    <n v="64800"/>
  </r>
  <r>
    <s v="TRX0584"/>
    <s v="TGL0903"/>
    <x v="402"/>
    <s v="CNA0348"/>
    <x v="150"/>
    <n v="42"/>
    <s v="BRCH004"/>
    <x v="3"/>
    <s v="KOA0105"/>
    <s v="Medan"/>
    <s v="MENU010"/>
    <s v="Espresso"/>
    <s v="KTG0205"/>
    <x v="0"/>
    <n v="3"/>
    <n v="18000"/>
    <n v="0"/>
    <n v="4.9000000000000004"/>
    <s v="PAY0709"/>
    <x v="0"/>
    <n v="54000"/>
  </r>
  <r>
    <s v="TRX0898"/>
    <s v="TGL0904"/>
    <x v="403"/>
    <s v="CNA0847"/>
    <x v="192"/>
    <n v="51"/>
    <s v="BRCH004"/>
    <x v="3"/>
    <s v="KOA0105"/>
    <s v="Medan"/>
    <s v="MENU008"/>
    <s v="Americano"/>
    <s v="KTG0205"/>
    <x v="0"/>
    <n v="4"/>
    <n v="20000"/>
    <n v="0"/>
    <n v="4.9000000000000004"/>
    <s v="PAY0711"/>
    <x v="2"/>
    <n v="80000"/>
  </r>
  <r>
    <s v="TRX0648"/>
    <s v="TGL0904"/>
    <x v="403"/>
    <s v="CNA0103"/>
    <x v="2"/>
    <n v="44"/>
    <s v="BRCH001"/>
    <x v="0"/>
    <s v="KOA0102"/>
    <s v="Bandung"/>
    <s v="MENU009"/>
    <s v="Kentang Goreng"/>
    <s v="KTG0206"/>
    <x v="1"/>
    <n v="2"/>
    <n v="18000"/>
    <n v="15"/>
    <n v="2.8"/>
    <s v="PAY0709"/>
    <x v="0"/>
    <n v="30600"/>
  </r>
  <r>
    <s v="TRX0131"/>
    <s v="TGL0905"/>
    <x v="404"/>
    <s v="CNA0420"/>
    <x v="163"/>
    <n v="44"/>
    <s v="BRCH002"/>
    <x v="1"/>
    <s v="KOA0103"/>
    <s v="Jakarta"/>
    <s v="MENU008"/>
    <s v="Americano"/>
    <s v="KTG0205"/>
    <x v="0"/>
    <n v="3"/>
    <n v="20000"/>
    <n v="15"/>
    <n v="4.4000000000000004"/>
    <s v="PAY0712"/>
    <x v="3"/>
    <n v="51000"/>
  </r>
  <r>
    <s v="TRX0449"/>
    <s v="TGL0906"/>
    <x v="405"/>
    <s v="CNA0173"/>
    <x v="64"/>
    <n v="35"/>
    <s v="BRCH002"/>
    <x v="1"/>
    <s v="KOA0103"/>
    <s v="Jakarta"/>
    <s v="MENU002"/>
    <s v="Red Velvet Cake"/>
    <s v="KTG0206"/>
    <x v="1"/>
    <n v="2"/>
    <n v="30000"/>
    <n v="0"/>
    <n v="4.8"/>
    <s v="PAY0711"/>
    <x v="2"/>
    <n v="60000"/>
  </r>
  <r>
    <s v="TRX0545"/>
    <s v="TGL0907"/>
    <x v="406"/>
    <s v="CNA0183"/>
    <x v="71"/>
    <n v="54"/>
    <s v="BRCH001"/>
    <x v="0"/>
    <s v="KOA0102"/>
    <s v="Bandung"/>
    <s v="MENU007"/>
    <s v="Chocolate Latte"/>
    <s v="KTG0207"/>
    <x v="2"/>
    <n v="1"/>
    <n v="27000"/>
    <n v="0"/>
    <n v="3.5"/>
    <s v="PAY0712"/>
    <x v="3"/>
    <n v="27000"/>
  </r>
  <r>
    <s v="TRX0693"/>
    <s v="TGL0908"/>
    <x v="407"/>
    <s v="CNA0133"/>
    <x v="31"/>
    <n v="42"/>
    <s v="BRCH001"/>
    <x v="0"/>
    <s v="KOA0102"/>
    <s v="Bandung"/>
    <s v="MENU004"/>
    <s v="Matcha Latte"/>
    <s v="KTG0207"/>
    <x v="2"/>
    <n v="4"/>
    <n v="28000"/>
    <n v="15"/>
    <n v="3.4"/>
    <s v="PAY0711"/>
    <x v="2"/>
    <n v="95200"/>
  </r>
  <r>
    <s v="TRX0247"/>
    <s v="TGL0909"/>
    <x v="408"/>
    <s v="CNA0853"/>
    <x v="193"/>
    <n v="32"/>
    <s v="BRCH003"/>
    <x v="2"/>
    <s v="KOA0104"/>
    <s v="Surabaya"/>
    <s v="MENU010"/>
    <s v="Espresso"/>
    <s v="KTG0205"/>
    <x v="0"/>
    <n v="5"/>
    <n v="18000"/>
    <n v="20"/>
    <n v="2"/>
    <s v="PAY0712"/>
    <x v="3"/>
    <n v="72000"/>
  </r>
  <r>
    <s v="TRX0556"/>
    <s v="TGL0910"/>
    <x v="409"/>
    <s v="CNA0205"/>
    <x v="86"/>
    <n v="17"/>
    <s v="BRCH004"/>
    <x v="3"/>
    <s v="KOA0105"/>
    <s v="Medan"/>
    <s v="MENU001"/>
    <s v="Cappuccino"/>
    <s v="KTG0205"/>
    <x v="0"/>
    <n v="4"/>
    <n v="25000"/>
    <n v="20"/>
    <n v="4.3"/>
    <s v="PAY0712"/>
    <x v="3"/>
    <n v="80000"/>
  </r>
  <r>
    <s v="TRX0592"/>
    <s v="TGL0910"/>
    <x v="409"/>
    <s v="CNA0317"/>
    <x v="142"/>
    <n v="31"/>
    <s v="BRCH001"/>
    <x v="0"/>
    <s v="KOA0102"/>
    <s v="Bandung"/>
    <s v="MENU008"/>
    <s v="Americano"/>
    <s v="KTG0205"/>
    <x v="0"/>
    <n v="2"/>
    <n v="20000"/>
    <n v="0"/>
    <n v="2.9"/>
    <s v="PAY0711"/>
    <x v="2"/>
    <n v="40000"/>
  </r>
  <r>
    <s v="TRX0458"/>
    <s v="TGL0911"/>
    <x v="410"/>
    <s v="CNA0856"/>
    <x v="194"/>
    <n v="50"/>
    <s v="BRCH004"/>
    <x v="3"/>
    <s v="KOA0105"/>
    <s v="Medan"/>
    <s v="MENU002"/>
    <s v="Red Velvet Cake"/>
    <s v="KTG0206"/>
    <x v="1"/>
    <n v="4"/>
    <n v="30000"/>
    <n v="10"/>
    <n v="2.6"/>
    <s v="PAY0709"/>
    <x v="0"/>
    <n v="108000"/>
  </r>
  <r>
    <s v="TRX0083"/>
    <s v="TGL0911"/>
    <x v="410"/>
    <s v="CNA0184"/>
    <x v="72"/>
    <n v="24"/>
    <s v="BRCH001"/>
    <x v="0"/>
    <s v="KOA0102"/>
    <s v="Bandung"/>
    <s v="MENU008"/>
    <s v="Americano"/>
    <s v="KTG0205"/>
    <x v="0"/>
    <n v="3"/>
    <n v="20000"/>
    <n v="20"/>
    <n v="4.0999999999999996"/>
    <s v="PAY0710"/>
    <x v="1"/>
    <n v="48000"/>
  </r>
  <r>
    <s v="TRX0760"/>
    <s v="TGL0911"/>
    <x v="410"/>
    <s v="CNA0187"/>
    <x v="75"/>
    <n v="49"/>
    <s v="BRCH005"/>
    <x v="4"/>
    <s v="KOA0106"/>
    <s v="Makassar"/>
    <s v="MENU009"/>
    <s v="Kentang Goreng"/>
    <s v="KTG0206"/>
    <x v="1"/>
    <n v="4"/>
    <n v="18000"/>
    <n v="15"/>
    <n v="1.9"/>
    <s v="PAY0709"/>
    <x v="0"/>
    <n v="61200"/>
  </r>
  <r>
    <s v="TRX0288"/>
    <s v="TGL0912"/>
    <x v="411"/>
    <s v="CNA0205"/>
    <x v="86"/>
    <n v="17"/>
    <s v="BRCH001"/>
    <x v="0"/>
    <s v="KOA0102"/>
    <s v="Bandung"/>
    <s v="MENU001"/>
    <s v="Cappuccino"/>
    <s v="KTG0205"/>
    <x v="0"/>
    <n v="5"/>
    <n v="25000"/>
    <n v="20"/>
    <n v="1.1000000000000001"/>
    <s v="PAY0711"/>
    <x v="2"/>
    <n v="100000"/>
  </r>
  <r>
    <s v="TRX0696"/>
    <s v="TGL0912"/>
    <x v="411"/>
    <s v="CNA0390"/>
    <x v="156"/>
    <n v="32"/>
    <s v="BRCH005"/>
    <x v="4"/>
    <s v="KOA0106"/>
    <s v="Makassar"/>
    <s v="MENU008"/>
    <s v="Americano"/>
    <s v="KTG0205"/>
    <x v="0"/>
    <n v="1"/>
    <n v="20000"/>
    <n v="20"/>
    <n v="1.3"/>
    <s v="PAY0709"/>
    <x v="0"/>
    <n v="16000"/>
  </r>
  <r>
    <s v="TRX0814"/>
    <s v="TGL0913"/>
    <x v="412"/>
    <s v="CNA0708"/>
    <x v="186"/>
    <n v="24"/>
    <s v="BRCH002"/>
    <x v="1"/>
    <s v="KOA0103"/>
    <s v="Jakarta"/>
    <s v="MENU003"/>
    <s v="Kopi Susu Gula Aren"/>
    <s v="KTG0205"/>
    <x v="0"/>
    <n v="5"/>
    <n v="22000"/>
    <n v="20"/>
    <n v="1.2"/>
    <s v="PAY0711"/>
    <x v="2"/>
    <n v="88000"/>
  </r>
  <r>
    <s v="TRX0730"/>
    <s v="TGL0913"/>
    <x v="412"/>
    <s v="CNA0162"/>
    <x v="54"/>
    <n v="24"/>
    <s v="BRCH001"/>
    <x v="0"/>
    <s v="KOA0102"/>
    <s v="Bandung"/>
    <s v="MENU006"/>
    <s v="Sandwich Ayam"/>
    <s v="KTG0206"/>
    <x v="1"/>
    <n v="3"/>
    <n v="32000"/>
    <n v="0"/>
    <n v="4.9000000000000004"/>
    <s v="PAY0709"/>
    <x v="0"/>
    <n v="96000"/>
  </r>
  <r>
    <s v="TRX0748"/>
    <s v="TGL0913"/>
    <x v="412"/>
    <s v="CNA0402"/>
    <x v="159"/>
    <n v="19"/>
    <s v="BRCH002"/>
    <x v="1"/>
    <s v="KOA0103"/>
    <s v="Jakarta"/>
    <s v="MENU006"/>
    <s v="Sandwich Ayam"/>
    <s v="KTG0206"/>
    <x v="1"/>
    <n v="4"/>
    <n v="32000"/>
    <n v="0"/>
    <n v="4.3"/>
    <s v="PAY0709"/>
    <x v="0"/>
    <n v="128000"/>
  </r>
  <r>
    <s v="TRX0848"/>
    <s v="TGL0913"/>
    <x v="412"/>
    <s v="CNA0207"/>
    <x v="87"/>
    <n v="50"/>
    <s v="BRCH004"/>
    <x v="3"/>
    <s v="KOA0105"/>
    <s v="Medan"/>
    <s v="MENU010"/>
    <s v="Espresso"/>
    <s v="KTG0205"/>
    <x v="0"/>
    <n v="5"/>
    <n v="18000"/>
    <n v="0"/>
    <n v="4.0999999999999996"/>
    <s v="PAY0709"/>
    <x v="0"/>
    <n v="90000"/>
  </r>
  <r>
    <s v="TRX0513"/>
    <s v="TGL0914"/>
    <x v="413"/>
    <s v="CNA0420"/>
    <x v="163"/>
    <n v="44"/>
    <s v="BRCH005"/>
    <x v="4"/>
    <s v="KOA0106"/>
    <s v="Makassar"/>
    <s v="MENU004"/>
    <s v="Matcha Latte"/>
    <s v="KTG0207"/>
    <x v="2"/>
    <n v="5"/>
    <n v="28000"/>
    <n v="10"/>
    <n v="4.9000000000000004"/>
    <s v="PAY0712"/>
    <x v="3"/>
    <n v="126000"/>
  </r>
  <r>
    <s v="TRX0222"/>
    <s v="TGL0914"/>
    <x v="413"/>
    <s v="CNA0207"/>
    <x v="87"/>
    <n v="50"/>
    <s v="BRCH001"/>
    <x v="0"/>
    <s v="KOA0102"/>
    <s v="Bandung"/>
    <s v="MENU008"/>
    <s v="Americano"/>
    <s v="KTG0205"/>
    <x v="0"/>
    <n v="2"/>
    <n v="20000"/>
    <n v="0"/>
    <n v="3.5"/>
    <s v="PAY0712"/>
    <x v="3"/>
    <n v="40000"/>
  </r>
  <r>
    <s v="TRX0002"/>
    <s v="TGL0914"/>
    <x v="413"/>
    <s v="CNA0312"/>
    <x v="140"/>
    <n v="49"/>
    <s v="BRCH005"/>
    <x v="4"/>
    <s v="KOA0106"/>
    <s v="Makassar"/>
    <s v="MENU010"/>
    <s v="Espresso"/>
    <s v="KTG0205"/>
    <x v="0"/>
    <n v="3"/>
    <n v="18000"/>
    <n v="0"/>
    <n v="4.8"/>
    <s v="PAY0710"/>
    <x v="1"/>
    <n v="54000"/>
  </r>
  <r>
    <s v="TRX0667"/>
    <s v="TGL0915"/>
    <x v="414"/>
    <s v="CNA0171"/>
    <x v="62"/>
    <n v="43"/>
    <s v="BRCH002"/>
    <x v="1"/>
    <s v="KOA0103"/>
    <s v="Jakarta"/>
    <s v="MENU010"/>
    <s v="Espresso"/>
    <s v="KTG0205"/>
    <x v="0"/>
    <n v="4"/>
    <n v="18000"/>
    <n v="15"/>
    <n v="2.6"/>
    <s v="PAY0710"/>
    <x v="1"/>
    <n v="61200"/>
  </r>
  <r>
    <s v="TRX0803"/>
    <s v="TGL0915"/>
    <x v="414"/>
    <s v="CNA0109"/>
    <x v="8"/>
    <n v="45"/>
    <s v="BRCH005"/>
    <x v="4"/>
    <s v="KOA0106"/>
    <s v="Makassar"/>
    <s v="MENU008"/>
    <s v="Americano"/>
    <s v="KTG0205"/>
    <x v="0"/>
    <n v="2"/>
    <n v="20000"/>
    <n v="0"/>
    <n v="2.2999999999999998"/>
    <s v="PAY0711"/>
    <x v="2"/>
    <n v="40000"/>
  </r>
  <r>
    <s v="TRX0256"/>
    <s v="TGL0916"/>
    <x v="415"/>
    <s v="CNA0180"/>
    <x v="69"/>
    <n v="19"/>
    <s v="BRCH004"/>
    <x v="3"/>
    <s v="KOA0105"/>
    <s v="Medan"/>
    <s v="MENU008"/>
    <s v="Americano"/>
    <s v="KTG0205"/>
    <x v="0"/>
    <n v="3"/>
    <n v="20000"/>
    <n v="5"/>
    <n v="4.5"/>
    <s v="PAY0710"/>
    <x v="1"/>
    <n v="57000"/>
  </r>
  <r>
    <s v="TRX0407"/>
    <s v="TGL0916"/>
    <x v="415"/>
    <s v="CNA0233"/>
    <x v="103"/>
    <n v="18"/>
    <s v="BRCH002"/>
    <x v="1"/>
    <s v="KOA0103"/>
    <s v="Jakarta"/>
    <s v="MENU003"/>
    <s v="Kopi Susu Gula Aren"/>
    <s v="KTG0205"/>
    <x v="0"/>
    <n v="1"/>
    <n v="22000"/>
    <n v="20"/>
    <n v="4.2"/>
    <s v="PAY0712"/>
    <x v="3"/>
    <n v="17600"/>
  </r>
  <r>
    <s v="TRX0457"/>
    <s v="TGL0917"/>
    <x v="416"/>
    <s v="CNA0186"/>
    <x v="74"/>
    <n v="53"/>
    <s v="BRCH002"/>
    <x v="1"/>
    <s v="KOA0103"/>
    <s v="Jakarta"/>
    <s v="MENU003"/>
    <s v="Kopi Susu Gula Aren"/>
    <s v="KTG0205"/>
    <x v="0"/>
    <n v="2"/>
    <n v="22000"/>
    <n v="5"/>
    <n v="4.0999999999999996"/>
    <s v="PAY0711"/>
    <x v="2"/>
    <n v="41800"/>
  </r>
  <r>
    <s v="TRX0725"/>
    <s v="TGL0918"/>
    <x v="417"/>
    <s v="CNA0200"/>
    <x v="81"/>
    <n v="51"/>
    <s v="BRCH003"/>
    <x v="2"/>
    <s v="KOA0104"/>
    <s v="Surabaya"/>
    <s v="MENU004"/>
    <s v="Matcha Latte"/>
    <s v="KTG0207"/>
    <x v="2"/>
    <n v="1"/>
    <n v="28000"/>
    <n v="5"/>
    <n v="3"/>
    <s v="PAY0712"/>
    <x v="3"/>
    <n v="26600"/>
  </r>
  <r>
    <s v="TRX0195"/>
    <s v="TGL0919"/>
    <x v="418"/>
    <s v="CNA0183"/>
    <x v="71"/>
    <n v="54"/>
    <s v="BRCH002"/>
    <x v="1"/>
    <s v="KOA0103"/>
    <s v="Jakarta"/>
    <s v="MENU001"/>
    <s v="Cappuccino"/>
    <s v="KTG0205"/>
    <x v="0"/>
    <n v="2"/>
    <n v="25000"/>
    <n v="15"/>
    <n v="2.8"/>
    <s v="PAY0710"/>
    <x v="1"/>
    <n v="42500"/>
  </r>
  <r>
    <s v="TRX0934"/>
    <s v="TGL0920"/>
    <x v="419"/>
    <s v="CNA0127"/>
    <x v="25"/>
    <n v="48"/>
    <s v="BRCH001"/>
    <x v="0"/>
    <s v="KOA0102"/>
    <s v="Bandung"/>
    <s v="MENU006"/>
    <s v="Sandwich Ayam"/>
    <s v="KTG0206"/>
    <x v="1"/>
    <n v="3"/>
    <n v="32000"/>
    <n v="5"/>
    <n v="1.6"/>
    <s v="PAY0710"/>
    <x v="1"/>
    <n v="91200"/>
  </r>
  <r>
    <s v="TRX0071"/>
    <s v="TGL0921"/>
    <x v="420"/>
    <s v="CNA0208"/>
    <x v="88"/>
    <n v="21"/>
    <s v="BRCH003"/>
    <x v="2"/>
    <s v="KOA0104"/>
    <s v="Surabaya"/>
    <s v="MENU007"/>
    <s v="Chocolate Latte"/>
    <s v="KTG0207"/>
    <x v="2"/>
    <n v="2"/>
    <n v="27000"/>
    <n v="20"/>
    <n v="3.9"/>
    <s v="PAY0712"/>
    <x v="3"/>
    <n v="43200"/>
  </r>
  <r>
    <s v="TRX0547"/>
    <s v="TGL0921"/>
    <x v="420"/>
    <s v="CNA0114"/>
    <x v="13"/>
    <n v="51"/>
    <s v="BRCH005"/>
    <x v="4"/>
    <s v="KOA0106"/>
    <s v="Makassar"/>
    <s v="MENU008"/>
    <s v="Americano"/>
    <s v="KTG0205"/>
    <x v="0"/>
    <n v="5"/>
    <n v="20000"/>
    <n v="20"/>
    <n v="4.5999999999999996"/>
    <s v="PAY0709"/>
    <x v="0"/>
    <n v="80000"/>
  </r>
  <r>
    <s v="TRX0317"/>
    <s v="TGL0922"/>
    <x v="421"/>
    <s v="CNA0184"/>
    <x v="72"/>
    <n v="24"/>
    <s v="BRCH005"/>
    <x v="4"/>
    <s v="KOA0106"/>
    <s v="Makassar"/>
    <s v="MENU010"/>
    <s v="Espresso"/>
    <s v="KTG0205"/>
    <x v="0"/>
    <n v="4"/>
    <n v="18000"/>
    <n v="10"/>
    <n v="3.8"/>
    <s v="PAY0709"/>
    <x v="0"/>
    <n v="64800"/>
  </r>
  <r>
    <s v="TRX0327"/>
    <s v="TGL0923"/>
    <x v="422"/>
    <s v="CNA0748"/>
    <x v="188"/>
    <n v="17"/>
    <s v="BRCH001"/>
    <x v="0"/>
    <s v="KOA0102"/>
    <s v="Bandung"/>
    <s v="MENU006"/>
    <s v="Sandwich Ayam"/>
    <s v="KTG0206"/>
    <x v="1"/>
    <n v="3"/>
    <n v="32000"/>
    <n v="20"/>
    <n v="2.7"/>
    <s v="PAY0710"/>
    <x v="1"/>
    <n v="76800"/>
  </r>
  <r>
    <s v="TRX0493"/>
    <s v="TGL0923"/>
    <x v="422"/>
    <s v="CNA0385"/>
    <x v="155"/>
    <n v="50"/>
    <s v="BRCH003"/>
    <x v="2"/>
    <s v="KOA0104"/>
    <s v="Surabaya"/>
    <s v="MENU003"/>
    <s v="Kopi Susu Gula Aren"/>
    <s v="KTG0205"/>
    <x v="0"/>
    <n v="3"/>
    <n v="22000"/>
    <n v="20"/>
    <n v="5"/>
    <s v="PAY0711"/>
    <x v="2"/>
    <n v="52800"/>
  </r>
  <r>
    <s v="TRX0113"/>
    <s v="TGL0924"/>
    <x v="423"/>
    <s v="CNA0641"/>
    <x v="180"/>
    <n v="41"/>
    <s v="BRCH003"/>
    <x v="2"/>
    <s v="KOA0104"/>
    <s v="Surabaya"/>
    <s v="MENU007"/>
    <s v="Chocolate Latte"/>
    <s v="KTG0207"/>
    <x v="2"/>
    <n v="3"/>
    <n v="27000"/>
    <n v="5"/>
    <n v="4.4000000000000004"/>
    <s v="PAY0710"/>
    <x v="1"/>
    <n v="76950"/>
  </r>
  <r>
    <s v="TRX0430"/>
    <s v="TGL0924"/>
    <x v="423"/>
    <s v="CNA0219"/>
    <x v="94"/>
    <n v="23"/>
    <s v="BRCH001"/>
    <x v="0"/>
    <s v="KOA0102"/>
    <s v="Bandung"/>
    <s v="MENU004"/>
    <s v="Matcha Latte"/>
    <s v="KTG0207"/>
    <x v="2"/>
    <n v="4"/>
    <n v="28000"/>
    <n v="10"/>
    <n v="3.9"/>
    <s v="PAY0710"/>
    <x v="1"/>
    <n v="100800"/>
  </r>
  <r>
    <s v="TRX0885"/>
    <s v="TGL0925"/>
    <x v="424"/>
    <s v="CNA0227"/>
    <x v="99"/>
    <n v="17"/>
    <s v="BRCH002"/>
    <x v="1"/>
    <s v="KOA0103"/>
    <s v="Jakarta"/>
    <s v="MENU008"/>
    <s v="Americano"/>
    <s v="KTG0205"/>
    <x v="0"/>
    <n v="2"/>
    <n v="20000"/>
    <n v="0"/>
    <n v="2.4"/>
    <s v="PAY0710"/>
    <x v="1"/>
    <n v="40000"/>
  </r>
  <r>
    <s v="TRX0330"/>
    <s v="TGL0926"/>
    <x v="425"/>
    <s v="CNA0107"/>
    <x v="6"/>
    <n v="19"/>
    <s v="BRCH004"/>
    <x v="3"/>
    <s v="KOA0105"/>
    <s v="Medan"/>
    <s v="MENU010"/>
    <s v="Espresso"/>
    <s v="KTG0205"/>
    <x v="0"/>
    <n v="5"/>
    <n v="18000"/>
    <n v="5"/>
    <n v="2.2000000000000002"/>
    <s v="PAY0712"/>
    <x v="3"/>
    <n v="85500"/>
  </r>
  <r>
    <s v="TRX0114"/>
    <s v="TGL0927"/>
    <x v="426"/>
    <s v="CNA0885"/>
    <x v="195"/>
    <n v="26"/>
    <s v="BRCH005"/>
    <x v="4"/>
    <s v="KOA0106"/>
    <s v="Makassar"/>
    <s v="MENU010"/>
    <s v="Espresso"/>
    <s v="KTG0205"/>
    <x v="0"/>
    <n v="1"/>
    <n v="18000"/>
    <n v="15"/>
    <n v="1.5"/>
    <s v="PAY0710"/>
    <x v="1"/>
    <n v="15300"/>
  </r>
  <r>
    <s v="TRX0155"/>
    <s v="TGL0927"/>
    <x v="426"/>
    <s v="CNA0847"/>
    <x v="192"/>
    <n v="51"/>
    <s v="BRCH001"/>
    <x v="0"/>
    <s v="KOA0102"/>
    <s v="Bandung"/>
    <s v="MENU008"/>
    <s v="Americano"/>
    <s v="KTG0205"/>
    <x v="0"/>
    <n v="4"/>
    <n v="20000"/>
    <n v="0"/>
    <n v="3.2"/>
    <s v="PAY0710"/>
    <x v="1"/>
    <n v="80000"/>
  </r>
  <r>
    <s v="TRX0014"/>
    <s v="TGL0928"/>
    <x v="427"/>
    <s v="CNA0102"/>
    <x v="1"/>
    <n v="36"/>
    <s v="BRCH005"/>
    <x v="4"/>
    <s v="KOA0106"/>
    <s v="Makassar"/>
    <s v="MENU002"/>
    <s v="Red Velvet Cake"/>
    <s v="KTG0206"/>
    <x v="1"/>
    <n v="4"/>
    <n v="30000"/>
    <n v="10"/>
    <n v="1.6"/>
    <s v="PAY0710"/>
    <x v="1"/>
    <n v="108000"/>
  </r>
  <r>
    <s v="TRX0165"/>
    <s v="TGL0928"/>
    <x v="427"/>
    <s v="CNA0145"/>
    <x v="40"/>
    <n v="19"/>
    <s v="BRCH005"/>
    <x v="4"/>
    <s v="KOA0106"/>
    <s v="Makassar"/>
    <s v="MENU010"/>
    <s v="Espresso"/>
    <s v="KTG0205"/>
    <x v="0"/>
    <n v="1"/>
    <n v="18000"/>
    <n v="10"/>
    <n v="3.1"/>
    <s v="PAY0711"/>
    <x v="2"/>
    <n v="16200"/>
  </r>
  <r>
    <s v="TRX0764"/>
    <s v="TGL0928"/>
    <x v="427"/>
    <s v="CNA0292"/>
    <x v="132"/>
    <n v="18"/>
    <s v="BRCH001"/>
    <x v="0"/>
    <s v="KOA0102"/>
    <s v="Bandung"/>
    <s v="MENU004"/>
    <s v="Matcha Latte"/>
    <s v="KTG0207"/>
    <x v="2"/>
    <n v="3"/>
    <n v="28000"/>
    <n v="15"/>
    <n v="1.9"/>
    <s v="PAY0712"/>
    <x v="3"/>
    <n v="71400"/>
  </r>
  <r>
    <s v="TRX0605"/>
    <s v="TGL0929"/>
    <x v="428"/>
    <s v="CNA0192"/>
    <x v="78"/>
    <n v="20"/>
    <s v="BRCH002"/>
    <x v="1"/>
    <s v="KOA0103"/>
    <s v="Jakarta"/>
    <s v="MENU007"/>
    <s v="Chocolate Latte"/>
    <s v="KTG0207"/>
    <x v="2"/>
    <n v="1"/>
    <n v="27000"/>
    <n v="20"/>
    <n v="3.1"/>
    <s v="PAY0709"/>
    <x v="0"/>
    <n v="21600"/>
  </r>
  <r>
    <s v="TRX0775"/>
    <s v="TGL0930"/>
    <x v="429"/>
    <s v="CNA0164"/>
    <x v="55"/>
    <n v="48"/>
    <s v="BRCH002"/>
    <x v="1"/>
    <s v="KOA0103"/>
    <s v="Jakarta"/>
    <s v="MENU008"/>
    <s v="Americano"/>
    <s v="KTG0205"/>
    <x v="0"/>
    <n v="1"/>
    <n v="20000"/>
    <n v="20"/>
    <n v="1.7"/>
    <s v="PAY0710"/>
    <x v="1"/>
    <n v="16000"/>
  </r>
  <r>
    <s v="TRX0707"/>
    <s v="TGL0930"/>
    <x v="429"/>
    <s v="CNA0468"/>
    <x v="168"/>
    <n v="40"/>
    <s v="BRCH005"/>
    <x v="4"/>
    <s v="KOA0106"/>
    <s v="Makassar"/>
    <s v="MENU002"/>
    <s v="Red Velvet Cake"/>
    <s v="KTG0206"/>
    <x v="1"/>
    <n v="4"/>
    <n v="30000"/>
    <n v="10"/>
    <n v="1.8"/>
    <s v="PAY0709"/>
    <x v="0"/>
    <n v="108000"/>
  </r>
  <r>
    <s v="TRX0150"/>
    <s v="TGL0931"/>
    <x v="430"/>
    <s v="CNA0207"/>
    <x v="87"/>
    <n v="50"/>
    <s v="BRCH001"/>
    <x v="0"/>
    <s v="KOA0102"/>
    <s v="Bandung"/>
    <s v="MENU010"/>
    <s v="Espresso"/>
    <s v="KTG0205"/>
    <x v="0"/>
    <n v="4"/>
    <n v="18000"/>
    <n v="10"/>
    <n v="1.7"/>
    <s v="PAY0712"/>
    <x v="3"/>
    <n v="64800"/>
  </r>
  <r>
    <s v="TRX0896"/>
    <s v="TGL0931"/>
    <x v="430"/>
    <s v="CNA0140"/>
    <x v="37"/>
    <n v="43"/>
    <s v="BRCH003"/>
    <x v="2"/>
    <s v="KOA0104"/>
    <s v="Surabaya"/>
    <s v="MENU009"/>
    <s v="Kentang Goreng"/>
    <s v="KTG0206"/>
    <x v="1"/>
    <n v="2"/>
    <n v="18000"/>
    <n v="0"/>
    <n v="4.5"/>
    <s v="PAY0712"/>
    <x v="3"/>
    <n v="36000"/>
  </r>
  <r>
    <s v="TRX0789"/>
    <s v="TGL0931"/>
    <x v="430"/>
    <s v="CNA0885"/>
    <x v="195"/>
    <n v="26"/>
    <s v="BRCH004"/>
    <x v="3"/>
    <s v="KOA0105"/>
    <s v="Medan"/>
    <s v="MENU001"/>
    <s v="Cappuccino"/>
    <s v="KTG0205"/>
    <x v="0"/>
    <n v="3"/>
    <n v="25000"/>
    <n v="20"/>
    <n v="1.3"/>
    <s v="PAY0712"/>
    <x v="3"/>
    <n v="60000"/>
  </r>
  <r>
    <s v="TRX0252"/>
    <s v="TGL0932"/>
    <x v="431"/>
    <s v="CNA0202"/>
    <x v="83"/>
    <n v="53"/>
    <s v="BRCH003"/>
    <x v="2"/>
    <s v="KOA0104"/>
    <s v="Surabaya"/>
    <s v="MENU010"/>
    <s v="Espresso"/>
    <s v="KTG0205"/>
    <x v="0"/>
    <n v="2"/>
    <n v="18000"/>
    <n v="0"/>
    <n v="2.5"/>
    <s v="PAY0710"/>
    <x v="1"/>
    <n v="36000"/>
  </r>
  <r>
    <s v="TRX0529"/>
    <s v="TGL0933"/>
    <x v="432"/>
    <s v="CNA0112"/>
    <x v="11"/>
    <n v="22"/>
    <s v="BRCH002"/>
    <x v="1"/>
    <s v="KOA0103"/>
    <s v="Jakarta"/>
    <s v="MENU007"/>
    <s v="Chocolate Latte"/>
    <s v="KTG0207"/>
    <x v="2"/>
    <n v="4"/>
    <n v="27000"/>
    <n v="10"/>
    <n v="3.2"/>
    <s v="PAY0710"/>
    <x v="1"/>
    <n v="97200"/>
  </r>
  <r>
    <s v="TRX0800"/>
    <s v="TGL0934"/>
    <x v="433"/>
    <s v="CNA0224"/>
    <x v="97"/>
    <n v="49"/>
    <s v="BRCH003"/>
    <x v="2"/>
    <s v="KOA0104"/>
    <s v="Surabaya"/>
    <s v="MENU010"/>
    <s v="Espresso"/>
    <s v="KTG0205"/>
    <x v="0"/>
    <n v="4"/>
    <n v="18000"/>
    <n v="0"/>
    <n v="1"/>
    <s v="PAY0712"/>
    <x v="3"/>
    <n v="72000"/>
  </r>
  <r>
    <s v="TRX0981"/>
    <s v="TGL0934"/>
    <x v="433"/>
    <s v="CNA0232"/>
    <x v="102"/>
    <n v="17"/>
    <s v="BRCH002"/>
    <x v="1"/>
    <s v="KOA0103"/>
    <s v="Jakarta"/>
    <s v="MENU010"/>
    <s v="Espresso"/>
    <s v="KTG0205"/>
    <x v="0"/>
    <n v="5"/>
    <n v="18000"/>
    <n v="0"/>
    <n v="4.9000000000000004"/>
    <s v="PAY0711"/>
    <x v="2"/>
    <n v="90000"/>
  </r>
  <r>
    <s v="TRX0653"/>
    <s v="TGL0935"/>
    <x v="434"/>
    <s v="CNA0136"/>
    <x v="33"/>
    <n v="31"/>
    <s v="BRCH001"/>
    <x v="0"/>
    <s v="KOA0102"/>
    <s v="Bandung"/>
    <s v="MENU002"/>
    <s v="Red Velvet Cake"/>
    <s v="KTG0206"/>
    <x v="1"/>
    <n v="4"/>
    <n v="30000"/>
    <n v="0"/>
    <n v="1.1000000000000001"/>
    <s v="PAY0710"/>
    <x v="1"/>
    <n v="120000"/>
  </r>
  <r>
    <s v="TRX0052"/>
    <s v="TGL0935"/>
    <x v="434"/>
    <s v="CNA0280"/>
    <x v="126"/>
    <n v="25"/>
    <s v="BRCH005"/>
    <x v="4"/>
    <s v="KOA0106"/>
    <s v="Makassar"/>
    <s v="MENU010"/>
    <s v="Espresso"/>
    <s v="KTG0205"/>
    <x v="0"/>
    <n v="1"/>
    <n v="18000"/>
    <n v="20"/>
    <n v="2.2000000000000002"/>
    <s v="PAY0710"/>
    <x v="1"/>
    <n v="14400"/>
  </r>
  <r>
    <s v="TRX0203"/>
    <s v="TGL0936"/>
    <x v="435"/>
    <s v="CNA0185"/>
    <x v="73"/>
    <n v="22"/>
    <s v="BRCH003"/>
    <x v="2"/>
    <s v="KOA0104"/>
    <s v="Surabaya"/>
    <s v="MENU009"/>
    <s v="Kentang Goreng"/>
    <s v="KTG0206"/>
    <x v="1"/>
    <n v="2"/>
    <n v="18000"/>
    <n v="0"/>
    <n v="2.2999999999999998"/>
    <s v="PAY0710"/>
    <x v="1"/>
    <n v="36000"/>
  </r>
  <r>
    <s v="TRX0752"/>
    <s v="TGL0936"/>
    <x v="435"/>
    <s v="CNA0173"/>
    <x v="64"/>
    <n v="35"/>
    <s v="BRCH003"/>
    <x v="2"/>
    <s v="KOA0104"/>
    <s v="Surabaya"/>
    <s v="MENU005"/>
    <s v="Croissant"/>
    <s v="KTG0206"/>
    <x v="1"/>
    <n v="3"/>
    <n v="23000"/>
    <n v="0"/>
    <n v="3.1"/>
    <s v="PAY0712"/>
    <x v="3"/>
    <n v="69000"/>
  </r>
  <r>
    <s v="TRX0682"/>
    <s v="TGL0937"/>
    <x v="436"/>
    <s v="CNA0904"/>
    <x v="196"/>
    <n v="46"/>
    <s v="BRCH002"/>
    <x v="1"/>
    <s v="KOA0103"/>
    <s v="Jakarta"/>
    <s v="MENU003"/>
    <s v="Kopi Susu Gula Aren"/>
    <s v="KTG0205"/>
    <x v="0"/>
    <n v="4"/>
    <n v="22000"/>
    <n v="0"/>
    <n v="4.5999999999999996"/>
    <s v="PAY0709"/>
    <x v="0"/>
    <n v="88000"/>
  </r>
  <r>
    <s v="TRX0034"/>
    <s v="TGL0938"/>
    <x v="437"/>
    <s v="CNA0202"/>
    <x v="83"/>
    <n v="53"/>
    <s v="BRCH001"/>
    <x v="0"/>
    <s v="KOA0102"/>
    <s v="Bandung"/>
    <s v="MENU001"/>
    <s v="Cappuccino"/>
    <s v="KTG0205"/>
    <x v="0"/>
    <n v="3"/>
    <n v="25000"/>
    <n v="5"/>
    <n v="1.8"/>
    <s v="PAY0709"/>
    <x v="0"/>
    <n v="71250"/>
  </r>
  <r>
    <s v="TRX0759"/>
    <s v="TGL0939"/>
    <x v="438"/>
    <s v="CNA0146"/>
    <x v="41"/>
    <n v="37"/>
    <s v="BRCH001"/>
    <x v="0"/>
    <s v="KOA0102"/>
    <s v="Bandung"/>
    <s v="MENU003"/>
    <s v="Kopi Susu Gula Aren"/>
    <s v="KTG0205"/>
    <x v="0"/>
    <n v="5"/>
    <n v="22000"/>
    <n v="0"/>
    <n v="1.3"/>
    <s v="PAY0710"/>
    <x v="1"/>
    <n v="110000"/>
  </r>
  <r>
    <s v="TRX0344"/>
    <s v="TGL0939"/>
    <x v="438"/>
    <s v="CNA0187"/>
    <x v="75"/>
    <n v="49"/>
    <s v="BRCH003"/>
    <x v="2"/>
    <s v="KOA0104"/>
    <s v="Surabaya"/>
    <s v="MENU003"/>
    <s v="Kopi Susu Gula Aren"/>
    <s v="KTG0205"/>
    <x v="0"/>
    <n v="4"/>
    <n v="22000"/>
    <n v="0"/>
    <n v="4.7"/>
    <s v="PAY0712"/>
    <x v="3"/>
    <n v="88000"/>
  </r>
  <r>
    <s v="TRX0952"/>
    <s v="TGL0940"/>
    <x v="439"/>
    <s v="CNA0164"/>
    <x v="55"/>
    <n v="48"/>
    <s v="BRCH003"/>
    <x v="2"/>
    <s v="KOA0104"/>
    <s v="Surabaya"/>
    <s v="MENU009"/>
    <s v="Kentang Goreng"/>
    <s v="KTG0206"/>
    <x v="1"/>
    <n v="2"/>
    <n v="18000"/>
    <n v="20"/>
    <n v="2.2000000000000002"/>
    <s v="PAY0709"/>
    <x v="0"/>
    <n v="28800"/>
  </r>
  <r>
    <s v="TRX0461"/>
    <s v="TGL0941"/>
    <x v="440"/>
    <s v="CNA0169"/>
    <x v="60"/>
    <n v="53"/>
    <s v="BRCH004"/>
    <x v="3"/>
    <s v="KOA0105"/>
    <s v="Medan"/>
    <s v="MENU002"/>
    <s v="Red Velvet Cake"/>
    <s v="KTG0206"/>
    <x v="1"/>
    <n v="4"/>
    <n v="30000"/>
    <n v="20"/>
    <n v="2.5"/>
    <s v="PAY0712"/>
    <x v="3"/>
    <n v="96000"/>
  </r>
  <r>
    <s v="TRX0666"/>
    <s v="TGL0942"/>
    <x v="441"/>
    <s v="CNA0127"/>
    <x v="25"/>
    <n v="48"/>
    <s v="BRCH003"/>
    <x v="2"/>
    <s v="KOA0104"/>
    <s v="Surabaya"/>
    <s v="MENU010"/>
    <s v="Espresso"/>
    <s v="KTG0205"/>
    <x v="0"/>
    <n v="5"/>
    <n v="18000"/>
    <n v="0"/>
    <n v="4.8"/>
    <s v="PAY0711"/>
    <x v="2"/>
    <n v="90000"/>
  </r>
  <r>
    <s v="TRX0301"/>
    <s v="TGL0943"/>
    <x v="442"/>
    <s v="CNA0212"/>
    <x v="90"/>
    <n v="39"/>
    <s v="BRCH002"/>
    <x v="1"/>
    <s v="KOA0103"/>
    <s v="Jakarta"/>
    <s v="MENU008"/>
    <s v="Americano"/>
    <s v="KTG0205"/>
    <x v="0"/>
    <n v="5"/>
    <n v="20000"/>
    <n v="10"/>
    <n v="1.7"/>
    <s v="PAY0709"/>
    <x v="0"/>
    <n v="90000"/>
  </r>
  <r>
    <s v="TRX0743"/>
    <s v="TGL0943"/>
    <x v="442"/>
    <s v="CNA0410"/>
    <x v="160"/>
    <n v="18"/>
    <s v="BRCH005"/>
    <x v="4"/>
    <s v="KOA0106"/>
    <s v="Makassar"/>
    <s v="MENU001"/>
    <s v="Cappuccino"/>
    <s v="KTG0205"/>
    <x v="0"/>
    <n v="5"/>
    <n v="25000"/>
    <n v="5"/>
    <n v="3.7"/>
    <s v="PAY0711"/>
    <x v="2"/>
    <n v="118750"/>
  </r>
  <r>
    <s v="TRX0821"/>
    <s v="TGL0944"/>
    <x v="443"/>
    <s v="CNA0164"/>
    <x v="55"/>
    <n v="48"/>
    <s v="BRCH005"/>
    <x v="4"/>
    <s v="KOA0106"/>
    <s v="Makassar"/>
    <s v="MENU006"/>
    <s v="Sandwich Ayam"/>
    <s v="KTG0206"/>
    <x v="1"/>
    <n v="3"/>
    <n v="32000"/>
    <n v="20"/>
    <n v="2.7"/>
    <s v="PAY0709"/>
    <x v="0"/>
    <n v="76800"/>
  </r>
  <r>
    <s v="TRX0777"/>
    <s v="TGL0945"/>
    <x v="444"/>
    <s v="CNA0513"/>
    <x v="173"/>
    <n v="52"/>
    <s v="BRCH005"/>
    <x v="4"/>
    <s v="KOA0106"/>
    <s v="Makassar"/>
    <s v="MENU008"/>
    <s v="Americano"/>
    <s v="KTG0205"/>
    <x v="0"/>
    <n v="4"/>
    <n v="20000"/>
    <n v="0"/>
    <n v="2.9"/>
    <s v="PAY0709"/>
    <x v="0"/>
    <n v="80000"/>
  </r>
  <r>
    <s v="TRX0196"/>
    <s v="TGL0945"/>
    <x v="444"/>
    <s v="CNA0292"/>
    <x v="132"/>
    <n v="18"/>
    <s v="BRCH004"/>
    <x v="3"/>
    <s v="KOA0105"/>
    <s v="Medan"/>
    <s v="MENU003"/>
    <s v="Kopi Susu Gula Aren"/>
    <s v="KTG0205"/>
    <x v="0"/>
    <n v="2"/>
    <n v="22000"/>
    <n v="0"/>
    <n v="4.4000000000000004"/>
    <s v="PAY0711"/>
    <x v="2"/>
    <n v="44000"/>
  </r>
  <r>
    <s v="TRX0899"/>
    <s v="TGL0946"/>
    <x v="445"/>
    <s v="CNA0262"/>
    <x v="116"/>
    <n v="30"/>
    <s v="BRCH004"/>
    <x v="3"/>
    <s v="KOA0105"/>
    <s v="Medan"/>
    <s v="MENU006"/>
    <s v="Sandwich Ayam"/>
    <s v="KTG0206"/>
    <x v="1"/>
    <n v="3"/>
    <n v="32000"/>
    <n v="0"/>
    <n v="2.5"/>
    <s v="PAY0710"/>
    <x v="1"/>
    <n v="96000"/>
  </r>
  <r>
    <s v="TRX0268"/>
    <s v="TGL0946"/>
    <x v="445"/>
    <s v="CNA0159"/>
    <x v="53"/>
    <n v="17"/>
    <s v="BRCH003"/>
    <x v="2"/>
    <s v="KOA0104"/>
    <s v="Surabaya"/>
    <s v="MENU007"/>
    <s v="Chocolate Latte"/>
    <s v="KTG0207"/>
    <x v="2"/>
    <n v="2"/>
    <n v="27000"/>
    <n v="0"/>
    <n v="4.2"/>
    <s v="PAY0712"/>
    <x v="3"/>
    <n v="54000"/>
  </r>
  <r>
    <s v="TRX0869"/>
    <s v="TGL0947"/>
    <x v="446"/>
    <s v="CNA0151"/>
    <x v="46"/>
    <n v="20"/>
    <s v="BRCH003"/>
    <x v="2"/>
    <s v="KOA0104"/>
    <s v="Surabaya"/>
    <s v="MENU003"/>
    <s v="Kopi Susu Gula Aren"/>
    <s v="KTG0205"/>
    <x v="0"/>
    <n v="3"/>
    <n v="22000"/>
    <n v="10"/>
    <n v="2"/>
    <s v="PAY0709"/>
    <x v="0"/>
    <n v="59400"/>
  </r>
  <r>
    <s v="TRX0582"/>
    <s v="TGL0947"/>
    <x v="446"/>
    <s v="CNA0223"/>
    <x v="96"/>
    <n v="18"/>
    <s v="BRCH005"/>
    <x v="4"/>
    <s v="KOA0106"/>
    <s v="Makassar"/>
    <s v="MENU001"/>
    <s v="Cappuccino"/>
    <s v="KTG0205"/>
    <x v="0"/>
    <n v="2"/>
    <n v="25000"/>
    <n v="0"/>
    <n v="2.5"/>
    <s v="PAY0711"/>
    <x v="2"/>
    <n v="50000"/>
  </r>
  <r>
    <s v="TRX0984"/>
    <s v="TGL0947"/>
    <x v="446"/>
    <s v="CNA0171"/>
    <x v="62"/>
    <n v="43"/>
    <s v="BRCH003"/>
    <x v="2"/>
    <s v="KOA0104"/>
    <s v="Surabaya"/>
    <s v="MENU004"/>
    <s v="Matcha Latte"/>
    <s v="KTG0207"/>
    <x v="2"/>
    <n v="1"/>
    <n v="28000"/>
    <n v="20"/>
    <n v="4"/>
    <s v="PAY0709"/>
    <x v="0"/>
    <n v="22400"/>
  </r>
  <r>
    <s v="TRX0181"/>
    <s v="TGL0947"/>
    <x v="446"/>
    <s v="CNA0468"/>
    <x v="168"/>
    <n v="40"/>
    <s v="BRCH003"/>
    <x v="2"/>
    <s v="KOA0104"/>
    <s v="Surabaya"/>
    <s v="MENU002"/>
    <s v="Red Velvet Cake"/>
    <s v="KTG0206"/>
    <x v="1"/>
    <n v="4"/>
    <n v="30000"/>
    <n v="0"/>
    <n v="4.4000000000000004"/>
    <s v="PAY0710"/>
    <x v="1"/>
    <n v="120000"/>
  </r>
  <r>
    <s v="TRX0267"/>
    <s v="TGL0948"/>
    <x v="447"/>
    <s v="CNA0654"/>
    <x v="182"/>
    <n v="35"/>
    <s v="BRCH002"/>
    <x v="1"/>
    <s v="KOA0103"/>
    <s v="Jakarta"/>
    <s v="MENU004"/>
    <s v="Matcha Latte"/>
    <s v="KTG0207"/>
    <x v="2"/>
    <n v="1"/>
    <n v="28000"/>
    <n v="5"/>
    <n v="1.5"/>
    <s v="PAY0710"/>
    <x v="1"/>
    <n v="26600"/>
  </r>
  <r>
    <s v="TRX0750"/>
    <s v="TGL0949"/>
    <x v="448"/>
    <s v="CNA0244"/>
    <x v="110"/>
    <n v="39"/>
    <s v="BRCH004"/>
    <x v="3"/>
    <s v="KOA0105"/>
    <s v="Medan"/>
    <s v="MENU010"/>
    <s v="Espresso"/>
    <s v="KTG0205"/>
    <x v="0"/>
    <n v="5"/>
    <n v="18000"/>
    <n v="0"/>
    <n v="3.3"/>
    <s v="PAY0710"/>
    <x v="1"/>
    <n v="90000"/>
  </r>
  <r>
    <s v="TRX0705"/>
    <s v="TGL0949"/>
    <x v="448"/>
    <s v="CNA0177"/>
    <x v="68"/>
    <n v="38"/>
    <s v="BRCH001"/>
    <x v="0"/>
    <s v="KOA0102"/>
    <s v="Bandung"/>
    <s v="MENU006"/>
    <s v="Sandwich Ayam"/>
    <s v="KTG0206"/>
    <x v="1"/>
    <n v="1"/>
    <n v="32000"/>
    <n v="0"/>
    <n v="1.1000000000000001"/>
    <s v="PAY0711"/>
    <x v="2"/>
    <n v="32000"/>
  </r>
  <r>
    <s v="TRX0260"/>
    <s v="TGL0950"/>
    <x v="449"/>
    <s v="CNA0173"/>
    <x v="64"/>
    <n v="35"/>
    <s v="BRCH003"/>
    <x v="2"/>
    <s v="KOA0104"/>
    <s v="Surabaya"/>
    <s v="MENU001"/>
    <s v="Cappuccino"/>
    <s v="KTG0205"/>
    <x v="0"/>
    <n v="2"/>
    <n v="25000"/>
    <n v="20"/>
    <n v="2.4"/>
    <s v="PAY0709"/>
    <x v="0"/>
    <n v="40000"/>
  </r>
  <r>
    <s v="TRX0689"/>
    <s v="TGL0950"/>
    <x v="449"/>
    <s v="CNA0252"/>
    <x v="113"/>
    <n v="43"/>
    <s v="BRCH002"/>
    <x v="1"/>
    <s v="KOA0103"/>
    <s v="Jakarta"/>
    <s v="MENU003"/>
    <s v="Kopi Susu Gula Aren"/>
    <s v="KTG0205"/>
    <x v="0"/>
    <n v="4"/>
    <n v="22000"/>
    <n v="20"/>
    <n v="1.3"/>
    <s v="PAY0710"/>
    <x v="1"/>
    <n v="70400"/>
  </r>
  <r>
    <s v="TRX0102"/>
    <s v="TGL0950"/>
    <x v="449"/>
    <s v="CNA0242"/>
    <x v="109"/>
    <n v="40"/>
    <s v="BRCH004"/>
    <x v="3"/>
    <s v="KOA0105"/>
    <s v="Medan"/>
    <s v="MENU006"/>
    <s v="Sandwich Ayam"/>
    <s v="KTG0206"/>
    <x v="1"/>
    <n v="1"/>
    <n v="32000"/>
    <n v="0"/>
    <n v="1.3"/>
    <s v="PAY0712"/>
    <x v="3"/>
    <n v="32000"/>
  </r>
  <r>
    <s v="TRX0234"/>
    <s v="TGL0951"/>
    <x v="450"/>
    <s v="CNA0169"/>
    <x v="60"/>
    <n v="53"/>
    <s v="BRCH004"/>
    <x v="3"/>
    <s v="KOA0105"/>
    <s v="Medan"/>
    <s v="MENU009"/>
    <s v="Kentang Goreng"/>
    <s v="KTG0206"/>
    <x v="1"/>
    <n v="2"/>
    <n v="18000"/>
    <n v="5"/>
    <n v="2.4"/>
    <s v="PAY0709"/>
    <x v="0"/>
    <n v="34200"/>
  </r>
  <r>
    <s v="TRX0983"/>
    <s v="TGL0952"/>
    <x v="451"/>
    <s v="CNA0138"/>
    <x v="35"/>
    <n v="53"/>
    <s v="BRCH004"/>
    <x v="3"/>
    <s v="KOA0105"/>
    <s v="Medan"/>
    <s v="MENU005"/>
    <s v="Croissant"/>
    <s v="KTG0206"/>
    <x v="1"/>
    <n v="3"/>
    <n v="23000"/>
    <n v="15"/>
    <n v="3"/>
    <s v="PAY0712"/>
    <x v="3"/>
    <n v="58650"/>
  </r>
  <r>
    <s v="TRX0077"/>
    <s v="TGL0952"/>
    <x v="451"/>
    <s v="CNA0177"/>
    <x v="68"/>
    <n v="38"/>
    <s v="BRCH002"/>
    <x v="1"/>
    <s v="KOA0103"/>
    <s v="Jakarta"/>
    <s v="MENU003"/>
    <s v="Kopi Susu Gula Aren"/>
    <s v="KTG0205"/>
    <x v="0"/>
    <n v="2"/>
    <n v="22000"/>
    <n v="10"/>
    <n v="2.6"/>
    <s v="PAY0709"/>
    <x v="0"/>
    <n v="39600"/>
  </r>
  <r>
    <s v="TRX0481"/>
    <s v="TGL0953"/>
    <x v="452"/>
    <s v="CNA0217"/>
    <x v="93"/>
    <n v="25"/>
    <s v="BRCH005"/>
    <x v="4"/>
    <s v="KOA0106"/>
    <s v="Makassar"/>
    <s v="MENU005"/>
    <s v="Croissant"/>
    <s v="KTG0206"/>
    <x v="1"/>
    <n v="4"/>
    <n v="23000"/>
    <n v="0"/>
    <n v="3.9"/>
    <s v="PAY0711"/>
    <x v="2"/>
    <n v="92000"/>
  </r>
  <r>
    <s v="TRX0009"/>
    <s v="TGL0954"/>
    <x v="453"/>
    <s v="CNA0390"/>
    <x v="156"/>
    <n v="32"/>
    <s v="BRCH004"/>
    <x v="3"/>
    <s v="KOA0105"/>
    <s v="Medan"/>
    <s v="MENU007"/>
    <s v="Chocolate Latte"/>
    <s v="KTG0207"/>
    <x v="2"/>
    <n v="3"/>
    <n v="27000"/>
    <n v="0"/>
    <n v="1.2"/>
    <s v="PAY0709"/>
    <x v="0"/>
    <n v="81000"/>
  </r>
  <r>
    <s v="TRX0223"/>
    <s v="TGL0955"/>
    <x v="454"/>
    <s v="CNA0144"/>
    <x v="39"/>
    <n v="42"/>
    <s v="BRCH003"/>
    <x v="2"/>
    <s v="KOA0104"/>
    <s v="Surabaya"/>
    <s v="MENU008"/>
    <s v="Americano"/>
    <s v="KTG0205"/>
    <x v="0"/>
    <n v="5"/>
    <n v="20000"/>
    <n v="20"/>
    <n v="4.7"/>
    <s v="PAY0712"/>
    <x v="3"/>
    <n v="80000"/>
  </r>
  <r>
    <s v="TRX0308"/>
    <s v="TGL0955"/>
    <x v="454"/>
    <s v="CNA0344"/>
    <x v="149"/>
    <n v="43"/>
    <s v="BRCH004"/>
    <x v="3"/>
    <s v="KOA0105"/>
    <s v="Medan"/>
    <s v="MENU002"/>
    <s v="Red Velvet Cake"/>
    <s v="KTG0206"/>
    <x v="1"/>
    <n v="2"/>
    <n v="30000"/>
    <n v="0"/>
    <n v="2.5"/>
    <s v="PAY0711"/>
    <x v="2"/>
    <n v="60000"/>
  </r>
  <r>
    <s v="TRX0162"/>
    <s v="TGL0956"/>
    <x v="455"/>
    <s v="CNA0420"/>
    <x v="163"/>
    <n v="44"/>
    <s v="BRCH002"/>
    <x v="1"/>
    <s v="KOA0103"/>
    <s v="Jakarta"/>
    <s v="MENU001"/>
    <s v="Cappuccino"/>
    <s v="KTG0205"/>
    <x v="0"/>
    <n v="1"/>
    <n v="25000"/>
    <n v="0"/>
    <n v="4"/>
    <s v="PAY0712"/>
    <x v="3"/>
    <n v="25000"/>
  </r>
  <r>
    <s v="TRX0669"/>
    <s v="TGL0956"/>
    <x v="455"/>
    <s v="CNA0280"/>
    <x v="126"/>
    <n v="25"/>
    <s v="BRCH003"/>
    <x v="2"/>
    <s v="KOA0104"/>
    <s v="Surabaya"/>
    <s v="MENU007"/>
    <s v="Chocolate Latte"/>
    <s v="KTG0207"/>
    <x v="2"/>
    <n v="3"/>
    <n v="27000"/>
    <n v="0"/>
    <n v="3.1"/>
    <s v="PAY0712"/>
    <x v="3"/>
    <n v="81000"/>
  </r>
  <r>
    <s v="TRX0878"/>
    <s v="TGL0956"/>
    <x v="455"/>
    <s v="CNA0104"/>
    <x v="3"/>
    <n v="41"/>
    <s v="BRCH005"/>
    <x v="4"/>
    <s v="KOA0106"/>
    <s v="Makassar"/>
    <s v="MENU005"/>
    <s v="Croissant"/>
    <s v="KTG0206"/>
    <x v="1"/>
    <n v="4"/>
    <n v="23000"/>
    <n v="0"/>
    <n v="1.7"/>
    <s v="PAY0712"/>
    <x v="3"/>
    <n v="92000"/>
  </r>
  <r>
    <s v="TRX0250"/>
    <s v="TGL0956"/>
    <x v="455"/>
    <s v="CNA0271"/>
    <x v="121"/>
    <n v="48"/>
    <s v="BRCH001"/>
    <x v="0"/>
    <s v="KOA0102"/>
    <s v="Bandung"/>
    <s v="MENU005"/>
    <s v="Croissant"/>
    <s v="KTG0206"/>
    <x v="1"/>
    <n v="1"/>
    <n v="23000"/>
    <n v="0"/>
    <n v="1.9"/>
    <s v="PAY0712"/>
    <x v="3"/>
    <n v="23000"/>
  </r>
  <r>
    <s v="TRX0746"/>
    <s v="TGL0956"/>
    <x v="455"/>
    <s v="CNA0131"/>
    <x v="29"/>
    <n v="45"/>
    <s v="BRCH003"/>
    <x v="2"/>
    <s v="KOA0104"/>
    <s v="Surabaya"/>
    <s v="MENU003"/>
    <s v="Kopi Susu Gula Aren"/>
    <s v="KTG0205"/>
    <x v="0"/>
    <n v="1"/>
    <n v="22000"/>
    <n v="20"/>
    <n v="2.9"/>
    <s v="PAY0710"/>
    <x v="1"/>
    <n v="17600"/>
  </r>
  <r>
    <s v="TRX0858"/>
    <s v="TGL0957"/>
    <x v="456"/>
    <s v="CNA0381"/>
    <x v="154"/>
    <n v="40"/>
    <s v="BRCH003"/>
    <x v="2"/>
    <s v="KOA0104"/>
    <s v="Surabaya"/>
    <s v="MENU003"/>
    <s v="Kopi Susu Gula Aren"/>
    <s v="KTG0205"/>
    <x v="0"/>
    <n v="2"/>
    <n v="22000"/>
    <n v="20"/>
    <n v="1.5"/>
    <s v="PAY0710"/>
    <x v="1"/>
    <n v="35200"/>
  </r>
  <r>
    <s v="TRX0861"/>
    <s v="TGL0957"/>
    <x v="456"/>
    <s v="CNA0130"/>
    <x v="28"/>
    <n v="33"/>
    <s v="BRCH003"/>
    <x v="2"/>
    <s v="KOA0104"/>
    <s v="Surabaya"/>
    <s v="MENU009"/>
    <s v="Kentang Goreng"/>
    <s v="KTG0206"/>
    <x v="1"/>
    <n v="3"/>
    <n v="18000"/>
    <n v="20"/>
    <n v="2"/>
    <s v="PAY0712"/>
    <x v="3"/>
    <n v="43200"/>
  </r>
  <r>
    <s v="TRX0795"/>
    <s v="TGL0957"/>
    <x v="456"/>
    <s v="CNA0105"/>
    <x v="4"/>
    <n v="53"/>
    <s v="BRCH005"/>
    <x v="4"/>
    <s v="KOA0106"/>
    <s v="Makassar"/>
    <s v="MENU003"/>
    <s v="Kopi Susu Gula Aren"/>
    <s v="KTG0205"/>
    <x v="0"/>
    <n v="5"/>
    <n v="22000"/>
    <n v="15"/>
    <n v="2"/>
    <s v="PAY0710"/>
    <x v="1"/>
    <n v="93500"/>
  </r>
  <r>
    <s v="TRX0783"/>
    <s v="TGL0957"/>
    <x v="456"/>
    <s v="CNA0760"/>
    <x v="189"/>
    <n v="48"/>
    <s v="BRCH003"/>
    <x v="2"/>
    <s v="KOA0104"/>
    <s v="Surabaya"/>
    <s v="MENU008"/>
    <s v="Americano"/>
    <s v="KTG0205"/>
    <x v="0"/>
    <n v="5"/>
    <n v="20000"/>
    <n v="20"/>
    <n v="1.9"/>
    <s v="PAY0711"/>
    <x v="2"/>
    <n v="80000"/>
  </r>
  <r>
    <s v="TRX0271"/>
    <s v="TGL0958"/>
    <x v="457"/>
    <s v="CNA0374"/>
    <x v="153"/>
    <n v="24"/>
    <s v="BRCH005"/>
    <x v="4"/>
    <s v="KOA0106"/>
    <s v="Makassar"/>
    <s v="MENU001"/>
    <s v="Cappuccino"/>
    <s v="KTG0205"/>
    <x v="0"/>
    <n v="4"/>
    <n v="25000"/>
    <n v="0"/>
    <n v="2.2000000000000002"/>
    <s v="PAY0711"/>
    <x v="2"/>
    <n v="100000"/>
  </r>
  <r>
    <s v="TRX0166"/>
    <s v="TGL0959"/>
    <x v="458"/>
    <s v="CNA0240"/>
    <x v="108"/>
    <n v="47"/>
    <s v="BRCH003"/>
    <x v="2"/>
    <s v="KOA0104"/>
    <s v="Surabaya"/>
    <s v="MENU003"/>
    <s v="Kopi Susu Gula Aren"/>
    <s v="KTG0205"/>
    <x v="0"/>
    <n v="4"/>
    <n v="22000"/>
    <n v="0"/>
    <n v="4.4000000000000004"/>
    <s v="PAY0709"/>
    <x v="0"/>
    <n v="88000"/>
  </r>
  <r>
    <s v="TRX0881"/>
    <s v="TGL0960"/>
    <x v="459"/>
    <s v="CNA0497"/>
    <x v="170"/>
    <n v="25"/>
    <s v="BRCH004"/>
    <x v="3"/>
    <s v="KOA0105"/>
    <s v="Medan"/>
    <s v="MENU008"/>
    <s v="Americano"/>
    <s v="KTG0205"/>
    <x v="0"/>
    <n v="2"/>
    <n v="20000"/>
    <n v="15"/>
    <n v="4.8"/>
    <s v="PAY0709"/>
    <x v="0"/>
    <n v="34000"/>
  </r>
  <r>
    <s v="TRX0664"/>
    <s v="TGL0961"/>
    <x v="460"/>
    <s v="CNA0139"/>
    <x v="36"/>
    <n v="51"/>
    <s v="BRCH003"/>
    <x v="2"/>
    <s v="KOA0104"/>
    <s v="Surabaya"/>
    <s v="MENU005"/>
    <s v="Croissant"/>
    <s v="KTG0206"/>
    <x v="1"/>
    <n v="3"/>
    <n v="23000"/>
    <n v="20"/>
    <n v="1.8"/>
    <s v="PAY0709"/>
    <x v="0"/>
    <n v="55200"/>
  </r>
  <r>
    <s v="TRX0807"/>
    <s v="TGL0961"/>
    <x v="460"/>
    <s v="CNA0240"/>
    <x v="108"/>
    <n v="47"/>
    <s v="BRCH001"/>
    <x v="0"/>
    <s v="KOA0102"/>
    <s v="Bandung"/>
    <s v="MENU001"/>
    <s v="Cappuccino"/>
    <s v="KTG0205"/>
    <x v="0"/>
    <n v="5"/>
    <n v="25000"/>
    <n v="20"/>
    <n v="2.8"/>
    <s v="PAY0711"/>
    <x v="2"/>
    <n v="100000"/>
  </r>
  <r>
    <s v="TRX0860"/>
    <s v="TGL0961"/>
    <x v="460"/>
    <s v="CNA0497"/>
    <x v="170"/>
    <n v="25"/>
    <s v="BRCH004"/>
    <x v="3"/>
    <s v="KOA0105"/>
    <s v="Medan"/>
    <s v="MENU010"/>
    <s v="Espresso"/>
    <s v="KTG0205"/>
    <x v="0"/>
    <n v="5"/>
    <n v="18000"/>
    <n v="15"/>
    <n v="2.2000000000000002"/>
    <s v="PAY0711"/>
    <x v="2"/>
    <n v="76500"/>
  </r>
  <r>
    <s v="TRX0631"/>
    <s v="TGL0961"/>
    <x v="460"/>
    <s v="CNA0121"/>
    <x v="20"/>
    <n v="25"/>
    <s v="BRCH003"/>
    <x v="2"/>
    <s v="KOA0104"/>
    <s v="Surabaya"/>
    <s v="MENU009"/>
    <s v="Kentang Goreng"/>
    <s v="KTG0206"/>
    <x v="1"/>
    <n v="3"/>
    <n v="18000"/>
    <n v="20"/>
    <n v="1.2"/>
    <s v="PAY0710"/>
    <x v="1"/>
    <n v="43200"/>
  </r>
  <r>
    <s v="TRX0525"/>
    <s v="TGL0962"/>
    <x v="461"/>
    <s v="CNA0318"/>
    <x v="143"/>
    <n v="27"/>
    <s v="BRCH003"/>
    <x v="2"/>
    <s v="KOA0104"/>
    <s v="Surabaya"/>
    <s v="MENU003"/>
    <s v="Kopi Susu Gula Aren"/>
    <s v="KTG0205"/>
    <x v="0"/>
    <n v="4"/>
    <n v="22000"/>
    <n v="0"/>
    <n v="2"/>
    <s v="PAY0711"/>
    <x v="2"/>
    <n v="88000"/>
  </r>
  <r>
    <s v="TRX0013"/>
    <s v="TGL0962"/>
    <x v="461"/>
    <s v="CNA0277"/>
    <x v="124"/>
    <n v="52"/>
    <s v="BRCH005"/>
    <x v="4"/>
    <s v="KOA0106"/>
    <s v="Makassar"/>
    <s v="MENU006"/>
    <s v="Sandwich Ayam"/>
    <s v="KTG0206"/>
    <x v="1"/>
    <n v="2"/>
    <n v="32000"/>
    <n v="20"/>
    <n v="2.6"/>
    <s v="PAY0709"/>
    <x v="0"/>
    <n v="51200"/>
  </r>
  <r>
    <s v="TRX0684"/>
    <s v="TGL0962"/>
    <x v="461"/>
    <s v="CNA0155"/>
    <x v="50"/>
    <n v="18"/>
    <s v="BRCH004"/>
    <x v="3"/>
    <s v="KOA0105"/>
    <s v="Medan"/>
    <s v="MENU007"/>
    <s v="Chocolate Latte"/>
    <s v="KTG0207"/>
    <x v="2"/>
    <n v="3"/>
    <n v="27000"/>
    <n v="0"/>
    <n v="2.1"/>
    <s v="PAY0709"/>
    <x v="0"/>
    <n v="81000"/>
  </r>
  <r>
    <s v="TRX0610"/>
    <s v="TGL0963"/>
    <x v="462"/>
    <s v="CNA0203"/>
    <x v="84"/>
    <n v="22"/>
    <s v="BRCH004"/>
    <x v="3"/>
    <s v="KOA0105"/>
    <s v="Medan"/>
    <s v="MENU008"/>
    <s v="Americano"/>
    <s v="KTG0205"/>
    <x v="0"/>
    <n v="4"/>
    <n v="20000"/>
    <n v="0"/>
    <n v="3.4"/>
    <s v="PAY0712"/>
    <x v="3"/>
    <n v="80000"/>
  </r>
  <r>
    <s v="TRX0035"/>
    <s v="TGL0963"/>
    <x v="462"/>
    <s v="CNA0240"/>
    <x v="108"/>
    <n v="47"/>
    <s v="BRCH005"/>
    <x v="4"/>
    <s v="KOA0106"/>
    <s v="Makassar"/>
    <s v="MENU006"/>
    <s v="Sandwich Ayam"/>
    <s v="KTG0206"/>
    <x v="1"/>
    <n v="5"/>
    <n v="32000"/>
    <n v="0"/>
    <n v="4.4000000000000004"/>
    <s v="PAY0710"/>
    <x v="1"/>
    <n v="160000"/>
  </r>
  <r>
    <s v="TRX0274"/>
    <s v="TGL0964"/>
    <x v="463"/>
    <s v="CNA0127"/>
    <x v="25"/>
    <n v="48"/>
    <s v="BRCH001"/>
    <x v="0"/>
    <s v="KOA0102"/>
    <s v="Bandung"/>
    <s v="MENU007"/>
    <s v="Chocolate Latte"/>
    <s v="KTG0207"/>
    <x v="2"/>
    <n v="1"/>
    <n v="27000"/>
    <n v="20"/>
    <n v="3"/>
    <s v="PAY0712"/>
    <x v="3"/>
    <n v="21600"/>
  </r>
  <r>
    <s v="TRX0117"/>
    <s v="TGL0964"/>
    <x v="463"/>
    <s v="CNA0105"/>
    <x v="4"/>
    <n v="53"/>
    <s v="BRCH001"/>
    <x v="0"/>
    <s v="KOA0102"/>
    <s v="Bandung"/>
    <s v="MENU005"/>
    <s v="Croissant"/>
    <s v="KTG0206"/>
    <x v="1"/>
    <n v="5"/>
    <n v="23000"/>
    <n v="0"/>
    <n v="2.5"/>
    <s v="PAY0709"/>
    <x v="0"/>
    <n v="115000"/>
  </r>
  <r>
    <s v="TRX0841"/>
    <s v="TGL0965"/>
    <x v="464"/>
    <s v="CNA0117"/>
    <x v="16"/>
    <n v="53"/>
    <s v="BRCH005"/>
    <x v="4"/>
    <s v="KOA0106"/>
    <s v="Makassar"/>
    <s v="MENU008"/>
    <s v="Americano"/>
    <s v="KTG0205"/>
    <x v="0"/>
    <n v="5"/>
    <n v="20000"/>
    <n v="20"/>
    <n v="4.5999999999999996"/>
    <s v="PAY0710"/>
    <x v="1"/>
    <n v="80000"/>
  </r>
  <r>
    <s v="TRX0033"/>
    <s v="TGL0966"/>
    <x v="465"/>
    <s v="CNA0138"/>
    <x v="35"/>
    <n v="53"/>
    <s v="BRCH004"/>
    <x v="3"/>
    <s v="KOA0105"/>
    <s v="Medan"/>
    <s v="MENU008"/>
    <s v="Americano"/>
    <s v="KTG0205"/>
    <x v="0"/>
    <n v="1"/>
    <n v="20000"/>
    <n v="5"/>
    <n v="3.3"/>
    <s v="PAY0711"/>
    <x v="2"/>
    <n v="19000"/>
  </r>
  <r>
    <s v="TRX0928"/>
    <s v="TGL0967"/>
    <x v="466"/>
    <s v="CNA0507"/>
    <x v="171"/>
    <n v="24"/>
    <s v="BRCH004"/>
    <x v="3"/>
    <s v="KOA0105"/>
    <s v="Medan"/>
    <s v="MENU007"/>
    <s v="Chocolate Latte"/>
    <s v="KTG0207"/>
    <x v="2"/>
    <n v="1"/>
    <n v="27000"/>
    <n v="5"/>
    <n v="3"/>
    <s v="PAY0709"/>
    <x v="0"/>
    <n v="25650"/>
  </r>
  <r>
    <s v="TRX0638"/>
    <s v="TGL0968"/>
    <x v="467"/>
    <s v="CNA0167"/>
    <x v="58"/>
    <n v="38"/>
    <s v="BRCH001"/>
    <x v="0"/>
    <s v="KOA0102"/>
    <s v="Bandung"/>
    <s v="MENU005"/>
    <s v="Croissant"/>
    <s v="KTG0206"/>
    <x v="1"/>
    <n v="5"/>
    <n v="23000"/>
    <n v="0"/>
    <n v="4.9000000000000004"/>
    <s v="PAY0709"/>
    <x v="0"/>
    <n v="115000"/>
  </r>
  <r>
    <s v="TRX0356"/>
    <s v="TGL0969"/>
    <x v="468"/>
    <s v="CNA0124"/>
    <x v="23"/>
    <n v="33"/>
    <s v="BRCH004"/>
    <x v="3"/>
    <s v="KOA0105"/>
    <s v="Medan"/>
    <s v="MENU003"/>
    <s v="Kopi Susu Gula Aren"/>
    <s v="KTG0205"/>
    <x v="0"/>
    <n v="3"/>
    <n v="22000"/>
    <n v="15"/>
    <n v="2.6"/>
    <s v="PAY0710"/>
    <x v="1"/>
    <n v="56100"/>
  </r>
  <r>
    <s v="TRX0190"/>
    <s v="TGL0969"/>
    <x v="468"/>
    <s v="CNA0175"/>
    <x v="66"/>
    <n v="48"/>
    <s v="BRCH005"/>
    <x v="4"/>
    <s v="KOA0106"/>
    <s v="Makassar"/>
    <s v="MENU008"/>
    <s v="Americano"/>
    <s v="KTG0205"/>
    <x v="0"/>
    <n v="3"/>
    <n v="20000"/>
    <n v="10"/>
    <n v="3.8"/>
    <s v="PAY0711"/>
    <x v="2"/>
    <n v="54000"/>
  </r>
  <r>
    <s v="TRX0577"/>
    <s v="TGL0969"/>
    <x v="468"/>
    <s v="CNA0120"/>
    <x v="19"/>
    <n v="44"/>
    <s v="BRCH002"/>
    <x v="1"/>
    <s v="KOA0103"/>
    <s v="Jakarta"/>
    <s v="MENU007"/>
    <s v="Chocolate Latte"/>
    <s v="KTG0207"/>
    <x v="2"/>
    <n v="4"/>
    <n v="27000"/>
    <n v="10"/>
    <n v="3.5"/>
    <s v="PAY0712"/>
    <x v="3"/>
    <n v="97200"/>
  </r>
  <r>
    <s v="TRX0338"/>
    <s v="TGL0969"/>
    <x v="468"/>
    <s v="CNA0381"/>
    <x v="154"/>
    <n v="40"/>
    <s v="BRCH002"/>
    <x v="1"/>
    <s v="KOA0103"/>
    <s v="Jakarta"/>
    <s v="MENU004"/>
    <s v="Matcha Latte"/>
    <s v="KTG0207"/>
    <x v="2"/>
    <n v="5"/>
    <n v="28000"/>
    <n v="20"/>
    <n v="3"/>
    <s v="PAY0711"/>
    <x v="2"/>
    <n v="112000"/>
  </r>
  <r>
    <s v="TRX0824"/>
    <s v="TGL0970"/>
    <x v="469"/>
    <s v="CNA0203"/>
    <x v="84"/>
    <n v="22"/>
    <s v="BRCH002"/>
    <x v="1"/>
    <s v="KOA0103"/>
    <s v="Jakarta"/>
    <s v="MENU009"/>
    <s v="Kentang Goreng"/>
    <s v="KTG0206"/>
    <x v="1"/>
    <n v="5"/>
    <n v="18000"/>
    <n v="0"/>
    <n v="1.3"/>
    <s v="PAY0710"/>
    <x v="1"/>
    <n v="90000"/>
  </r>
  <r>
    <s v="TRX0175"/>
    <s v="TGL0971"/>
    <x v="470"/>
    <s v="CNA0184"/>
    <x v="72"/>
    <n v="24"/>
    <s v="BRCH005"/>
    <x v="4"/>
    <s v="KOA0106"/>
    <s v="Makassar"/>
    <s v="MENU007"/>
    <s v="Chocolate Latte"/>
    <s v="KTG0207"/>
    <x v="2"/>
    <n v="2"/>
    <n v="27000"/>
    <n v="10"/>
    <n v="1.6"/>
    <s v="PAY0712"/>
    <x v="3"/>
    <n v="48600"/>
  </r>
  <r>
    <s v="TRX0786"/>
    <s v="TGL0972"/>
    <x v="471"/>
    <s v="CNA0155"/>
    <x v="50"/>
    <n v="18"/>
    <s v="BRCH004"/>
    <x v="3"/>
    <s v="KOA0105"/>
    <s v="Medan"/>
    <s v="MENU007"/>
    <s v="Chocolate Latte"/>
    <s v="KTG0207"/>
    <x v="2"/>
    <n v="4"/>
    <n v="27000"/>
    <n v="10"/>
    <n v="2.8"/>
    <s v="PAY0709"/>
    <x v="0"/>
    <n v="97200"/>
  </r>
  <r>
    <s v="TRX0389"/>
    <s v="TGL0973"/>
    <x v="472"/>
    <s v="CNA0144"/>
    <x v="39"/>
    <n v="42"/>
    <s v="BRCH002"/>
    <x v="1"/>
    <s v="KOA0103"/>
    <s v="Jakarta"/>
    <s v="MENU007"/>
    <s v="Chocolate Latte"/>
    <s v="KTG0207"/>
    <x v="2"/>
    <n v="1"/>
    <n v="27000"/>
    <n v="20"/>
    <n v="1.2"/>
    <s v="PAY0712"/>
    <x v="3"/>
    <n v="21600"/>
  </r>
  <r>
    <s v="TRX0193"/>
    <s v="TGL0973"/>
    <x v="472"/>
    <s v="CNA0118"/>
    <x v="17"/>
    <n v="22"/>
    <s v="BRCH004"/>
    <x v="3"/>
    <s v="KOA0105"/>
    <s v="Medan"/>
    <s v="MENU003"/>
    <s v="Kopi Susu Gula Aren"/>
    <s v="KTG0205"/>
    <x v="0"/>
    <n v="5"/>
    <n v="22000"/>
    <n v="10"/>
    <n v="2.8"/>
    <s v="PAY0711"/>
    <x v="2"/>
    <n v="99000"/>
  </r>
  <r>
    <s v="TRX0615"/>
    <s v="TGL0974"/>
    <x v="473"/>
    <s v="CNA0131"/>
    <x v="29"/>
    <n v="45"/>
    <s v="BRCH004"/>
    <x v="3"/>
    <s v="KOA0105"/>
    <s v="Medan"/>
    <s v="MENU009"/>
    <s v="Kentang Goreng"/>
    <s v="KTG0206"/>
    <x v="1"/>
    <n v="2"/>
    <n v="18000"/>
    <n v="0"/>
    <n v="4.3"/>
    <s v="PAY0712"/>
    <x v="3"/>
    <n v="36000"/>
  </r>
  <r>
    <s v="TRX0120"/>
    <s v="TGL0974"/>
    <x v="473"/>
    <s v="CNA0262"/>
    <x v="116"/>
    <n v="30"/>
    <s v="BRCH003"/>
    <x v="2"/>
    <s v="KOA0104"/>
    <s v="Surabaya"/>
    <s v="MENU007"/>
    <s v="Chocolate Latte"/>
    <s v="KTG0207"/>
    <x v="2"/>
    <n v="2"/>
    <n v="27000"/>
    <n v="15"/>
    <n v="4.2"/>
    <s v="PAY0710"/>
    <x v="1"/>
    <n v="45900"/>
  </r>
  <r>
    <s v="TRX0907"/>
    <s v="TGL0975"/>
    <x v="474"/>
    <s v="CNA0853"/>
    <x v="193"/>
    <n v="32"/>
    <s v="BRCH004"/>
    <x v="3"/>
    <s v="KOA0105"/>
    <s v="Medan"/>
    <s v="MENU003"/>
    <s v="Kopi Susu Gula Aren"/>
    <s v="KTG0205"/>
    <x v="0"/>
    <n v="5"/>
    <n v="22000"/>
    <n v="15"/>
    <n v="1.1000000000000001"/>
    <s v="PAY0711"/>
    <x v="2"/>
    <n v="93500"/>
  </r>
  <r>
    <s v="TRX0001"/>
    <s v="TGL0975"/>
    <x v="474"/>
    <s v="CNA0268"/>
    <x v="119"/>
    <n v="31"/>
    <s v="BRCH002"/>
    <x v="1"/>
    <s v="KOA0103"/>
    <s v="Jakarta"/>
    <s v="MENU006"/>
    <s v="Sandwich Ayam"/>
    <s v="KTG0206"/>
    <x v="1"/>
    <n v="4"/>
    <n v="32000"/>
    <n v="0"/>
    <n v="2.2000000000000002"/>
    <s v="PAY0712"/>
    <x v="3"/>
    <n v="128000"/>
  </r>
  <r>
    <s v="TRX0060"/>
    <s v="TGL0975"/>
    <x v="474"/>
    <s v="CNA0120"/>
    <x v="19"/>
    <n v="44"/>
    <s v="BRCH004"/>
    <x v="3"/>
    <s v="KOA0105"/>
    <s v="Medan"/>
    <s v="MENU002"/>
    <s v="Red Velvet Cake"/>
    <s v="KTG0206"/>
    <x v="1"/>
    <n v="3"/>
    <n v="30000"/>
    <n v="20"/>
    <n v="4.2"/>
    <s v="PAY0710"/>
    <x v="1"/>
    <n v="72000"/>
  </r>
  <r>
    <s v="TRX0004"/>
    <s v="TGL0976"/>
    <x v="475"/>
    <s v="CNA0976"/>
    <x v="197"/>
    <n v="31"/>
    <s v="BRCH003"/>
    <x v="2"/>
    <s v="KOA0104"/>
    <s v="Surabaya"/>
    <s v="MENU002"/>
    <s v="Red Velvet Cake"/>
    <s v="KTG0206"/>
    <x v="1"/>
    <n v="5"/>
    <n v="30000"/>
    <n v="0"/>
    <n v="3.5"/>
    <s v="PAY0711"/>
    <x v="2"/>
    <n v="150000"/>
  </r>
  <r>
    <s v="TRX0188"/>
    <s v="TGL0976"/>
    <x v="475"/>
    <s v="CNA0240"/>
    <x v="108"/>
    <n v="47"/>
    <s v="BRCH005"/>
    <x v="4"/>
    <s v="KOA0106"/>
    <s v="Makassar"/>
    <s v="MENU003"/>
    <s v="Kopi Susu Gula Aren"/>
    <s v="KTG0205"/>
    <x v="0"/>
    <n v="3"/>
    <n v="22000"/>
    <n v="0"/>
    <n v="2.5"/>
    <s v="PAY0710"/>
    <x v="1"/>
    <n v="66000"/>
  </r>
  <r>
    <s v="TRX0742"/>
    <s v="TGL0977"/>
    <x v="476"/>
    <s v="CNA0114"/>
    <x v="13"/>
    <n v="51"/>
    <s v="BRCH004"/>
    <x v="3"/>
    <s v="KOA0105"/>
    <s v="Medan"/>
    <s v="MENU007"/>
    <s v="Chocolate Latte"/>
    <s v="KTG0207"/>
    <x v="2"/>
    <n v="3"/>
    <n v="27000"/>
    <n v="10"/>
    <n v="3.2"/>
    <s v="PAY0710"/>
    <x v="1"/>
    <n v="72900"/>
  </r>
  <r>
    <s v="TRX0964"/>
    <s v="TGL0978"/>
    <x v="477"/>
    <s v="CNA0204"/>
    <x v="85"/>
    <n v="40"/>
    <s v="BRCH005"/>
    <x v="4"/>
    <s v="KOA0106"/>
    <s v="Makassar"/>
    <s v="MENU006"/>
    <s v="Sandwich Ayam"/>
    <s v="KTG0206"/>
    <x v="1"/>
    <n v="3"/>
    <n v="32000"/>
    <n v="15"/>
    <n v="1.9"/>
    <s v="PAY0711"/>
    <x v="2"/>
    <n v="81600"/>
  </r>
  <r>
    <s v="TRX0961"/>
    <s v="TGL0979"/>
    <x v="478"/>
    <s v="CNA0420"/>
    <x v="163"/>
    <n v="44"/>
    <s v="BRCH001"/>
    <x v="0"/>
    <s v="KOA0102"/>
    <s v="Bandung"/>
    <s v="MENU010"/>
    <s v="Espresso"/>
    <s v="KTG0205"/>
    <x v="0"/>
    <n v="2"/>
    <n v="18000"/>
    <n v="15"/>
    <n v="3"/>
    <s v="PAY0712"/>
    <x v="3"/>
    <n v="30600"/>
  </r>
  <r>
    <s v="TRX0587"/>
    <s v="TGL0980"/>
    <x v="479"/>
    <s v="CNA0105"/>
    <x v="4"/>
    <n v="53"/>
    <s v="BRCH002"/>
    <x v="1"/>
    <s v="KOA0103"/>
    <s v="Jakarta"/>
    <s v="MENU008"/>
    <s v="Americano"/>
    <s v="KTG0205"/>
    <x v="0"/>
    <n v="4"/>
    <n v="20000"/>
    <n v="0"/>
    <n v="3.3"/>
    <s v="PAY0711"/>
    <x v="2"/>
    <n v="80000"/>
  </r>
  <r>
    <s v="TRX0490"/>
    <s v="TGL0980"/>
    <x v="479"/>
    <s v="CNA0149"/>
    <x v="44"/>
    <n v="33"/>
    <s v="BRCH004"/>
    <x v="3"/>
    <s v="KOA0105"/>
    <s v="Medan"/>
    <s v="MENU002"/>
    <s v="Red Velvet Cake"/>
    <s v="KTG0206"/>
    <x v="1"/>
    <n v="3"/>
    <n v="30000"/>
    <n v="20"/>
    <n v="5"/>
    <s v="PAY0710"/>
    <x v="1"/>
    <n v="72000"/>
  </r>
  <r>
    <s v="TRX0716"/>
    <s v="TGL0980"/>
    <x v="479"/>
    <s v="CNA0188"/>
    <x v="76"/>
    <n v="19"/>
    <s v="BRCH001"/>
    <x v="0"/>
    <s v="KOA0102"/>
    <s v="Bandung"/>
    <s v="MENU008"/>
    <s v="Americano"/>
    <s v="KTG0205"/>
    <x v="0"/>
    <n v="2"/>
    <n v="20000"/>
    <n v="0"/>
    <n v="4.9000000000000004"/>
    <s v="PAY0709"/>
    <x v="0"/>
    <n v="40000"/>
  </r>
  <r>
    <s v="TRX0703"/>
    <s v="TGL0981"/>
    <x v="480"/>
    <s v="CNA0186"/>
    <x v="74"/>
    <n v="53"/>
    <s v="BRCH001"/>
    <x v="0"/>
    <s v="KOA0102"/>
    <s v="Bandung"/>
    <s v="MENU008"/>
    <s v="Americano"/>
    <s v="KTG0205"/>
    <x v="0"/>
    <n v="3"/>
    <n v="20000"/>
    <n v="5"/>
    <n v="1.1000000000000001"/>
    <s v="PAY0710"/>
    <x v="1"/>
    <n v="57000"/>
  </r>
  <r>
    <s v="TRX0799"/>
    <s v="TGL0981"/>
    <x v="480"/>
    <s v="CNA0280"/>
    <x v="126"/>
    <n v="25"/>
    <s v="BRCH002"/>
    <x v="1"/>
    <s v="KOA0103"/>
    <s v="Jakarta"/>
    <s v="MENU002"/>
    <s v="Red Velvet Cake"/>
    <s v="KTG0206"/>
    <x v="1"/>
    <n v="4"/>
    <n v="30000"/>
    <n v="20"/>
    <n v="2.1"/>
    <s v="PAY0712"/>
    <x v="3"/>
    <n v="96000"/>
  </r>
  <r>
    <s v="TRX0445"/>
    <s v="TGL0982"/>
    <x v="481"/>
    <s v="CNA0132"/>
    <x v="30"/>
    <n v="40"/>
    <s v="BRCH005"/>
    <x v="4"/>
    <s v="KOA0106"/>
    <s v="Makassar"/>
    <s v="MENU009"/>
    <s v="Kentang Goreng"/>
    <s v="KTG0206"/>
    <x v="1"/>
    <n v="3"/>
    <n v="18000"/>
    <n v="15"/>
    <n v="4.3"/>
    <s v="PAY0711"/>
    <x v="2"/>
    <n v="45900"/>
  </r>
  <r>
    <s v="TRX0832"/>
    <s v="TGL0982"/>
    <x v="481"/>
    <s v="CNA0558"/>
    <x v="177"/>
    <n v="27"/>
    <s v="BRCH001"/>
    <x v="0"/>
    <s v="KOA0102"/>
    <s v="Bandung"/>
    <s v="MENU002"/>
    <s v="Red Velvet Cake"/>
    <s v="KTG0206"/>
    <x v="1"/>
    <n v="1"/>
    <n v="30000"/>
    <n v="0"/>
    <n v="1.9"/>
    <s v="PAY0711"/>
    <x v="2"/>
    <n v="30000"/>
  </r>
  <r>
    <s v="TRX0363"/>
    <s v="TGL0982"/>
    <x v="481"/>
    <s v="CNA0106"/>
    <x v="5"/>
    <n v="30"/>
    <s v="BRCH001"/>
    <x v="0"/>
    <s v="KOA0102"/>
    <s v="Bandung"/>
    <s v="MENU007"/>
    <s v="Chocolate Latte"/>
    <s v="KTG0207"/>
    <x v="2"/>
    <n v="2"/>
    <n v="27000"/>
    <n v="5"/>
    <n v="4.5"/>
    <s v="PAY0709"/>
    <x v="0"/>
    <n v="51300"/>
  </r>
  <r>
    <s v="TRX0738"/>
    <s v="TGL0983"/>
    <x v="482"/>
    <s v="CNA0123"/>
    <x v="22"/>
    <n v="31"/>
    <s v="BRCH004"/>
    <x v="3"/>
    <s v="KOA0105"/>
    <s v="Medan"/>
    <s v="MENU006"/>
    <s v="Sandwich Ayam"/>
    <s v="KTG0206"/>
    <x v="1"/>
    <n v="3"/>
    <n v="32000"/>
    <n v="5"/>
    <n v="4.8"/>
    <s v="PAY0712"/>
    <x v="3"/>
    <n v="91200"/>
  </r>
  <r>
    <s v="TRX0018"/>
    <s v="TGL0984"/>
    <x v="483"/>
    <s v="CNA0537"/>
    <x v="175"/>
    <n v="19"/>
    <s v="BRCH005"/>
    <x v="4"/>
    <s v="KOA0106"/>
    <s v="Makassar"/>
    <s v="MENU004"/>
    <s v="Matcha Latte"/>
    <s v="KTG0207"/>
    <x v="2"/>
    <n v="3"/>
    <n v="28000"/>
    <n v="15"/>
    <n v="3"/>
    <s v="PAY0710"/>
    <x v="1"/>
    <n v="71400"/>
  </r>
  <r>
    <s v="TRX0352"/>
    <s v="TGL0985"/>
    <x v="484"/>
    <s v="CNA0171"/>
    <x v="62"/>
    <n v="43"/>
    <s v="BRCH004"/>
    <x v="3"/>
    <s v="KOA0105"/>
    <s v="Medan"/>
    <s v="MENU006"/>
    <s v="Sandwich Ayam"/>
    <s v="KTG0206"/>
    <x v="1"/>
    <n v="1"/>
    <n v="32000"/>
    <n v="15"/>
    <n v="4.3"/>
    <s v="PAY0709"/>
    <x v="0"/>
    <n v="27200"/>
  </r>
  <r>
    <s v="TRX0387"/>
    <s v="TGL0985"/>
    <x v="484"/>
    <s v="CNA0497"/>
    <x v="170"/>
    <n v="25"/>
    <s v="BRCH003"/>
    <x v="2"/>
    <s v="KOA0104"/>
    <s v="Surabaya"/>
    <s v="MENU006"/>
    <s v="Sandwich Ayam"/>
    <s v="KTG0206"/>
    <x v="1"/>
    <n v="3"/>
    <n v="32000"/>
    <n v="10"/>
    <n v="1.2"/>
    <s v="PAY0711"/>
    <x v="2"/>
    <n v="86400"/>
  </r>
  <r>
    <s v="TRX0728"/>
    <s v="TGL0986"/>
    <x v="485"/>
    <s v="CNA0203"/>
    <x v="84"/>
    <n v="22"/>
    <s v="BRCH003"/>
    <x v="2"/>
    <s v="KOA0104"/>
    <s v="Surabaya"/>
    <s v="MENU002"/>
    <s v="Red Velvet Cake"/>
    <s v="KTG0206"/>
    <x v="1"/>
    <n v="3"/>
    <n v="30000"/>
    <n v="0"/>
    <n v="1.7"/>
    <s v="PAY0710"/>
    <x v="1"/>
    <n v="90000"/>
  </r>
  <r>
    <s v="TRX0141"/>
    <s v="TGL0986"/>
    <x v="485"/>
    <s v="CNA0234"/>
    <x v="104"/>
    <n v="37"/>
    <s v="BRCH003"/>
    <x v="2"/>
    <s v="KOA0104"/>
    <s v="Surabaya"/>
    <s v="MENU010"/>
    <s v="Espresso"/>
    <s v="KTG0205"/>
    <x v="0"/>
    <n v="3"/>
    <n v="18000"/>
    <n v="0"/>
    <n v="3.3"/>
    <s v="PAY0712"/>
    <x v="3"/>
    <n v="54000"/>
  </r>
  <r>
    <s v="TRX0172"/>
    <s v="TGL0987"/>
    <x v="486"/>
    <s v="CNA0350"/>
    <x v="151"/>
    <n v="52"/>
    <s v="BRCH005"/>
    <x v="4"/>
    <s v="KOA0106"/>
    <s v="Makassar"/>
    <s v="MENU005"/>
    <s v="Croissant"/>
    <s v="KTG0206"/>
    <x v="1"/>
    <n v="4"/>
    <n v="23000"/>
    <n v="0"/>
    <n v="1.1000000000000001"/>
    <s v="PAY0712"/>
    <x v="3"/>
    <n v="92000"/>
  </r>
  <r>
    <s v="TRX0207"/>
    <s v="TGL0987"/>
    <x v="486"/>
    <s v="CNA0274"/>
    <x v="123"/>
    <n v="27"/>
    <s v="BRCH004"/>
    <x v="3"/>
    <s v="KOA0105"/>
    <s v="Medan"/>
    <s v="MENU010"/>
    <s v="Espresso"/>
    <s v="KTG0205"/>
    <x v="0"/>
    <n v="1"/>
    <n v="18000"/>
    <n v="10"/>
    <n v="1.1000000000000001"/>
    <s v="PAY0712"/>
    <x v="3"/>
    <n v="16200"/>
  </r>
  <r>
    <s v="TRX0432"/>
    <s v="TGL0987"/>
    <x v="486"/>
    <s v="CNA0670"/>
    <x v="183"/>
    <n v="39"/>
    <s v="BRCH005"/>
    <x v="4"/>
    <s v="KOA0106"/>
    <s v="Makassar"/>
    <s v="MENU001"/>
    <s v="Cappuccino"/>
    <s v="KTG0205"/>
    <x v="0"/>
    <n v="2"/>
    <n v="25000"/>
    <n v="10"/>
    <n v="3.4"/>
    <s v="PAY0709"/>
    <x v="0"/>
    <n v="45000"/>
  </r>
  <r>
    <s v="TRX0368"/>
    <s v="TGL0988"/>
    <x v="487"/>
    <s v="CNA0885"/>
    <x v="195"/>
    <n v="26"/>
    <s v="BRCH004"/>
    <x v="3"/>
    <s v="KOA0105"/>
    <s v="Medan"/>
    <s v="MENU006"/>
    <s v="Sandwich Ayam"/>
    <s v="KTG0206"/>
    <x v="1"/>
    <n v="2"/>
    <n v="32000"/>
    <n v="0"/>
    <n v="2.4"/>
    <s v="PAY0710"/>
    <x v="1"/>
    <n v="64000"/>
  </r>
  <r>
    <s v="TRX0179"/>
    <s v="TGL0988"/>
    <x v="487"/>
    <s v="CNA0904"/>
    <x v="196"/>
    <n v="46"/>
    <s v="BRCH003"/>
    <x v="2"/>
    <s v="KOA0104"/>
    <s v="Surabaya"/>
    <s v="MENU002"/>
    <s v="Red Velvet Cake"/>
    <s v="KTG0206"/>
    <x v="1"/>
    <n v="1"/>
    <n v="30000"/>
    <n v="0"/>
    <n v="2.1"/>
    <s v="PAY0710"/>
    <x v="1"/>
    <n v="30000"/>
  </r>
  <r>
    <s v="TRX0343"/>
    <s v="TGL0989"/>
    <x v="488"/>
    <s v="CNA0119"/>
    <x v="18"/>
    <n v="35"/>
    <s v="BRCH005"/>
    <x v="4"/>
    <s v="KOA0106"/>
    <s v="Makassar"/>
    <s v="MENU010"/>
    <s v="Espresso"/>
    <s v="KTG0205"/>
    <x v="0"/>
    <n v="4"/>
    <n v="18000"/>
    <n v="0"/>
    <n v="1.2"/>
    <s v="PAY0711"/>
    <x v="2"/>
    <n v="72000"/>
  </r>
  <r>
    <s v="TRX0232"/>
    <s v="TGL0990"/>
    <x v="489"/>
    <s v="CNA0233"/>
    <x v="103"/>
    <n v="18"/>
    <s v="BRCH002"/>
    <x v="1"/>
    <s v="KOA0103"/>
    <s v="Jakarta"/>
    <s v="MENU001"/>
    <s v="Cappuccino"/>
    <s v="KTG0205"/>
    <x v="0"/>
    <n v="3"/>
    <n v="25000"/>
    <n v="0"/>
    <n v="4.7"/>
    <s v="PAY0709"/>
    <x v="0"/>
    <n v="75000"/>
  </r>
  <r>
    <s v="TRX0418"/>
    <s v="TGL0990"/>
    <x v="489"/>
    <s v="CNA0772"/>
    <x v="190"/>
    <n v="28"/>
    <s v="BRCH004"/>
    <x v="3"/>
    <s v="KOA0105"/>
    <s v="Medan"/>
    <s v="MENU004"/>
    <s v="Matcha Latte"/>
    <s v="KTG0207"/>
    <x v="2"/>
    <n v="1"/>
    <n v="28000"/>
    <n v="0"/>
    <n v="1.3"/>
    <s v="PAY0710"/>
    <x v="1"/>
    <n v="28000"/>
  </r>
  <r>
    <s v="TRX0025"/>
    <s v="TGL0990"/>
    <x v="489"/>
    <s v="CNA0391"/>
    <x v="157"/>
    <n v="44"/>
    <s v="BRCH005"/>
    <x v="4"/>
    <s v="KOA0106"/>
    <s v="Makassar"/>
    <s v="MENU002"/>
    <s v="Red Velvet Cake"/>
    <s v="KTG0206"/>
    <x v="1"/>
    <n v="2"/>
    <n v="30000"/>
    <n v="5"/>
    <n v="3"/>
    <s v="PAY0712"/>
    <x v="3"/>
    <n v="57000"/>
  </r>
  <r>
    <s v="TRX0178"/>
    <s v="TGL0990"/>
    <x v="489"/>
    <s v="CNA0208"/>
    <x v="88"/>
    <n v="21"/>
    <s v="BRCH005"/>
    <x v="4"/>
    <s v="KOA0106"/>
    <s v="Makassar"/>
    <s v="MENU008"/>
    <s v="Americano"/>
    <s v="KTG0205"/>
    <x v="0"/>
    <n v="2"/>
    <n v="20000"/>
    <n v="5"/>
    <n v="3.9"/>
    <s v="PAY0711"/>
    <x v="2"/>
    <n v="38000"/>
  </r>
  <r>
    <s v="TRX0081"/>
    <s v="TGL0990"/>
    <x v="489"/>
    <s v="CNA0560"/>
    <x v="178"/>
    <n v="41"/>
    <s v="BRCH005"/>
    <x v="4"/>
    <s v="KOA0106"/>
    <s v="Makassar"/>
    <s v="MENU002"/>
    <s v="Red Velvet Cake"/>
    <s v="KTG0206"/>
    <x v="1"/>
    <n v="5"/>
    <n v="30000"/>
    <n v="0"/>
    <n v="4.3"/>
    <s v="PAY0712"/>
    <x v="3"/>
    <n v="150000"/>
  </r>
  <r>
    <s v="TRX0845"/>
    <s v="TGL0991"/>
    <x v="490"/>
    <s v="CNA0646"/>
    <x v="181"/>
    <n v="27"/>
    <s v="BRCH003"/>
    <x v="2"/>
    <s v="KOA0104"/>
    <s v="Surabaya"/>
    <s v="MENU003"/>
    <s v="Kopi Susu Gula Aren"/>
    <s v="KTG0205"/>
    <x v="0"/>
    <n v="1"/>
    <n v="22000"/>
    <n v="0"/>
    <n v="1.6"/>
    <s v="PAY0710"/>
    <x v="1"/>
    <n v="22000"/>
  </r>
  <r>
    <s v="TRX0391"/>
    <s v="TGL0991"/>
    <x v="490"/>
    <s v="CNA0511"/>
    <x v="172"/>
    <n v="36"/>
    <s v="BRCH001"/>
    <x v="0"/>
    <s v="KOA0102"/>
    <s v="Bandung"/>
    <s v="MENU001"/>
    <s v="Cappuccino"/>
    <s v="KTG0205"/>
    <x v="0"/>
    <n v="4"/>
    <n v="25000"/>
    <n v="0"/>
    <n v="1.2"/>
    <s v="PAY0709"/>
    <x v="0"/>
    <n v="100000"/>
  </r>
  <r>
    <s v="TRX0887"/>
    <s v="TGL0992"/>
    <x v="491"/>
    <s v="CNA0295"/>
    <x v="133"/>
    <n v="42"/>
    <s v="BRCH004"/>
    <x v="3"/>
    <s v="KOA0105"/>
    <s v="Medan"/>
    <s v="MENU010"/>
    <s v="Espresso"/>
    <s v="KTG0205"/>
    <x v="0"/>
    <n v="4"/>
    <n v="18000"/>
    <n v="0"/>
    <n v="3.8"/>
    <s v="PAY0710"/>
    <x v="1"/>
    <n v="72000"/>
  </r>
  <r>
    <s v="TRX0919"/>
    <s v="TGL0993"/>
    <x v="492"/>
    <s v="CNA0315"/>
    <x v="141"/>
    <n v="51"/>
    <s v="BRCH005"/>
    <x v="4"/>
    <s v="KOA0106"/>
    <s v="Makassar"/>
    <s v="MENU008"/>
    <s v="Americano"/>
    <s v="KTG0205"/>
    <x v="0"/>
    <n v="5"/>
    <n v="20000"/>
    <n v="10"/>
    <n v="4.5999999999999996"/>
    <s v="PAY0712"/>
    <x v="3"/>
    <n v="90000"/>
  </r>
  <r>
    <s v="TRX0679"/>
    <s v="TGL0993"/>
    <x v="492"/>
    <s v="CNA1010"/>
    <x v="198"/>
    <n v="38"/>
    <s v="BRCH002"/>
    <x v="1"/>
    <s v="KOA0103"/>
    <s v="Jakarta"/>
    <s v="MENU001"/>
    <s v="Cappuccino"/>
    <s v="KTG0205"/>
    <x v="0"/>
    <n v="5"/>
    <n v="25000"/>
    <n v="15"/>
    <n v="4.4000000000000004"/>
    <s v="PAY0709"/>
    <x v="0"/>
    <n v="106250"/>
  </r>
  <r>
    <s v="TRX0119"/>
    <s v="TGL0994"/>
    <x v="493"/>
    <s v="CNA0180"/>
    <x v="69"/>
    <n v="19"/>
    <s v="BRCH003"/>
    <x v="2"/>
    <s v="KOA0104"/>
    <s v="Surabaya"/>
    <s v="MENU006"/>
    <s v="Sandwich Ayam"/>
    <s v="KTG0206"/>
    <x v="1"/>
    <n v="5"/>
    <n v="32000"/>
    <n v="10"/>
    <n v="2.9"/>
    <s v="PAY0709"/>
    <x v="0"/>
    <n v="144000"/>
  </r>
  <r>
    <s v="TRX0563"/>
    <s v="TGL0994"/>
    <x v="493"/>
    <s v="CNA0199"/>
    <x v="80"/>
    <n v="24"/>
    <s v="BRCH005"/>
    <x v="4"/>
    <s v="KOA0106"/>
    <s v="Makassar"/>
    <s v="MENU004"/>
    <s v="Matcha Latte"/>
    <s v="KTG0207"/>
    <x v="2"/>
    <n v="4"/>
    <n v="28000"/>
    <n v="10"/>
    <n v="5"/>
    <s v="PAY0710"/>
    <x v="1"/>
    <n v="100800"/>
  </r>
  <r>
    <s v="TRX0291"/>
    <s v="TGL0994"/>
    <x v="493"/>
    <s v="CNA0670"/>
    <x v="183"/>
    <n v="39"/>
    <s v="BRCH003"/>
    <x v="2"/>
    <s v="KOA0104"/>
    <s v="Surabaya"/>
    <s v="MENU010"/>
    <s v="Espresso"/>
    <s v="KTG0205"/>
    <x v="0"/>
    <n v="5"/>
    <n v="18000"/>
    <n v="20"/>
    <n v="1.9"/>
    <s v="PAY0712"/>
    <x v="3"/>
    <n v="72000"/>
  </r>
  <r>
    <s v="TRX0910"/>
    <s v="TGL0995"/>
    <x v="494"/>
    <s v="CNA0145"/>
    <x v="40"/>
    <n v="19"/>
    <s v="BRCH005"/>
    <x v="4"/>
    <s v="KOA0106"/>
    <s v="Makassar"/>
    <s v="MENU004"/>
    <s v="Matcha Latte"/>
    <s v="KTG0207"/>
    <x v="2"/>
    <n v="1"/>
    <n v="28000"/>
    <n v="20"/>
    <n v="2"/>
    <s v="PAY0711"/>
    <x v="2"/>
    <n v="22400"/>
  </r>
  <r>
    <s v="TRX0690"/>
    <s v="TGL0995"/>
    <x v="494"/>
    <s v="CNA0105"/>
    <x v="4"/>
    <n v="53"/>
    <s v="BRCH003"/>
    <x v="2"/>
    <s v="KOA0104"/>
    <s v="Surabaya"/>
    <s v="MENU003"/>
    <s v="Kopi Susu Gula Aren"/>
    <s v="KTG0205"/>
    <x v="0"/>
    <n v="3"/>
    <n v="22000"/>
    <n v="0"/>
    <n v="3.1"/>
    <s v="PAY0712"/>
    <x v="3"/>
    <n v="66000"/>
  </r>
  <r>
    <s v="TRX0290"/>
    <s v="TGL0995"/>
    <x v="494"/>
    <s v="CNA0211"/>
    <x v="89"/>
    <n v="49"/>
    <s v="BRCH002"/>
    <x v="1"/>
    <s v="KOA0103"/>
    <s v="Jakarta"/>
    <s v="MENU008"/>
    <s v="Americano"/>
    <s v="KTG0205"/>
    <x v="0"/>
    <n v="1"/>
    <n v="20000"/>
    <n v="0"/>
    <n v="4.5"/>
    <s v="PAY0711"/>
    <x v="2"/>
    <n v="20000"/>
  </r>
  <r>
    <s v="TRX0243"/>
    <s v="TGL0995"/>
    <x v="494"/>
    <s v="CNA0174"/>
    <x v="65"/>
    <n v="48"/>
    <s v="BRCH004"/>
    <x v="3"/>
    <s v="KOA0105"/>
    <s v="Medan"/>
    <s v="MENU004"/>
    <s v="Matcha Latte"/>
    <s v="KTG0207"/>
    <x v="2"/>
    <n v="5"/>
    <n v="28000"/>
    <n v="0"/>
    <n v="2.1"/>
    <s v="PAY0711"/>
    <x v="2"/>
    <n v="140000"/>
  </r>
  <r>
    <s v="TRX0791"/>
    <s v="TGL0996"/>
    <x v="495"/>
    <s v="CNA0121"/>
    <x v="20"/>
    <n v="25"/>
    <s v="BRCH005"/>
    <x v="4"/>
    <s v="KOA0106"/>
    <s v="Makassar"/>
    <s v="MENU004"/>
    <s v="Matcha Latte"/>
    <s v="KTG0207"/>
    <x v="2"/>
    <n v="5"/>
    <n v="28000"/>
    <n v="0"/>
    <n v="1.4"/>
    <s v="PAY0710"/>
    <x v="1"/>
    <n v="140000"/>
  </r>
  <r>
    <s v="TRX0148"/>
    <s v="TGL0996"/>
    <x v="495"/>
    <s v="CNA0230"/>
    <x v="101"/>
    <n v="23"/>
    <s v="BRCH005"/>
    <x v="4"/>
    <s v="KOA0106"/>
    <s v="Makassar"/>
    <s v="MENU006"/>
    <s v="Sandwich Ayam"/>
    <s v="KTG0206"/>
    <x v="1"/>
    <n v="2"/>
    <n v="32000"/>
    <n v="20"/>
    <n v="1.8"/>
    <s v="PAY0712"/>
    <x v="3"/>
    <n v="51200"/>
  </r>
  <r>
    <s v="TRX0625"/>
    <s v="TGL0997"/>
    <x v="496"/>
    <s v="CNA0205"/>
    <x v="86"/>
    <n v="17"/>
    <s v="BRCH001"/>
    <x v="0"/>
    <s v="KOA0102"/>
    <s v="Bandung"/>
    <s v="MENU006"/>
    <s v="Sandwich Ayam"/>
    <s v="KTG0206"/>
    <x v="1"/>
    <n v="1"/>
    <n v="32000"/>
    <n v="15"/>
    <n v="4.9000000000000004"/>
    <s v="PAY0712"/>
    <x v="3"/>
    <n v="27200"/>
  </r>
  <r>
    <s v="TRX0895"/>
    <s v="TGL0997"/>
    <x v="496"/>
    <s v="CNA0199"/>
    <x v="80"/>
    <n v="24"/>
    <s v="BRCH003"/>
    <x v="2"/>
    <s v="KOA0104"/>
    <s v="Surabaya"/>
    <s v="MENU009"/>
    <s v="Kentang Goreng"/>
    <s v="KTG0206"/>
    <x v="1"/>
    <n v="2"/>
    <n v="18000"/>
    <n v="10"/>
    <n v="1.6"/>
    <s v="PAY0709"/>
    <x v="0"/>
    <n v="32400"/>
  </r>
  <r>
    <s v="TRX0920"/>
    <s v="TGL0997"/>
    <x v="496"/>
    <s v="CNA0242"/>
    <x v="109"/>
    <n v="40"/>
    <s v="BRCH003"/>
    <x v="2"/>
    <s v="KOA0104"/>
    <s v="Surabaya"/>
    <s v="MENU003"/>
    <s v="Kopi Susu Gula Aren"/>
    <s v="KTG0205"/>
    <x v="0"/>
    <n v="4"/>
    <n v="22000"/>
    <n v="20"/>
    <n v="1"/>
    <s v="PAY0709"/>
    <x v="0"/>
    <n v="70400"/>
  </r>
  <r>
    <s v="TRX0573"/>
    <s v="TGL0998"/>
    <x v="497"/>
    <s v="CNA0333"/>
    <x v="147"/>
    <n v="27"/>
    <s v="BRCH002"/>
    <x v="1"/>
    <s v="KOA0103"/>
    <s v="Jakarta"/>
    <s v="MENU004"/>
    <s v="Matcha Latte"/>
    <s v="KTG0207"/>
    <x v="2"/>
    <n v="5"/>
    <n v="28000"/>
    <n v="15"/>
    <n v="1.5"/>
    <s v="PAY0709"/>
    <x v="0"/>
    <n v="119000"/>
  </r>
  <r>
    <s v="TRX0438"/>
    <s v="TGL0999"/>
    <x v="498"/>
    <s v="CNA0654"/>
    <x v="182"/>
    <n v="35"/>
    <s v="BRCH004"/>
    <x v="3"/>
    <s v="KOA0105"/>
    <s v="Medan"/>
    <s v="MENU010"/>
    <s v="Espresso"/>
    <s v="KTG0205"/>
    <x v="0"/>
    <n v="5"/>
    <n v="18000"/>
    <n v="0"/>
    <n v="4.5999999999999996"/>
    <s v="PAY0710"/>
    <x v="1"/>
    <n v="90000"/>
  </r>
  <r>
    <s v="TRX0808"/>
    <s v="TGL1000"/>
    <x v="499"/>
    <s v="CNA0641"/>
    <x v="180"/>
    <n v="41"/>
    <s v="BRCH003"/>
    <x v="2"/>
    <s v="KOA0104"/>
    <s v="Surabaya"/>
    <s v="MENU002"/>
    <s v="Red Velvet Cake"/>
    <s v="KTG0206"/>
    <x v="1"/>
    <n v="2"/>
    <n v="30000"/>
    <n v="20"/>
    <n v="1.4"/>
    <s v="PAY0711"/>
    <x v="2"/>
    <n v="48000"/>
  </r>
  <r>
    <s v="TRX0067"/>
    <s v="TGL1001"/>
    <x v="500"/>
    <s v="CNA0381"/>
    <x v="154"/>
    <n v="40"/>
    <s v="BRCH002"/>
    <x v="1"/>
    <s v="KOA0103"/>
    <s v="Jakarta"/>
    <s v="MENU004"/>
    <s v="Matcha Latte"/>
    <s v="KTG0207"/>
    <x v="2"/>
    <n v="1"/>
    <n v="28000"/>
    <n v="20"/>
    <n v="4.5999999999999996"/>
    <s v="PAY0711"/>
    <x v="2"/>
    <n v="22400"/>
  </r>
  <r>
    <s v="TRX0942"/>
    <s v="TGL1001"/>
    <x v="500"/>
    <s v="CNA0280"/>
    <x v="126"/>
    <n v="25"/>
    <s v="BRCH002"/>
    <x v="1"/>
    <s v="KOA0103"/>
    <s v="Jakarta"/>
    <s v="MENU005"/>
    <s v="Croissant"/>
    <s v="KTG0206"/>
    <x v="1"/>
    <n v="2"/>
    <n v="23000"/>
    <n v="0"/>
    <n v="4.7"/>
    <s v="PAY0709"/>
    <x v="0"/>
    <n v="46000"/>
  </r>
  <r>
    <s v="TRX0177"/>
    <s v="TGL1001"/>
    <x v="500"/>
    <s v="CNA0278"/>
    <x v="125"/>
    <n v="32"/>
    <s v="BRCH005"/>
    <x v="4"/>
    <s v="KOA0106"/>
    <s v="Makassar"/>
    <s v="MENU004"/>
    <s v="Matcha Latte"/>
    <s v="KTG0207"/>
    <x v="2"/>
    <n v="2"/>
    <n v="28000"/>
    <n v="10"/>
    <n v="1.8"/>
    <s v="PAY0710"/>
    <x v="1"/>
    <n v="50400"/>
  </r>
  <r>
    <s v="TRX0575"/>
    <s v="TGL1002"/>
    <x v="501"/>
    <s v="CNA0108"/>
    <x v="7"/>
    <n v="21"/>
    <s v="BRCH004"/>
    <x v="3"/>
    <s v="KOA0105"/>
    <s v="Medan"/>
    <s v="MENU004"/>
    <s v="Matcha Latte"/>
    <s v="KTG0207"/>
    <x v="2"/>
    <n v="2"/>
    <n v="28000"/>
    <n v="0"/>
    <n v="3.6"/>
    <s v="PAY0709"/>
    <x v="0"/>
    <n v="56000"/>
  </r>
  <r>
    <s v="TRX0409"/>
    <s v="TGL1002"/>
    <x v="501"/>
    <s v="CNA0199"/>
    <x v="80"/>
    <n v="24"/>
    <s v="BRCH003"/>
    <x v="2"/>
    <s v="KOA0104"/>
    <s v="Surabaya"/>
    <s v="MENU006"/>
    <s v="Sandwich Ayam"/>
    <s v="KTG0206"/>
    <x v="1"/>
    <n v="1"/>
    <n v="32000"/>
    <n v="15"/>
    <n v="3.8"/>
    <s v="PAY0711"/>
    <x v="2"/>
    <n v="27200"/>
  </r>
  <r>
    <s v="TRX0032"/>
    <s v="TGL1003"/>
    <x v="502"/>
    <s v="CNA0149"/>
    <x v="44"/>
    <n v="33"/>
    <s v="BRCH002"/>
    <x v="1"/>
    <s v="KOA0103"/>
    <s v="Jakarta"/>
    <s v="MENU004"/>
    <s v="Matcha Latte"/>
    <s v="KTG0207"/>
    <x v="2"/>
    <n v="4"/>
    <n v="28000"/>
    <n v="0"/>
    <n v="3.2"/>
    <s v="PAY0709"/>
    <x v="0"/>
    <n v="112000"/>
  </r>
  <r>
    <s v="TRX1000"/>
    <s v="TGL1003"/>
    <x v="502"/>
    <s v="CNA0511"/>
    <x v="172"/>
    <n v="36"/>
    <s v="BRCH001"/>
    <x v="0"/>
    <s v="KOA0102"/>
    <s v="Bandung"/>
    <s v="MENU005"/>
    <s v="Croissant"/>
    <s v="KTG0206"/>
    <x v="1"/>
    <n v="4"/>
    <n v="23000"/>
    <n v="15"/>
    <n v="4.3"/>
    <s v="PAY0712"/>
    <x v="3"/>
    <n v="78200"/>
  </r>
  <r>
    <s v="TRX0734"/>
    <s v="TGL1003"/>
    <x v="502"/>
    <s v="CNA0641"/>
    <x v="180"/>
    <n v="41"/>
    <s v="BRCH004"/>
    <x v="3"/>
    <s v="KOA0105"/>
    <s v="Medan"/>
    <s v="MENU004"/>
    <s v="Matcha Latte"/>
    <s v="KTG0207"/>
    <x v="2"/>
    <n v="5"/>
    <n v="28000"/>
    <n v="20"/>
    <n v="2.8"/>
    <s v="PAY0712"/>
    <x v="3"/>
    <n v="112000"/>
  </r>
  <r>
    <s v="TRX0516"/>
    <s v="TGL1004"/>
    <x v="503"/>
    <s v="CNA0170"/>
    <x v="61"/>
    <n v="18"/>
    <s v="BRCH001"/>
    <x v="0"/>
    <s v="KOA0102"/>
    <s v="Bandung"/>
    <s v="MENU008"/>
    <s v="Americano"/>
    <s v="KTG0205"/>
    <x v="0"/>
    <n v="4"/>
    <n v="20000"/>
    <n v="15"/>
    <n v="1.2"/>
    <s v="PAY0712"/>
    <x v="3"/>
    <n v="68000"/>
  </r>
  <r>
    <s v="TRX0245"/>
    <s v="TGL1005"/>
    <x v="504"/>
    <s v="CNA0114"/>
    <x v="13"/>
    <n v="51"/>
    <s v="BRCH002"/>
    <x v="1"/>
    <s v="KOA0103"/>
    <s v="Jakarta"/>
    <s v="MENU003"/>
    <s v="Kopi Susu Gula Aren"/>
    <s v="KTG0205"/>
    <x v="0"/>
    <n v="5"/>
    <n v="22000"/>
    <n v="0"/>
    <n v="3"/>
    <s v="PAY0711"/>
    <x v="2"/>
    <n v="110000"/>
  </r>
  <r>
    <s v="TRX0443"/>
    <s v="TGL1006"/>
    <x v="505"/>
    <s v="CNA0183"/>
    <x v="71"/>
    <n v="54"/>
    <s v="BRCH001"/>
    <x v="0"/>
    <s v="KOA0102"/>
    <s v="Bandung"/>
    <s v="MENU005"/>
    <s v="Croissant"/>
    <s v="KTG0206"/>
    <x v="1"/>
    <n v="2"/>
    <n v="23000"/>
    <n v="0"/>
    <n v="1.9"/>
    <s v="PAY0712"/>
    <x v="3"/>
    <n v="46000"/>
  </r>
  <r>
    <s v="TRX0282"/>
    <s v="TGL1006"/>
    <x v="505"/>
    <s v="CNA0227"/>
    <x v="99"/>
    <n v="17"/>
    <s v="BRCH001"/>
    <x v="0"/>
    <s v="KOA0102"/>
    <s v="Bandung"/>
    <s v="MENU010"/>
    <s v="Espresso"/>
    <s v="KTG0205"/>
    <x v="0"/>
    <n v="1"/>
    <n v="18000"/>
    <n v="10"/>
    <n v="4"/>
    <s v="PAY0712"/>
    <x v="3"/>
    <n v="16200"/>
  </r>
  <r>
    <s v="TRX0416"/>
    <s v="TGL1006"/>
    <x v="505"/>
    <s v="CNA0299"/>
    <x v="135"/>
    <n v="38"/>
    <s v="BRCH005"/>
    <x v="4"/>
    <s v="KOA0106"/>
    <s v="Makassar"/>
    <s v="MENU009"/>
    <s v="Kentang Goreng"/>
    <s v="KTG0206"/>
    <x v="1"/>
    <n v="5"/>
    <n v="18000"/>
    <n v="15"/>
    <n v="3.1"/>
    <s v="PAY0711"/>
    <x v="2"/>
    <n v="76500"/>
  </r>
  <r>
    <s v="TRX0494"/>
    <s v="TGL1007"/>
    <x v="506"/>
    <s v="CNA0297"/>
    <x v="134"/>
    <n v="28"/>
    <s v="BRCH002"/>
    <x v="1"/>
    <s v="KOA0103"/>
    <s v="Jakarta"/>
    <s v="MENU002"/>
    <s v="Red Velvet Cake"/>
    <s v="KTG0206"/>
    <x v="1"/>
    <n v="5"/>
    <n v="30000"/>
    <n v="20"/>
    <n v="2.4"/>
    <s v="PAY0710"/>
    <x v="1"/>
    <n v="120000"/>
  </r>
  <r>
    <s v="TRX0960"/>
    <s v="TGL1008"/>
    <x v="507"/>
    <s v="CNA0145"/>
    <x v="40"/>
    <n v="19"/>
    <s v="BRCH001"/>
    <x v="0"/>
    <s v="KOA0102"/>
    <s v="Bandung"/>
    <s v="MENU001"/>
    <s v="Cappuccino"/>
    <s v="KTG0205"/>
    <x v="0"/>
    <n v="3"/>
    <n v="25000"/>
    <n v="15"/>
    <n v="1.4"/>
    <s v="PAY0710"/>
    <x v="1"/>
    <n v="63750"/>
  </r>
  <r>
    <s v="TRX0050"/>
    <s v="TGL1009"/>
    <x v="508"/>
    <s v="CNA0262"/>
    <x v="116"/>
    <n v="30"/>
    <s v="BRCH003"/>
    <x v="2"/>
    <s v="KOA0104"/>
    <s v="Surabaya"/>
    <s v="MENU003"/>
    <s v="Kopi Susu Gula Aren"/>
    <s v="KTG0205"/>
    <x v="0"/>
    <n v="4"/>
    <n v="22000"/>
    <n v="15"/>
    <n v="4.7"/>
    <s v="PAY0710"/>
    <x v="1"/>
    <n v="74800"/>
  </r>
  <r>
    <s v="TRX0130"/>
    <s v="TGL1010"/>
    <x v="509"/>
    <s v="CNA0239"/>
    <x v="107"/>
    <n v="23"/>
    <s v="BRCH004"/>
    <x v="3"/>
    <s v="KOA0105"/>
    <s v="Medan"/>
    <s v="MENU006"/>
    <s v="Sandwich Ayam"/>
    <s v="KTG0206"/>
    <x v="1"/>
    <n v="5"/>
    <n v="32000"/>
    <n v="0"/>
    <n v="3.5"/>
    <s v="PAY0710"/>
    <x v="1"/>
    <n v="160000"/>
  </r>
  <r>
    <s v="TRX0159"/>
    <s v="TGL1010"/>
    <x v="509"/>
    <s v="CNA0236"/>
    <x v="106"/>
    <n v="20"/>
    <s v="BRCH004"/>
    <x v="3"/>
    <s v="KOA0105"/>
    <s v="Medan"/>
    <s v="MENU001"/>
    <s v="Cappuccino"/>
    <s v="KTG0205"/>
    <x v="0"/>
    <n v="3"/>
    <n v="25000"/>
    <n v="5"/>
    <n v="4"/>
    <s v="PAY0709"/>
    <x v="0"/>
    <n v="71250"/>
  </r>
  <r>
    <s v="TRX0583"/>
    <s v="TGL1010"/>
    <x v="509"/>
    <s v="CNA0558"/>
    <x v="177"/>
    <n v="27"/>
    <s v="BRCH004"/>
    <x v="3"/>
    <s v="KOA0105"/>
    <s v="Medan"/>
    <s v="MENU003"/>
    <s v="Kopi Susu Gula Aren"/>
    <s v="KTG0205"/>
    <x v="0"/>
    <n v="3"/>
    <n v="22000"/>
    <n v="20"/>
    <n v="4.3"/>
    <s v="PAY0711"/>
    <x v="2"/>
    <n v="52800"/>
  </r>
  <r>
    <s v="TRX0862"/>
    <s v="TGL1011"/>
    <x v="510"/>
    <s v="CNA0654"/>
    <x v="182"/>
    <n v="35"/>
    <s v="BRCH001"/>
    <x v="0"/>
    <s v="KOA0102"/>
    <s v="Bandung"/>
    <s v="MENU006"/>
    <s v="Sandwich Ayam"/>
    <s v="KTG0206"/>
    <x v="1"/>
    <n v="5"/>
    <n v="32000"/>
    <n v="0"/>
    <n v="3.5"/>
    <s v="PAY0712"/>
    <x v="3"/>
    <n v="160000"/>
  </r>
  <r>
    <s v="TRX0408"/>
    <s v="TGL1012"/>
    <x v="511"/>
    <s v="CNA0113"/>
    <x v="12"/>
    <n v="33"/>
    <s v="BRCH004"/>
    <x v="3"/>
    <s v="KOA0105"/>
    <s v="Medan"/>
    <s v="MENU010"/>
    <s v="Espresso"/>
    <s v="KTG0205"/>
    <x v="0"/>
    <n v="2"/>
    <n v="18000"/>
    <n v="0"/>
    <n v="2.4"/>
    <s v="PAY0709"/>
    <x v="0"/>
    <n v="36000"/>
  </r>
  <r>
    <s v="TRX0504"/>
    <s v="TGL1012"/>
    <x v="511"/>
    <s v="CNA0109"/>
    <x v="8"/>
    <n v="45"/>
    <s v="BRCH001"/>
    <x v="0"/>
    <s v="KOA0102"/>
    <s v="Bandung"/>
    <s v="MENU008"/>
    <s v="Americano"/>
    <s v="KTG0205"/>
    <x v="0"/>
    <n v="2"/>
    <n v="20000"/>
    <n v="0"/>
    <n v="5"/>
    <s v="PAY0710"/>
    <x v="1"/>
    <n v="40000"/>
  </r>
  <r>
    <s v="TRX0837"/>
    <s v="TGL1012"/>
    <x v="511"/>
    <s v="CNA0312"/>
    <x v="140"/>
    <n v="49"/>
    <s v="BRCH003"/>
    <x v="2"/>
    <s v="KOA0104"/>
    <s v="Surabaya"/>
    <s v="MENU009"/>
    <s v="Kentang Goreng"/>
    <s v="KTG0206"/>
    <x v="1"/>
    <n v="1"/>
    <n v="18000"/>
    <n v="0"/>
    <n v="2.6"/>
    <s v="PAY0709"/>
    <x v="0"/>
    <n v="18000"/>
  </r>
  <r>
    <s v="TRX0136"/>
    <s v="TGL1012"/>
    <x v="511"/>
    <s v="CNA0203"/>
    <x v="84"/>
    <n v="22"/>
    <s v="BRCH003"/>
    <x v="2"/>
    <s v="KOA0104"/>
    <s v="Surabaya"/>
    <s v="MENU007"/>
    <s v="Chocolate Latte"/>
    <s v="KTG0207"/>
    <x v="2"/>
    <n v="1"/>
    <n v="27000"/>
    <n v="0"/>
    <n v="4.5"/>
    <s v="PAY0711"/>
    <x v="2"/>
    <n v="27000"/>
  </r>
  <r>
    <s v="TRX0116"/>
    <s v="TGL1013"/>
    <x v="512"/>
    <s v="CNA0255"/>
    <x v="114"/>
    <n v="30"/>
    <s v="BRCH004"/>
    <x v="3"/>
    <s v="KOA0105"/>
    <s v="Medan"/>
    <s v="MENU001"/>
    <s v="Cappuccino"/>
    <s v="KTG0205"/>
    <x v="0"/>
    <n v="2"/>
    <n v="25000"/>
    <n v="5"/>
    <n v="4.3"/>
    <s v="PAY0712"/>
    <x v="3"/>
    <n v="47500"/>
  </r>
  <r>
    <s v="TRX0062"/>
    <s v="TGL1014"/>
    <x v="513"/>
    <s v="CNA0122"/>
    <x v="21"/>
    <n v="20"/>
    <s v="BRCH005"/>
    <x v="4"/>
    <s v="KOA0106"/>
    <s v="Makassar"/>
    <s v="MENU009"/>
    <s v="Kentang Goreng"/>
    <s v="KTG0206"/>
    <x v="1"/>
    <n v="3"/>
    <n v="18000"/>
    <n v="20"/>
    <n v="2.9"/>
    <s v="PAY0709"/>
    <x v="0"/>
    <n v="43200"/>
  </r>
  <r>
    <s v="TRX0286"/>
    <s v="TGL1015"/>
    <x v="514"/>
    <s v="CNA0434"/>
    <x v="165"/>
    <n v="37"/>
    <s v="BRCH003"/>
    <x v="2"/>
    <s v="KOA0104"/>
    <s v="Surabaya"/>
    <s v="MENU004"/>
    <s v="Matcha Latte"/>
    <s v="KTG0207"/>
    <x v="2"/>
    <n v="1"/>
    <n v="28000"/>
    <n v="0"/>
    <n v="2.7"/>
    <s v="PAY0712"/>
    <x v="3"/>
    <n v="28000"/>
  </r>
  <r>
    <s v="TRX0479"/>
    <s v="TGL1015"/>
    <x v="514"/>
    <s v="CNA0169"/>
    <x v="60"/>
    <n v="53"/>
    <s v="BRCH001"/>
    <x v="0"/>
    <s v="KOA0102"/>
    <s v="Bandung"/>
    <s v="MENU008"/>
    <s v="Americano"/>
    <s v="KTG0205"/>
    <x v="0"/>
    <n v="4"/>
    <n v="20000"/>
    <n v="5"/>
    <n v="4.5"/>
    <s v="PAY0712"/>
    <x v="3"/>
    <n v="76000"/>
  </r>
  <r>
    <s v="TRX0926"/>
    <s v="TGL1015"/>
    <x v="514"/>
    <s v="CNA0192"/>
    <x v="78"/>
    <n v="20"/>
    <s v="BRCH003"/>
    <x v="2"/>
    <s v="KOA0104"/>
    <s v="Surabaya"/>
    <s v="MENU005"/>
    <s v="Croissant"/>
    <s v="KTG0206"/>
    <x v="1"/>
    <n v="5"/>
    <n v="23000"/>
    <n v="0"/>
    <n v="2"/>
    <s v="PAY0712"/>
    <x v="3"/>
    <n v="115000"/>
  </r>
  <r>
    <s v="TRX0244"/>
    <s v="TGL1016"/>
    <x v="515"/>
    <s v="CNA0148"/>
    <x v="43"/>
    <n v="53"/>
    <s v="BRCH003"/>
    <x v="2"/>
    <s v="KOA0104"/>
    <s v="Surabaya"/>
    <s v="MENU009"/>
    <s v="Kentang Goreng"/>
    <s v="KTG0206"/>
    <x v="1"/>
    <n v="5"/>
    <n v="18000"/>
    <n v="15"/>
    <n v="3.4"/>
    <s v="PAY0709"/>
    <x v="0"/>
    <n v="76500"/>
  </r>
  <r>
    <s v="TRX0735"/>
    <s v="TGL1016"/>
    <x v="515"/>
    <s v="CNA0152"/>
    <x v="47"/>
    <n v="49"/>
    <s v="BRCH001"/>
    <x v="0"/>
    <s v="KOA0102"/>
    <s v="Bandung"/>
    <s v="MENU006"/>
    <s v="Sandwich Ayam"/>
    <s v="KTG0206"/>
    <x v="1"/>
    <n v="4"/>
    <n v="32000"/>
    <n v="5"/>
    <n v="2"/>
    <s v="PAY0709"/>
    <x v="0"/>
    <n v="121600"/>
  </r>
  <r>
    <s v="TRX0785"/>
    <s v="TGL1017"/>
    <x v="516"/>
    <s v="CNA0760"/>
    <x v="189"/>
    <n v="48"/>
    <s v="BRCH004"/>
    <x v="3"/>
    <s v="KOA0105"/>
    <s v="Medan"/>
    <s v="MENU001"/>
    <s v="Cappuccino"/>
    <s v="KTG0205"/>
    <x v="0"/>
    <n v="1"/>
    <n v="25000"/>
    <n v="0"/>
    <n v="5"/>
    <s v="PAY0712"/>
    <x v="3"/>
    <n v="25000"/>
  </r>
  <r>
    <s v="TRX0248"/>
    <s v="TGL1017"/>
    <x v="516"/>
    <s v="CNA0134"/>
    <x v="32"/>
    <n v="54"/>
    <s v="BRCH002"/>
    <x v="1"/>
    <s v="KOA0103"/>
    <s v="Jakarta"/>
    <s v="MENU008"/>
    <s v="Americano"/>
    <s v="KTG0205"/>
    <x v="0"/>
    <n v="5"/>
    <n v="20000"/>
    <n v="20"/>
    <n v="2.2000000000000002"/>
    <s v="PAY0710"/>
    <x v="1"/>
    <n v="80000"/>
  </r>
  <r>
    <s v="TRX0158"/>
    <s v="TGL1018"/>
    <x v="517"/>
    <s v="CNA0149"/>
    <x v="44"/>
    <n v="33"/>
    <s v="BRCH003"/>
    <x v="2"/>
    <s v="KOA0104"/>
    <s v="Surabaya"/>
    <s v="MENU001"/>
    <s v="Cappuccino"/>
    <s v="KTG0205"/>
    <x v="0"/>
    <n v="4"/>
    <n v="25000"/>
    <n v="0"/>
    <n v="2.2999999999999998"/>
    <s v="PAY0711"/>
    <x v="2"/>
    <n v="100000"/>
  </r>
  <r>
    <s v="TRX0671"/>
    <s v="TGL1018"/>
    <x v="517"/>
    <s v="CNA0885"/>
    <x v="195"/>
    <n v="26"/>
    <s v="BRCH005"/>
    <x v="4"/>
    <s v="KOA0106"/>
    <s v="Makassar"/>
    <s v="MENU001"/>
    <s v="Cappuccino"/>
    <s v="KTG0205"/>
    <x v="0"/>
    <n v="1"/>
    <n v="25000"/>
    <n v="5"/>
    <n v="1.8"/>
    <s v="PAY0709"/>
    <x v="0"/>
    <n v="23750"/>
  </r>
  <r>
    <s v="TRX0612"/>
    <s v="TGL1018"/>
    <x v="517"/>
    <s v="CNA0674"/>
    <x v="184"/>
    <n v="30"/>
    <s v="BRCH002"/>
    <x v="1"/>
    <s v="KOA0103"/>
    <s v="Jakarta"/>
    <s v="MENU008"/>
    <s v="Americano"/>
    <s v="KTG0205"/>
    <x v="0"/>
    <n v="3"/>
    <n v="20000"/>
    <n v="10"/>
    <n v="1.4"/>
    <s v="PAY0712"/>
    <x v="3"/>
    <n v="54000"/>
  </r>
  <r>
    <s v="TRX0333"/>
    <s v="TGL1019"/>
    <x v="518"/>
    <s v="CNA0131"/>
    <x v="29"/>
    <n v="45"/>
    <s v="BRCH003"/>
    <x v="2"/>
    <s v="KOA0104"/>
    <s v="Surabaya"/>
    <s v="MENU006"/>
    <s v="Sandwich Ayam"/>
    <s v="KTG0206"/>
    <x v="1"/>
    <n v="3"/>
    <n v="32000"/>
    <n v="10"/>
    <n v="3.4"/>
    <s v="PAY0709"/>
    <x v="0"/>
    <n v="86400"/>
  </r>
  <r>
    <s v="TRX0295"/>
    <s v="TGL1020"/>
    <x v="519"/>
    <s v="CNA0230"/>
    <x v="101"/>
    <n v="23"/>
    <s v="BRCH005"/>
    <x v="4"/>
    <s v="KOA0106"/>
    <s v="Makassar"/>
    <s v="MENU008"/>
    <s v="Americano"/>
    <s v="KTG0205"/>
    <x v="0"/>
    <n v="3"/>
    <n v="20000"/>
    <n v="10"/>
    <n v="2.2000000000000002"/>
    <s v="PAY0709"/>
    <x v="0"/>
    <n v="54000"/>
  </r>
  <r>
    <s v="TRX0569"/>
    <s v="TGL1021"/>
    <x v="520"/>
    <s v="CNA0126"/>
    <x v="24"/>
    <n v="30"/>
    <s v="BRCH004"/>
    <x v="3"/>
    <s v="KOA0105"/>
    <s v="Medan"/>
    <s v="MENU004"/>
    <s v="Matcha Latte"/>
    <s v="KTG0207"/>
    <x v="2"/>
    <n v="3"/>
    <n v="28000"/>
    <n v="0"/>
    <n v="3.7"/>
    <s v="PAY0710"/>
    <x v="1"/>
    <n v="84000"/>
  </r>
  <r>
    <s v="TRX0829"/>
    <s v="TGL1021"/>
    <x v="520"/>
    <s v="CNA0166"/>
    <x v="57"/>
    <n v="48"/>
    <s v="BRCH001"/>
    <x v="0"/>
    <s v="KOA0102"/>
    <s v="Bandung"/>
    <s v="MENU005"/>
    <s v="Croissant"/>
    <s v="KTG0206"/>
    <x v="1"/>
    <n v="5"/>
    <n v="23000"/>
    <n v="15"/>
    <n v="1.2"/>
    <s v="PAY0709"/>
    <x v="0"/>
    <n v="97750"/>
  </r>
  <r>
    <s v="TRX0210"/>
    <s v="TGL1022"/>
    <x v="521"/>
    <s v="CNA0204"/>
    <x v="85"/>
    <n v="40"/>
    <s v="BRCH001"/>
    <x v="0"/>
    <s v="KOA0102"/>
    <s v="Bandung"/>
    <s v="MENU003"/>
    <s v="Kopi Susu Gula Aren"/>
    <s v="KTG0205"/>
    <x v="0"/>
    <n v="4"/>
    <n v="22000"/>
    <n v="0"/>
    <n v="3.5"/>
    <s v="PAY0710"/>
    <x v="1"/>
    <n v="88000"/>
  </r>
  <r>
    <s v="TRX0149"/>
    <s v="TGL1023"/>
    <x v="522"/>
    <s v="CNA0513"/>
    <x v="173"/>
    <n v="52"/>
    <s v="BRCH005"/>
    <x v="4"/>
    <s v="KOA0106"/>
    <s v="Makassar"/>
    <s v="MENU005"/>
    <s v="Croissant"/>
    <s v="KTG0206"/>
    <x v="1"/>
    <n v="5"/>
    <n v="23000"/>
    <n v="0"/>
    <n v="2.1"/>
    <s v="PAY0709"/>
    <x v="0"/>
    <n v="115000"/>
  </r>
  <r>
    <s v="TRX0446"/>
    <s v="TGL1023"/>
    <x v="522"/>
    <s v="CNA0184"/>
    <x v="72"/>
    <n v="24"/>
    <s v="BRCH004"/>
    <x v="3"/>
    <s v="KOA0105"/>
    <s v="Medan"/>
    <s v="MENU004"/>
    <s v="Matcha Latte"/>
    <s v="KTG0207"/>
    <x v="2"/>
    <n v="3"/>
    <n v="28000"/>
    <n v="20"/>
    <n v="1.6"/>
    <s v="PAY0709"/>
    <x v="0"/>
    <n v="67200"/>
  </r>
  <r>
    <s v="TRX0627"/>
    <s v="TGL1024"/>
    <x v="523"/>
    <s v="CNA0385"/>
    <x v="155"/>
    <n v="50"/>
    <s v="BRCH004"/>
    <x v="3"/>
    <s v="KOA0105"/>
    <s v="Medan"/>
    <s v="MENU004"/>
    <s v="Matcha Latte"/>
    <s v="KTG0207"/>
    <x v="2"/>
    <n v="4"/>
    <n v="28000"/>
    <n v="0"/>
    <n v="4.3"/>
    <s v="PAY0711"/>
    <x v="2"/>
    <n v="112000"/>
  </r>
  <r>
    <s v="TRX0305"/>
    <s v="TGL1024"/>
    <x v="523"/>
    <s v="CNA0277"/>
    <x v="124"/>
    <n v="52"/>
    <s v="BRCH001"/>
    <x v="0"/>
    <s v="KOA0102"/>
    <s v="Bandung"/>
    <s v="MENU009"/>
    <s v="Kentang Goreng"/>
    <s v="KTG0206"/>
    <x v="1"/>
    <n v="2"/>
    <n v="18000"/>
    <n v="10"/>
    <n v="1.8"/>
    <s v="PAY0712"/>
    <x v="3"/>
    <n v="32400"/>
  </r>
  <r>
    <s v="TRX0104"/>
    <s v="TGL1025"/>
    <x v="524"/>
    <s v="CNA0319"/>
    <x v="144"/>
    <n v="31"/>
    <s v="BRCH002"/>
    <x v="1"/>
    <s v="KOA0103"/>
    <s v="Jakarta"/>
    <s v="MENU003"/>
    <s v="Kopi Susu Gula Aren"/>
    <s v="KTG0205"/>
    <x v="0"/>
    <n v="1"/>
    <n v="22000"/>
    <n v="0"/>
    <n v="3.7"/>
    <s v="PAY0710"/>
    <x v="1"/>
    <n v="22000"/>
  </r>
  <r>
    <s v="TRX0932"/>
    <s v="TGL1026"/>
    <x v="525"/>
    <s v="CNA0151"/>
    <x v="46"/>
    <n v="20"/>
    <s v="BRCH002"/>
    <x v="1"/>
    <s v="KOA0103"/>
    <s v="Jakarta"/>
    <s v="MENU008"/>
    <s v="Americano"/>
    <s v="KTG0205"/>
    <x v="0"/>
    <n v="3"/>
    <n v="20000"/>
    <n v="0"/>
    <n v="4.5999999999999996"/>
    <s v="PAY0711"/>
    <x v="2"/>
    <n v="60000"/>
  </r>
  <r>
    <s v="TRX0201"/>
    <s v="TGL1027"/>
    <x v="526"/>
    <s v="CNA0126"/>
    <x v="24"/>
    <n v="30"/>
    <s v="BRCH003"/>
    <x v="2"/>
    <s v="KOA0104"/>
    <s v="Surabaya"/>
    <s v="MENU009"/>
    <s v="Kentang Goreng"/>
    <s v="KTG0206"/>
    <x v="1"/>
    <n v="1"/>
    <n v="18000"/>
    <n v="0"/>
    <n v="4.4000000000000004"/>
    <s v="PAY0712"/>
    <x v="3"/>
    <n v="18000"/>
  </r>
  <r>
    <s v="TRX0451"/>
    <s v="TGL1027"/>
    <x v="526"/>
    <s v="CNA0202"/>
    <x v="83"/>
    <n v="53"/>
    <s v="BRCH002"/>
    <x v="1"/>
    <s v="KOA0103"/>
    <s v="Jakarta"/>
    <s v="MENU010"/>
    <s v="Espresso"/>
    <s v="KTG0205"/>
    <x v="0"/>
    <n v="5"/>
    <n v="18000"/>
    <n v="0"/>
    <n v="1"/>
    <s v="PAY0711"/>
    <x v="2"/>
    <n v="90000"/>
  </r>
  <r>
    <s v="TRX0534"/>
    <s v="TGL1027"/>
    <x v="526"/>
    <s v="CNA0203"/>
    <x v="84"/>
    <n v="22"/>
    <s v="BRCH005"/>
    <x v="4"/>
    <s v="KOA0106"/>
    <s v="Makassar"/>
    <s v="MENU005"/>
    <s v="Croissant"/>
    <s v="KTG0206"/>
    <x v="1"/>
    <n v="5"/>
    <n v="23000"/>
    <n v="5"/>
    <n v="2.2000000000000002"/>
    <s v="PAY0712"/>
    <x v="3"/>
    <n v="109250"/>
  </r>
  <r>
    <s v="TRX0047"/>
    <s v="TGL1028"/>
    <x v="527"/>
    <s v="CNA0111"/>
    <x v="10"/>
    <n v="40"/>
    <s v="BRCH002"/>
    <x v="1"/>
    <s v="KOA0103"/>
    <s v="Jakarta"/>
    <s v="MENU001"/>
    <s v="Cappuccino"/>
    <s v="KTG0205"/>
    <x v="0"/>
    <n v="2"/>
    <n v="25000"/>
    <n v="10"/>
    <n v="4"/>
    <s v="PAY0709"/>
    <x v="0"/>
    <n v="45000"/>
  </r>
  <r>
    <s v="TRX0463"/>
    <s v="TGL1029"/>
    <x v="528"/>
    <s v="CNA0222"/>
    <x v="95"/>
    <n v="34"/>
    <s v="BRCH004"/>
    <x v="3"/>
    <s v="KOA0105"/>
    <s v="Medan"/>
    <s v="MENU005"/>
    <s v="Croissant"/>
    <s v="KTG0206"/>
    <x v="1"/>
    <n v="2"/>
    <n v="23000"/>
    <n v="0"/>
    <n v="1"/>
    <s v="PAY0711"/>
    <x v="2"/>
    <n v="46000"/>
  </r>
  <r>
    <s v="TRX0489"/>
    <s v="TGL1029"/>
    <x v="528"/>
    <s v="CNA0537"/>
    <x v="175"/>
    <n v="19"/>
    <s v="BRCH002"/>
    <x v="1"/>
    <s v="KOA0103"/>
    <s v="Jakarta"/>
    <s v="MENU008"/>
    <s v="Americano"/>
    <s v="KTG0205"/>
    <x v="0"/>
    <n v="5"/>
    <n v="20000"/>
    <n v="0"/>
    <n v="4.5"/>
    <s v="PAY0709"/>
    <x v="0"/>
    <n v="100000"/>
  </r>
  <r>
    <s v="TRX0913"/>
    <s v="TGL1030"/>
    <x v="529"/>
    <s v="CNA0123"/>
    <x v="22"/>
    <n v="31"/>
    <s v="BRCH005"/>
    <x v="4"/>
    <s v="KOA0106"/>
    <s v="Makassar"/>
    <s v="MENU004"/>
    <s v="Matcha Latte"/>
    <s v="KTG0207"/>
    <x v="2"/>
    <n v="5"/>
    <n v="28000"/>
    <n v="0"/>
    <n v="3.8"/>
    <s v="PAY0712"/>
    <x v="3"/>
    <n v="140000"/>
  </r>
  <r>
    <s v="TRX0681"/>
    <s v="TGL1030"/>
    <x v="529"/>
    <s v="CNA0172"/>
    <x v="63"/>
    <n v="51"/>
    <s v="BRCH005"/>
    <x v="4"/>
    <s v="KOA0106"/>
    <s v="Makassar"/>
    <s v="MENU001"/>
    <s v="Cappuccino"/>
    <s v="KTG0205"/>
    <x v="0"/>
    <n v="3"/>
    <n v="25000"/>
    <n v="0"/>
    <n v="3.7"/>
    <s v="PAY0711"/>
    <x v="2"/>
    <n v="75000"/>
  </r>
  <r>
    <s v="TRX0850"/>
    <s v="TGL1031"/>
    <x v="530"/>
    <s v="CNA0164"/>
    <x v="55"/>
    <n v="48"/>
    <s v="BRCH002"/>
    <x v="1"/>
    <s v="KOA0103"/>
    <s v="Jakarta"/>
    <s v="MENU005"/>
    <s v="Croissant"/>
    <s v="KTG0206"/>
    <x v="1"/>
    <n v="2"/>
    <n v="23000"/>
    <n v="0"/>
    <n v="2.2000000000000002"/>
    <s v="PAY0712"/>
    <x v="3"/>
    <n v="46000"/>
  </r>
  <r>
    <s v="TRX0641"/>
    <s v="TGL1032"/>
    <x v="531"/>
    <s v="CNA0507"/>
    <x v="171"/>
    <n v="24"/>
    <s v="BRCH001"/>
    <x v="0"/>
    <s v="KOA0102"/>
    <s v="Bandung"/>
    <s v="MENU006"/>
    <s v="Sandwich Ayam"/>
    <s v="KTG0206"/>
    <x v="1"/>
    <n v="4"/>
    <n v="32000"/>
    <n v="0"/>
    <n v="4.5"/>
    <s v="PAY0709"/>
    <x v="0"/>
    <n v="128000"/>
  </r>
  <r>
    <s v="TRX0381"/>
    <s v="TGL1032"/>
    <x v="531"/>
    <s v="CNA0240"/>
    <x v="108"/>
    <n v="47"/>
    <s v="BRCH002"/>
    <x v="1"/>
    <s v="KOA0103"/>
    <s v="Jakarta"/>
    <s v="MENU002"/>
    <s v="Red Velvet Cake"/>
    <s v="KTG0206"/>
    <x v="1"/>
    <n v="5"/>
    <n v="30000"/>
    <n v="5"/>
    <n v="1.9"/>
    <s v="PAY0710"/>
    <x v="1"/>
    <n v="142500"/>
  </r>
  <r>
    <s v="TRX0495"/>
    <s v="TGL1032"/>
    <x v="531"/>
    <s v="CNA0277"/>
    <x v="124"/>
    <n v="52"/>
    <s v="BRCH004"/>
    <x v="3"/>
    <s v="KOA0105"/>
    <s v="Medan"/>
    <s v="MENU004"/>
    <s v="Matcha Latte"/>
    <s v="KTG0207"/>
    <x v="2"/>
    <n v="2"/>
    <n v="28000"/>
    <n v="0"/>
    <n v="2.1"/>
    <s v="PAY0709"/>
    <x v="0"/>
    <n v="56000"/>
  </r>
  <r>
    <s v="TRX0710"/>
    <s v="TGL1033"/>
    <x v="532"/>
    <s v="CNA0212"/>
    <x v="90"/>
    <n v="39"/>
    <s v="BRCH001"/>
    <x v="0"/>
    <s v="KOA0102"/>
    <s v="Bandung"/>
    <s v="MENU009"/>
    <s v="Kentang Goreng"/>
    <s v="KTG0206"/>
    <x v="1"/>
    <n v="5"/>
    <n v="18000"/>
    <n v="10"/>
    <n v="1.9"/>
    <s v="PAY0712"/>
    <x v="3"/>
    <n v="81000"/>
  </r>
  <r>
    <s v="TRX0505"/>
    <s v="TGL1034"/>
    <x v="533"/>
    <s v="CNA0290"/>
    <x v="130"/>
    <n v="30"/>
    <s v="BRCH004"/>
    <x v="3"/>
    <s v="KOA0105"/>
    <s v="Medan"/>
    <s v="MENU009"/>
    <s v="Kentang Goreng"/>
    <s v="KTG0206"/>
    <x v="1"/>
    <n v="2"/>
    <n v="18000"/>
    <n v="10"/>
    <n v="4.0999999999999996"/>
    <s v="PAY0711"/>
    <x v="2"/>
    <n v="32400"/>
  </r>
  <r>
    <s v="TRX0315"/>
    <s v="TGL1035"/>
    <x v="534"/>
    <s v="CNA0199"/>
    <x v="80"/>
    <n v="24"/>
    <s v="BRCH001"/>
    <x v="0"/>
    <s v="KOA0102"/>
    <s v="Bandung"/>
    <s v="MENU009"/>
    <s v="Kentang Goreng"/>
    <s v="KTG0206"/>
    <x v="1"/>
    <n v="1"/>
    <n v="18000"/>
    <n v="20"/>
    <n v="2"/>
    <s v="PAY0710"/>
    <x v="1"/>
    <n v="14400"/>
  </r>
  <r>
    <s v="TRX0613"/>
    <s v="TGL1036"/>
    <x v="535"/>
    <s v="CNA0374"/>
    <x v="153"/>
    <n v="24"/>
    <s v="BRCH004"/>
    <x v="3"/>
    <s v="KOA0105"/>
    <s v="Medan"/>
    <s v="MENU001"/>
    <s v="Cappuccino"/>
    <s v="KTG0205"/>
    <x v="0"/>
    <n v="3"/>
    <n v="25000"/>
    <n v="0"/>
    <n v="1.3"/>
    <s v="PAY0710"/>
    <x v="1"/>
    <n v="75000"/>
  </r>
  <r>
    <s v="TRX0049"/>
    <s v="TGL1037"/>
    <x v="536"/>
    <s v="CNA0169"/>
    <x v="60"/>
    <n v="53"/>
    <s v="BRCH001"/>
    <x v="0"/>
    <s v="KOA0102"/>
    <s v="Bandung"/>
    <s v="MENU010"/>
    <s v="Espresso"/>
    <s v="KTG0205"/>
    <x v="0"/>
    <n v="4"/>
    <n v="18000"/>
    <n v="5"/>
    <n v="3.8"/>
    <s v="PAY0711"/>
    <x v="2"/>
    <n v="68400"/>
  </r>
  <r>
    <s v="TRX0939"/>
    <s v="TGL1038"/>
    <x v="537"/>
    <s v="CNA0188"/>
    <x v="76"/>
    <n v="19"/>
    <s v="BRCH001"/>
    <x v="0"/>
    <s v="KOA0102"/>
    <s v="Bandung"/>
    <s v="MENU009"/>
    <s v="Kentang Goreng"/>
    <s v="KTG0206"/>
    <x v="1"/>
    <n v="5"/>
    <n v="18000"/>
    <n v="0"/>
    <n v="1.2"/>
    <s v="PAY0711"/>
    <x v="2"/>
    <n v="90000"/>
  </r>
  <r>
    <s v="TRX0720"/>
    <s v="TGL1039"/>
    <x v="538"/>
    <s v="CNA0297"/>
    <x v="134"/>
    <n v="28"/>
    <s v="BRCH005"/>
    <x v="4"/>
    <s v="KOA0106"/>
    <s v="Makassar"/>
    <s v="MENU008"/>
    <s v="Americano"/>
    <s v="KTG0205"/>
    <x v="0"/>
    <n v="2"/>
    <n v="20000"/>
    <n v="5"/>
    <n v="2"/>
    <s v="PAY0711"/>
    <x v="2"/>
    <n v="38000"/>
  </r>
  <r>
    <s v="TRX0455"/>
    <s v="TGL1039"/>
    <x v="538"/>
    <s v="CNA0646"/>
    <x v="181"/>
    <n v="27"/>
    <s v="BRCH005"/>
    <x v="4"/>
    <s v="KOA0106"/>
    <s v="Makassar"/>
    <s v="MENU008"/>
    <s v="Americano"/>
    <s v="KTG0205"/>
    <x v="0"/>
    <n v="4"/>
    <n v="20000"/>
    <n v="0"/>
    <n v="3.1"/>
    <s v="PAY0709"/>
    <x v="0"/>
    <n v="80000"/>
  </r>
  <r>
    <s v="TRX0769"/>
    <s v="TGL1040"/>
    <x v="539"/>
    <s v="CNA0291"/>
    <x v="131"/>
    <n v="39"/>
    <s v="BRCH005"/>
    <x v="4"/>
    <s v="KOA0106"/>
    <s v="Makassar"/>
    <s v="MENU002"/>
    <s v="Red Velvet Cake"/>
    <s v="KTG0206"/>
    <x v="1"/>
    <n v="3"/>
    <n v="30000"/>
    <n v="0"/>
    <n v="1.7"/>
    <s v="PAY0712"/>
    <x v="3"/>
    <n v="90000"/>
  </r>
  <r>
    <s v="TRX0617"/>
    <s v="TGL1041"/>
    <x v="540"/>
    <s v="CNA0228"/>
    <x v="100"/>
    <n v="40"/>
    <s v="BRCH001"/>
    <x v="0"/>
    <s v="KOA0102"/>
    <s v="Bandung"/>
    <s v="MENU008"/>
    <s v="Americano"/>
    <s v="KTG0205"/>
    <x v="0"/>
    <n v="1"/>
    <n v="20000"/>
    <n v="10"/>
    <n v="2.9"/>
    <s v="PAY0711"/>
    <x v="2"/>
    <n v="18000"/>
  </r>
  <r>
    <s v="TRX0876"/>
    <s v="TGL1041"/>
    <x v="540"/>
    <s v="CNA0127"/>
    <x v="25"/>
    <n v="48"/>
    <s v="BRCH005"/>
    <x v="4"/>
    <s v="KOA0106"/>
    <s v="Makassar"/>
    <s v="MENU005"/>
    <s v="Croissant"/>
    <s v="KTG0206"/>
    <x v="1"/>
    <n v="3"/>
    <n v="23000"/>
    <n v="10"/>
    <n v="2.8"/>
    <s v="PAY0712"/>
    <x v="3"/>
    <n v="62100"/>
  </r>
  <r>
    <s v="TRX0265"/>
    <s v="TGL1042"/>
    <x v="541"/>
    <s v="CNA0110"/>
    <x v="9"/>
    <n v="39"/>
    <s v="BRCH002"/>
    <x v="1"/>
    <s v="KOA0103"/>
    <s v="Jakarta"/>
    <s v="MENU007"/>
    <s v="Chocolate Latte"/>
    <s v="KTG0207"/>
    <x v="2"/>
    <n v="4"/>
    <n v="27000"/>
    <n v="0"/>
    <n v="2"/>
    <s v="PAY0709"/>
    <x v="0"/>
    <n v="108000"/>
  </r>
  <r>
    <s v="TRX0146"/>
    <s v="TGL1042"/>
    <x v="541"/>
    <s v="CNA0531"/>
    <x v="174"/>
    <n v="45"/>
    <s v="BRCH001"/>
    <x v="0"/>
    <s v="KOA0102"/>
    <s v="Bandung"/>
    <s v="MENU007"/>
    <s v="Chocolate Latte"/>
    <s v="KTG0207"/>
    <x v="2"/>
    <n v="3"/>
    <n v="27000"/>
    <n v="0"/>
    <n v="3.7"/>
    <s v="PAY0711"/>
    <x v="2"/>
    <n v="81000"/>
  </r>
  <r>
    <s v="TRX0302"/>
    <s v="TGL1043"/>
    <x v="542"/>
    <s v="CNA0119"/>
    <x v="18"/>
    <n v="35"/>
    <s v="BRCH002"/>
    <x v="1"/>
    <s v="KOA0103"/>
    <s v="Jakarta"/>
    <s v="MENU001"/>
    <s v="Cappuccino"/>
    <s v="KTG0205"/>
    <x v="0"/>
    <n v="2"/>
    <n v="25000"/>
    <n v="5"/>
    <n v="3.1"/>
    <s v="PAY0709"/>
    <x v="0"/>
    <n v="47500"/>
  </r>
  <r>
    <s v="TRX0280"/>
    <s v="TGL1043"/>
    <x v="542"/>
    <s v="CNA0242"/>
    <x v="109"/>
    <n v="40"/>
    <s v="BRCH005"/>
    <x v="4"/>
    <s v="KOA0106"/>
    <s v="Makassar"/>
    <s v="MENU005"/>
    <s v="Croissant"/>
    <s v="KTG0206"/>
    <x v="1"/>
    <n v="2"/>
    <n v="23000"/>
    <n v="0"/>
    <n v="2.2000000000000002"/>
    <s v="PAY0709"/>
    <x v="0"/>
    <n v="46000"/>
  </r>
  <r>
    <s v="TRX0594"/>
    <s v="TGL1044"/>
    <x v="543"/>
    <s v="CNA0138"/>
    <x v="35"/>
    <n v="53"/>
    <s v="BRCH005"/>
    <x v="4"/>
    <s v="KOA0106"/>
    <s v="Makassar"/>
    <s v="MENU009"/>
    <s v="Kentang Goreng"/>
    <s v="KTG0206"/>
    <x v="1"/>
    <n v="2"/>
    <n v="18000"/>
    <n v="0"/>
    <n v="3.4"/>
    <s v="PAY0711"/>
    <x v="2"/>
    <n v="3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83A3D-A449-401F-BFF4-C9BE34381E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3">
    <pivotField dataField="1"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items count="200">
        <item x="166"/>
        <item x="8"/>
        <item x="168"/>
        <item x="109"/>
        <item x="33"/>
        <item x="81"/>
        <item x="145"/>
        <item x="17"/>
        <item x="115"/>
        <item x="0"/>
        <item x="55"/>
        <item x="44"/>
        <item x="36"/>
        <item x="151"/>
        <item x="111"/>
        <item x="122"/>
        <item x="128"/>
        <item x="62"/>
        <item x="146"/>
        <item x="65"/>
        <item x="71"/>
        <item x="25"/>
        <item x="114"/>
        <item x="152"/>
        <item x="157"/>
        <item x="53"/>
        <item x="80"/>
        <item x="83"/>
        <item x="35"/>
        <item x="195"/>
        <item x="77"/>
        <item x="46"/>
        <item x="161"/>
        <item x="67"/>
        <item x="13"/>
        <item x="41"/>
        <item x="43"/>
        <item x="9"/>
        <item x="143"/>
        <item x="129"/>
        <item x="82"/>
        <item x="73"/>
        <item x="10"/>
        <item x="124"/>
        <item x="14"/>
        <item x="119"/>
        <item x="123"/>
        <item x="29"/>
        <item x="107"/>
        <item x="162"/>
        <item x="110"/>
        <item x="99"/>
        <item x="127"/>
        <item x="60"/>
        <item x="4"/>
        <item x="187"/>
        <item x="198"/>
        <item x="197"/>
        <item x="91"/>
        <item x="134"/>
        <item x="5"/>
        <item x="149"/>
        <item x="54"/>
        <item x="7"/>
        <item x="103"/>
        <item x="150"/>
        <item x="154"/>
        <item x="164"/>
        <item x="175"/>
        <item x="95"/>
        <item x="69"/>
        <item x="96"/>
        <item x="169"/>
        <item x="192"/>
        <item x="116"/>
        <item x="160"/>
        <item x="191"/>
        <item x="142"/>
        <item x="98"/>
        <item x="182"/>
        <item x="58"/>
        <item x="190"/>
        <item x="32"/>
        <item x="66"/>
        <item x="137"/>
        <item x="42"/>
        <item x="52"/>
        <item x="173"/>
        <item x="38"/>
        <item x="86"/>
        <item x="97"/>
        <item x="186"/>
        <item x="2"/>
        <item x="130"/>
        <item x="113"/>
        <item x="90"/>
        <item x="3"/>
        <item x="15"/>
        <item x="76"/>
        <item x="16"/>
        <item x="68"/>
        <item x="184"/>
        <item x="181"/>
        <item x="64"/>
        <item x="180"/>
        <item x="50"/>
        <item x="92"/>
        <item x="89"/>
        <item x="30"/>
        <item x="75"/>
        <item x="155"/>
        <item x="79"/>
        <item x="22"/>
        <item x="136"/>
        <item x="26"/>
        <item x="106"/>
        <item x="194"/>
        <item x="40"/>
        <item x="45"/>
        <item x="148"/>
        <item x="165"/>
        <item x="88"/>
        <item x="21"/>
        <item x="158"/>
        <item x="6"/>
        <item x="121"/>
        <item x="18"/>
        <item x="120"/>
        <item x="139"/>
        <item x="31"/>
        <item x="59"/>
        <item x="104"/>
        <item x="27"/>
        <item x="56"/>
        <item x="183"/>
        <item x="138"/>
        <item x="159"/>
        <item x="24"/>
        <item x="167"/>
        <item x="189"/>
        <item x="193"/>
        <item x="112"/>
        <item x="153"/>
        <item x="74"/>
        <item x="171"/>
        <item x="100"/>
        <item x="48"/>
        <item x="196"/>
        <item x="51"/>
        <item x="37"/>
        <item x="20"/>
        <item x="108"/>
        <item x="23"/>
        <item x="135"/>
        <item x="126"/>
        <item x="144"/>
        <item x="47"/>
        <item x="179"/>
        <item x="57"/>
        <item x="19"/>
        <item x="70"/>
        <item x="78"/>
        <item x="147"/>
        <item x="125"/>
        <item x="105"/>
        <item x="174"/>
        <item x="87"/>
        <item x="163"/>
        <item x="133"/>
        <item x="131"/>
        <item x="132"/>
        <item x="85"/>
        <item x="101"/>
        <item x="39"/>
        <item x="188"/>
        <item x="117"/>
        <item x="177"/>
        <item x="12"/>
        <item x="63"/>
        <item x="94"/>
        <item x="170"/>
        <item x="49"/>
        <item x="156"/>
        <item x="102"/>
        <item x="176"/>
        <item x="61"/>
        <item x="141"/>
        <item x="1"/>
        <item x="118"/>
        <item x="185"/>
        <item x="93"/>
        <item x="28"/>
        <item x="84"/>
        <item x="11"/>
        <item x="172"/>
        <item x="72"/>
        <item x="34"/>
        <item x="178"/>
        <item x="140"/>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Count of id_transaction"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AF6AFF-6911-4799-A05B-DC78650D10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7:H43" firstHeaderRow="1" firstDataRow="1" firstDataCol="1"/>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axis="axisRow" showAll="0" sortType="a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7"/>
  </rowFields>
  <rowItems count="6">
    <i>
      <x v="1"/>
    </i>
    <i>
      <x v="3"/>
    </i>
    <i>
      <x v="2"/>
    </i>
    <i>
      <x/>
    </i>
    <i>
      <x v="4"/>
    </i>
    <i t="grand">
      <x/>
    </i>
  </rowItems>
  <colItems count="1">
    <i/>
  </colItems>
  <dataFields count="1">
    <dataField name="Average of rating" fld="17" subtotal="average" baseField="7"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6E05E-C8D3-47A2-96A3-9B33BD7C64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3:D18" firstHeaderRow="1" firstDataRow="1" firstDataCol="1"/>
  <pivotFields count="23">
    <pivotField dataField="1"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9"/>
  </rowFields>
  <rowItems count="5">
    <i>
      <x/>
    </i>
    <i>
      <x v="3"/>
    </i>
    <i>
      <x v="1"/>
    </i>
    <i>
      <x v="2"/>
    </i>
    <i t="grand">
      <x/>
    </i>
  </rowItems>
  <colItems count="1">
    <i/>
  </colItems>
  <dataFields count="1">
    <dataField name="Count of id_transac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8A4281-142A-4589-BB58-AE5EC6099A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6:N19" firstHeaderRow="1" firstDataRow="1" firstDataCol="1"/>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5">
        <item sd="0" x="0"/>
        <item x="1"/>
        <item sd="0" x="2"/>
        <item sd="0" x="3"/>
        <item t="default"/>
      </items>
    </pivotField>
  </pivotFields>
  <rowFields count="2">
    <field x="21"/>
    <field x="22"/>
  </rowFields>
  <rowItems count="13">
    <i>
      <x v="1"/>
    </i>
    <i>
      <x v="2"/>
    </i>
    <i>
      <x v="3"/>
    </i>
    <i>
      <x v="4"/>
    </i>
    <i>
      <x v="5"/>
    </i>
    <i>
      <x v="6"/>
    </i>
    <i>
      <x v="7"/>
    </i>
    <i>
      <x v="8"/>
    </i>
    <i>
      <x v="9"/>
    </i>
    <i>
      <x v="10"/>
    </i>
    <i>
      <x v="11"/>
    </i>
    <i>
      <x v="12"/>
    </i>
    <i t="grand">
      <x/>
    </i>
  </rowItems>
  <colItems count="1">
    <i/>
  </colItems>
  <dataFields count="1">
    <dataField name="Sum of total_price"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429790-A8DE-4324-9E72-B787C36D391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7:B58" firstHeaderRow="1" firstDataRow="1" firstDataCol="0"/>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Items count="1">
    <i/>
  </rowItems>
  <colItems count="1">
    <i/>
  </colItems>
  <dataFields count="1">
    <dataField name="Sum of total_pric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0EFFD3-F949-4235-8101-89606E7C54FC}"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A17" firstHeaderRow="1" firstDataRow="1" firstDataCol="0"/>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Items count="1">
    <i/>
  </rowItems>
  <colItems count="1">
    <i/>
  </colItems>
  <dataFields count="1">
    <dataField name="Average of total_price"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446CAD-4DF7-43EE-983B-41E42BC2D8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E10" firstHeaderRow="1" firstDataRow="1" firstDataCol="1"/>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axis="axisRow" showAll="0" sortType="a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6">
    <i>
      <x/>
    </i>
    <i>
      <x v="1"/>
    </i>
    <i>
      <x v="2"/>
    </i>
    <i>
      <x v="4"/>
    </i>
    <i>
      <x v="3"/>
    </i>
    <i t="grand">
      <x/>
    </i>
  </rowItems>
  <colItems count="1">
    <i/>
  </colItems>
  <dataFields count="1">
    <dataField name="Sum of total_price" fld="20"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229409-17F6-443E-90A6-C57A00638B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37:P48" firstHeaderRow="1" firstDataRow="1" firstDataCol="1"/>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axis="axisRow" showAll="0" measureFilter="1" sortType="ascending" countASubtotal="1">
      <items count="200">
        <item x="166"/>
        <item x="8"/>
        <item x="168"/>
        <item x="109"/>
        <item x="33"/>
        <item x="81"/>
        <item x="145"/>
        <item x="17"/>
        <item x="115"/>
        <item x="0"/>
        <item x="55"/>
        <item x="44"/>
        <item x="36"/>
        <item x="151"/>
        <item x="111"/>
        <item x="122"/>
        <item x="128"/>
        <item x="62"/>
        <item x="146"/>
        <item x="65"/>
        <item x="71"/>
        <item x="25"/>
        <item x="114"/>
        <item x="152"/>
        <item x="157"/>
        <item x="53"/>
        <item x="80"/>
        <item x="83"/>
        <item x="35"/>
        <item x="195"/>
        <item x="77"/>
        <item x="46"/>
        <item x="161"/>
        <item x="67"/>
        <item x="13"/>
        <item x="41"/>
        <item x="43"/>
        <item x="9"/>
        <item x="143"/>
        <item x="129"/>
        <item x="82"/>
        <item x="73"/>
        <item x="10"/>
        <item x="124"/>
        <item x="14"/>
        <item x="119"/>
        <item x="123"/>
        <item x="29"/>
        <item x="107"/>
        <item x="162"/>
        <item x="110"/>
        <item x="99"/>
        <item x="127"/>
        <item x="60"/>
        <item x="4"/>
        <item x="187"/>
        <item x="198"/>
        <item x="197"/>
        <item x="91"/>
        <item x="134"/>
        <item x="5"/>
        <item x="149"/>
        <item x="54"/>
        <item x="7"/>
        <item x="103"/>
        <item x="150"/>
        <item x="154"/>
        <item x="164"/>
        <item x="175"/>
        <item x="95"/>
        <item x="69"/>
        <item x="96"/>
        <item x="169"/>
        <item x="192"/>
        <item x="116"/>
        <item x="160"/>
        <item x="191"/>
        <item x="142"/>
        <item x="98"/>
        <item x="182"/>
        <item x="58"/>
        <item x="190"/>
        <item x="32"/>
        <item x="66"/>
        <item x="137"/>
        <item x="42"/>
        <item x="52"/>
        <item x="173"/>
        <item x="38"/>
        <item x="86"/>
        <item x="97"/>
        <item x="186"/>
        <item x="2"/>
        <item x="130"/>
        <item x="113"/>
        <item x="90"/>
        <item x="3"/>
        <item x="15"/>
        <item x="76"/>
        <item x="16"/>
        <item x="68"/>
        <item x="184"/>
        <item x="181"/>
        <item x="64"/>
        <item x="180"/>
        <item x="50"/>
        <item x="92"/>
        <item x="89"/>
        <item x="30"/>
        <item x="75"/>
        <item x="155"/>
        <item x="79"/>
        <item x="22"/>
        <item x="136"/>
        <item x="26"/>
        <item x="106"/>
        <item x="194"/>
        <item x="40"/>
        <item x="45"/>
        <item x="148"/>
        <item x="165"/>
        <item x="88"/>
        <item x="21"/>
        <item x="158"/>
        <item x="6"/>
        <item x="121"/>
        <item x="18"/>
        <item x="120"/>
        <item x="139"/>
        <item x="31"/>
        <item x="59"/>
        <item x="104"/>
        <item x="27"/>
        <item x="56"/>
        <item x="183"/>
        <item x="138"/>
        <item x="159"/>
        <item x="24"/>
        <item x="167"/>
        <item x="189"/>
        <item x="193"/>
        <item x="112"/>
        <item x="153"/>
        <item x="74"/>
        <item x="171"/>
        <item x="100"/>
        <item x="48"/>
        <item x="196"/>
        <item x="51"/>
        <item x="37"/>
        <item x="20"/>
        <item x="108"/>
        <item x="23"/>
        <item x="135"/>
        <item x="126"/>
        <item x="144"/>
        <item x="47"/>
        <item x="179"/>
        <item x="57"/>
        <item x="19"/>
        <item x="70"/>
        <item x="78"/>
        <item x="147"/>
        <item x="125"/>
        <item x="105"/>
        <item x="174"/>
        <item x="87"/>
        <item x="163"/>
        <item x="133"/>
        <item x="131"/>
        <item x="132"/>
        <item x="85"/>
        <item x="101"/>
        <item x="39"/>
        <item x="188"/>
        <item x="117"/>
        <item x="177"/>
        <item x="12"/>
        <item x="63"/>
        <item x="94"/>
        <item x="170"/>
        <item x="49"/>
        <item x="156"/>
        <item x="102"/>
        <item x="176"/>
        <item x="61"/>
        <item x="141"/>
        <item x="1"/>
        <item x="118"/>
        <item x="185"/>
        <item x="93"/>
        <item x="28"/>
        <item x="84"/>
        <item x="11"/>
        <item x="172"/>
        <item x="72"/>
        <item x="34"/>
        <item x="178"/>
        <item x="140"/>
        <item t="countA"/>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4"/>
  </rowFields>
  <rowItems count="11">
    <i>
      <x v="129"/>
    </i>
    <i>
      <x v="111"/>
    </i>
    <i>
      <x v="19"/>
    </i>
    <i>
      <x v="179"/>
    </i>
    <i>
      <x v="156"/>
    </i>
    <i>
      <x v="98"/>
    </i>
    <i>
      <x v="151"/>
    </i>
    <i>
      <x v="64"/>
    </i>
    <i>
      <x v="53"/>
    </i>
    <i>
      <x v="154"/>
    </i>
    <i t="grand">
      <x/>
    </i>
  </rowItems>
  <colItems count="1">
    <i/>
  </colItems>
  <dataFields count="1">
    <dataField name="Sum of total_price" fld="2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76B5D1-D803-42D5-819C-FD7FE8D07F1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3">
    <pivotField dataField="1"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Items count="1">
    <i/>
  </rowItems>
  <colItems count="1">
    <i/>
  </colItems>
  <dataFields count="1">
    <dataField name="Rata Rata Transaksi" fld="0" subtotal="count" baseField="0" baseItem="0"/>
  </dataFields>
  <formats count="16">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 dxfId="10">
      <pivotArea dataOnly="0" labelOnly="1" outline="0" axis="axisValues"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A1D218-137F-484A-BAFA-1FA0EF72B1B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Items count="1">
    <i/>
  </rowItems>
  <colItems count="1">
    <i/>
  </colItems>
  <dataFields count="1">
    <dataField name="Total Penjualan" fld="20" baseField="0" baseItem="0" numFmtId="165"/>
  </dataFields>
  <formats count="16">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fieldPosition="0">
        <references count="1">
          <reference field="4294967294" count="1">
            <x v="0"/>
          </reference>
        </references>
      </pivotArea>
    </format>
    <format dxfId="26">
      <pivotArea dataOnly="0" labelOnly="1" outline="0" axis="axisValues"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2922EB-E542-4899-BCA4-C315027B4C8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6:D7" firstHeaderRow="1" firstDataRow="1" firstDataCol="0"/>
  <pivotFields count="23">
    <pivotField showAll="0"/>
    <pivotField showAll="0"/>
    <pivotField numFmtId="164"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Items count="1">
    <i/>
  </rowItems>
  <colItems count="1">
    <i/>
  </colItems>
  <dataFields count="1">
    <dataField name="Rata Rata Rating" fld="17" subtotal="average" baseField="0" baseItem="0"/>
  </dataFields>
  <formats count="14">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outline="0" collapsedLevelsAreSubtotals="1" fieldPosition="0"/>
    </format>
    <format dxfId="42">
      <pivotArea dataOnly="0" labelOnly="1" outline="0" axis="axisValues"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8FA90E2-8604-46B1-8925-4089817E27FB}" sourceName="Months (date)">
  <pivotTables>
    <pivotTable tabId="11" name="PivotTable4"/>
    <pivotTable tabId="11" name="PivotTable1"/>
    <pivotTable tabId="11" name="PivotTable3"/>
    <pivotTable tabId="11" name="PivotTable6"/>
    <pivotTable tabId="11" name="PivotTable7"/>
    <pivotTable tabId="11" name="PivotTable8"/>
    <pivotTable tabId="11" name="PivotTable14"/>
    <pivotTable tabId="15" name="PivotTable10"/>
    <pivotTable tabId="15" name="PivotTable12"/>
    <pivotTable tabId="15" name="PivotTable15"/>
  </pivotTables>
  <data>
    <tabular pivotCacheId="927669658">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4C37C9A-8B6D-4628-948E-9B8DDB35ADB5}" sourceName="Years (date)">
  <pivotTables>
    <pivotTable tabId="11" name="PivotTable4"/>
    <pivotTable tabId="11" name="PivotTable1"/>
    <pivotTable tabId="11" name="PivotTable14"/>
    <pivotTable tabId="11" name="PivotTable3"/>
    <pivotTable tabId="11" name="PivotTable6"/>
    <pivotTable tabId="11" name="PivotTable7"/>
    <pivotTable tabId="11" name="PivotTable8"/>
    <pivotTable tabId="15" name="PivotTable10"/>
    <pivotTable tabId="15" name="PivotTable12"/>
    <pivotTable tabId="15" name="PivotTable15"/>
  </pivotTables>
  <data>
    <tabular pivotCacheId="927669658">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F3274440-EDD4-489C-84BB-53F64B8A9BA4}" cache="Slicer_Months__date" caption="Months (date)" startItem="6" style="SlicerStyleDark1" rowHeight="241300"/>
  <slicer name="Years (date)" xr10:uid="{B48141C0-52B6-4D17-8C7A-961F871BC917}" cache="Slicer_Years__date" caption="Years (dat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32E7EAC2-C114-4D12-B8AE-6AF2002DFFB4}" cache="Slicer_Months__date" caption="Months (date)" startItem="6" style="SlicerStyleDark1" rowHeight="241300"/>
  <slicer name="Years (date) 1" xr10:uid="{CFD10EB3-D8C0-4C1A-B4A4-E763415DA11C}" cache="Slicer_Years__date" caption="Years (d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619BD-B089-4CB9-A2D8-7D3FF42A1A96}" name="Table1" displayName="Table1" ref="A1:U1001" totalsRowShown="0">
  <autoFilter ref="A1:U1001" xr:uid="{772619BD-B089-4CB9-A2D8-7D3FF42A1A96}"/>
  <tableColumns count="21">
    <tableColumn id="1" xr3:uid="{852F5B01-E4D4-4129-88C1-258B7F1036F6}" name="id_transaction"/>
    <tableColumn id="16" xr3:uid="{44103189-01E8-4282-8041-A6EC191DA154}" name="id_date" dataDxfId="8">
      <calculatedColumnFormula>_xlfn.XLOOKUP(Table1[[#This Row],[date]],Table8[date],Table8[id_date])</calculatedColumnFormula>
    </tableColumn>
    <tableColumn id="2" xr3:uid="{06785BFC-D7EC-45C5-8D17-BF94EDF62922}" name="date" dataDxfId="7"/>
    <tableColumn id="18" xr3:uid="{13FA585D-AD4D-4739-8BE7-1BD5024CC6CA}" name="id_cust" dataDxfId="6">
      <calculatedColumnFormula>_xlfn.XLOOKUP(Table1[[#This Row],[customer_name]],Table11[customer_name],Table11[id_cust])</calculatedColumnFormula>
    </tableColumn>
    <tableColumn id="3" xr3:uid="{82EE1C68-A1CE-40EF-A6E6-6C771A8BCE65}" name="customer_name"/>
    <tableColumn id="4" xr3:uid="{D61FCA05-BB2C-4053-820A-3367B5C798EF}" name="age"/>
    <tableColumn id="17" xr3:uid="{A3942120-5E1C-4F73-9049-84DB0736328E}" name="id_branch" dataDxfId="5">
      <calculatedColumnFormula>_xlfn.XLOOKUP(Table1[[#This Row],[branch_name]],Table3[branch_name],Table3[id_branch])</calculatedColumnFormula>
    </tableColumn>
    <tableColumn id="5" xr3:uid="{7B48695E-B281-4E94-8AB9-A8182C0D0DB0}" name="branch_name"/>
    <tableColumn id="19" xr3:uid="{BAF11850-BD50-42AA-9265-8B8A42276C6F}" name="id_city" dataDxfId="4">
      <calculatedColumnFormula>_xlfn.XLOOKUP(Table1[[#This Row],[city]],Table4[city],Table4[id_city])</calculatedColumnFormula>
    </tableColumn>
    <tableColumn id="6" xr3:uid="{A9AE8949-D5B1-4E0C-9938-9AD57A181825}" name="city"/>
    <tableColumn id="20" xr3:uid="{AA3681A2-5AA3-48E7-AFEC-21F46D390C89}" name="id_menu" dataDxfId="3">
      <calculatedColumnFormula>_xlfn.XLOOKUP(Table1[[#This Row],[menu_name]],Table5[menu_name],Table5[id_menu])</calculatedColumnFormula>
    </tableColumn>
    <tableColumn id="7" xr3:uid="{D161A2D7-86C8-4ABD-81B0-16FDBEBCDFE3}" name="menu_name"/>
    <tableColumn id="21" xr3:uid="{B4BD202D-615B-44F0-93DF-6E41B3392A7D}" name="id_category" dataDxfId="2">
      <calculatedColumnFormula>_xlfn.XLOOKUP(Table1[[#This Row],[category]],Table6[category],Table6[id_category])</calculatedColumnFormula>
    </tableColumn>
    <tableColumn id="8" xr3:uid="{599F3289-ADD8-42B2-A222-CBB415B8E2F0}" name="category"/>
    <tableColumn id="9" xr3:uid="{10F873FF-5D03-4FEB-A5CB-51EAB548616C}" name="quantity"/>
    <tableColumn id="10" xr3:uid="{1FEBF2AB-0A10-4642-ABE7-6FF946528621}" name="price"/>
    <tableColumn id="11" xr3:uid="{D7EDD79F-47A9-4DD4-8670-E1A6483B8AC5}" name="discount_percent"/>
    <tableColumn id="12" xr3:uid="{1842E5D4-E301-4566-8DEA-825C3877796D}" name="rating"/>
    <tableColumn id="15" xr3:uid="{532F4FA1-44CD-42E6-BE75-B185F81BBB81}" name="id_method" dataDxfId="1">
      <calculatedColumnFormula>_xlfn.XLOOKUP(Table1[[#This Row],[method]],Table7[method],Table7[id_method])</calculatedColumnFormula>
    </tableColumn>
    <tableColumn id="13" xr3:uid="{7E8EA146-8E55-472A-8092-741A53BF0264}" name="method"/>
    <tableColumn id="14" xr3:uid="{41382BA7-F960-42D1-8273-B73FE84B95E3}" name="total_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5126D9-1472-41E9-B9F5-D7BED946A85A}" name="Table10" displayName="Table10" ref="A1:N1001" totalsRowShown="0">
  <autoFilter ref="A1:N1001" xr:uid="{245126D9-1472-41E9-B9F5-D7BED946A85A}"/>
  <tableColumns count="14">
    <tableColumn id="1" xr3:uid="{8515FD2E-1675-499A-BD0A-DDAFDF536BD6}" name="id_transaction"/>
    <tableColumn id="2" xr3:uid="{6792B323-C909-4E63-AAFF-DCDC3BF01D89}" name="age"/>
    <tableColumn id="3" xr3:uid="{230C605C-DE7E-4FEB-99A3-A5260CE2C5C1}" name="quantity"/>
    <tableColumn id="4" xr3:uid="{3BFD78EA-66F0-486A-8B55-2046096A800C}" name="price"/>
    <tableColumn id="5" xr3:uid="{E318762D-77D3-42DA-A709-F3AA67EB42AD}" name="discount_percent"/>
    <tableColumn id="6" xr3:uid="{B4594283-AA1C-4ECF-B04E-7AFB46AB492F}" name="rating"/>
    <tableColumn id="7" xr3:uid="{E8B68B18-5546-4622-BA1C-8EC796F6957D}" name="total_price"/>
    <tableColumn id="8" xr3:uid="{091F869C-1B8C-4270-9E53-380B9EBB0A02}" name="id_date"/>
    <tableColumn id="9" xr3:uid="{2CFAFE15-874D-4E31-9E34-01C1EC60D8DF}" name="id_cust"/>
    <tableColumn id="10" xr3:uid="{50C9CC7A-5A5D-49B6-8B9A-CF1C9F56862E}" name="id_branch"/>
    <tableColumn id="11" xr3:uid="{ED8FE2B5-79A0-4F2A-ABAB-297D28E7D9C3}" name="id_city"/>
    <tableColumn id="12" xr3:uid="{44C3852A-511F-471C-9068-84D96D336B32}" name="id_menu"/>
    <tableColumn id="13" xr3:uid="{0436BE41-375B-4B24-BD1F-CDC3BBB48336}" name="id_category"/>
    <tableColumn id="14" xr3:uid="{CD1F8DB2-7253-4B60-8A4C-6F12E7D628FA}" name="id_metho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0DFF1D-B2EE-4C16-BD8A-6578B795D22F}" name="Table3" displayName="Table3" ref="A1:B6" totalsRowShown="0">
  <autoFilter ref="A1:B6" xr:uid="{7F0DFF1D-B2EE-4C16-BD8A-6578B795D22F}"/>
  <tableColumns count="2">
    <tableColumn id="1" xr3:uid="{24042D76-EBC7-4D40-A7B9-EECAB88A258B}" name="id_branch"/>
    <tableColumn id="2" xr3:uid="{9844B3B5-6D6C-48DA-B290-D2870A39C410}" name="branch_nam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847166-A41E-47C9-81B0-1499FF673A58}" name="Table11" displayName="Table11" ref="A1:B200" totalsRowShown="0">
  <autoFilter ref="A1:B200" xr:uid="{87847166-A41E-47C9-81B0-1499FF673A58}"/>
  <tableColumns count="2">
    <tableColumn id="1" xr3:uid="{C29C9A9A-5080-47D6-8A7E-61218EA4CC88}" name="id_cust"/>
    <tableColumn id="2" xr3:uid="{D7B1BE3E-F8B9-4CFF-8F8C-40F2BC089553}" name="customer_nam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94B721-C20C-405A-9748-92AF84D5382F}" name="Table4" displayName="Table4" ref="A1:B6" totalsRowShown="0">
  <autoFilter ref="A1:B6" xr:uid="{7F94B721-C20C-405A-9748-92AF84D5382F}"/>
  <tableColumns count="2">
    <tableColumn id="1" xr3:uid="{3D5C3739-65DB-4E52-B7A1-BB145E1A180C}" name="id_city"/>
    <tableColumn id="2" xr3:uid="{697B4F78-57DD-4A59-8CCF-BE7D6C3D5CBD}" name="cit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6657DF-6983-4708-96A7-DD5E5C022026}" name="Table5" displayName="Table5" ref="A1:B11" totalsRowShown="0">
  <autoFilter ref="A1:B11" xr:uid="{276657DF-6983-4708-96A7-DD5E5C022026}"/>
  <tableColumns count="2">
    <tableColumn id="1" xr3:uid="{28ADBCFC-3949-4B74-8CF6-1F3015FB3D6B}" name="id_menu"/>
    <tableColumn id="2" xr3:uid="{7D528C62-62CC-4C21-98B0-1743D9FF2576}" name="menu_nam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BA33F-3399-40D7-AC1E-87EA524C1E93}" name="Table6" displayName="Table6" ref="A1:B4" totalsRowShown="0">
  <autoFilter ref="A1:B4" xr:uid="{8FCBA33F-3399-40D7-AC1E-87EA524C1E93}"/>
  <tableColumns count="2">
    <tableColumn id="1" xr3:uid="{37BE7243-B514-4588-BAC6-F817FE26AB76}" name="id_category"/>
    <tableColumn id="2" xr3:uid="{774BB6C6-2D8D-4BBC-B0AC-B05FC235B09A}" name="category"/>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3E1BA7-13D2-49B8-9687-2C46F01BC273}" name="Table7" displayName="Table7" ref="A1:B5" totalsRowShown="0">
  <autoFilter ref="A1:B5" xr:uid="{B03E1BA7-13D2-49B8-9687-2C46F01BC273}"/>
  <tableColumns count="2">
    <tableColumn id="1" xr3:uid="{C125BB62-EF50-49DC-A2E4-6AAD8C602158}" name="id_method"/>
    <tableColumn id="2" xr3:uid="{7A067011-246D-4F7D-9CA9-C61FFCE18142}" name="method"/>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4E6F1C-EE5A-49D1-AFDA-39626866B3AE}" name="Table8" displayName="Table8" ref="A1:E545" totalsRowShown="0">
  <autoFilter ref="A1:E545" xr:uid="{F14E6F1C-EE5A-49D1-AFDA-39626866B3AE}"/>
  <tableColumns count="5">
    <tableColumn id="1" xr3:uid="{20676F31-F34E-4CEF-B076-3197C2542F23}" name="id_date"/>
    <tableColumn id="2" xr3:uid="{1D696FC6-EC02-4053-BFD1-75D40175EB7C}" name="date" dataDxfId="0"/>
    <tableColumn id="3" xr3:uid="{251E2ABB-322B-4146-82DC-A2D118EC21D0}" name="year">
      <calculatedColumnFormula>YEAR(B2)</calculatedColumnFormula>
    </tableColumn>
    <tableColumn id="4" xr3:uid="{0B9872E5-2252-43BB-A627-050319E54E35}" name="month">
      <calculatedColumnFormula>MONTH(B2)</calculatedColumnFormula>
    </tableColumn>
    <tableColumn id="5" xr3:uid="{9AC03BD1-B0AD-4C84-A470-0569C1C731F6}" name="day">
      <calculatedColumnFormula>DAY(B2)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F16E-85F7-4993-9019-D0E23C8BA983}">
  <dimension ref="A3:P58"/>
  <sheetViews>
    <sheetView topLeftCell="A34" workbookViewId="0">
      <selection activeCell="B57" sqref="B57"/>
    </sheetView>
  </sheetViews>
  <sheetFormatPr defaultRowHeight="15" x14ac:dyDescent="0.25"/>
  <cols>
    <col min="1" max="1" width="13.140625" bestFit="1" customWidth="1"/>
    <col min="2" max="2" width="22" bestFit="1" customWidth="1"/>
    <col min="3" max="3" width="13.140625" bestFit="1" customWidth="1"/>
    <col min="4" max="4" width="20.42578125" bestFit="1" customWidth="1"/>
    <col min="5" max="6" width="17.42578125" bestFit="1" customWidth="1"/>
    <col min="7" max="7" width="20.42578125" bestFit="1" customWidth="1"/>
    <col min="8" max="8" width="16.28515625" bestFit="1" customWidth="1"/>
    <col min="9" max="9" width="14.140625" bestFit="1" customWidth="1"/>
    <col min="10" max="10" width="12.42578125" bestFit="1" customWidth="1"/>
    <col min="11" max="11" width="14.42578125" bestFit="1" customWidth="1"/>
    <col min="12" max="12" width="13.28515625" bestFit="1" customWidth="1"/>
    <col min="13" max="13" width="13.140625" bestFit="1" customWidth="1"/>
    <col min="14" max="14" width="17.42578125" bestFit="1" customWidth="1"/>
    <col min="15" max="15" width="18.7109375" bestFit="1" customWidth="1"/>
    <col min="16" max="16" width="17.42578125" bestFit="1" customWidth="1"/>
    <col min="17" max="17" width="14.7109375" bestFit="1" customWidth="1"/>
    <col min="18" max="18" width="13.7109375" bestFit="1" customWidth="1"/>
    <col min="19" max="19" width="15.140625" bestFit="1" customWidth="1"/>
    <col min="20" max="20" width="15.42578125" bestFit="1" customWidth="1"/>
    <col min="21" max="21" width="13.85546875" bestFit="1" customWidth="1"/>
    <col min="22" max="22" width="15.140625" bestFit="1" customWidth="1"/>
    <col min="23" max="23" width="13.140625" bestFit="1" customWidth="1"/>
    <col min="24" max="24" width="13.42578125" bestFit="1" customWidth="1"/>
    <col min="25" max="25" width="13.140625" bestFit="1" customWidth="1"/>
    <col min="26" max="26" width="14.5703125" bestFit="1" customWidth="1"/>
    <col min="27" max="27" width="13.42578125" bestFit="1" customWidth="1"/>
    <col min="28" max="28" width="12.85546875" bestFit="1" customWidth="1"/>
    <col min="29" max="29" width="12.7109375" bestFit="1" customWidth="1"/>
    <col min="30" max="30" width="12" bestFit="1" customWidth="1"/>
    <col min="31" max="31" width="14" bestFit="1" customWidth="1"/>
    <col min="32" max="32" width="12.28515625" bestFit="1" customWidth="1"/>
    <col min="33" max="33" width="13.85546875" bestFit="1" customWidth="1"/>
    <col min="34" max="34" width="14.7109375" bestFit="1" customWidth="1"/>
    <col min="35" max="35" width="12.28515625" bestFit="1" customWidth="1"/>
    <col min="36" max="36" width="14.85546875" bestFit="1" customWidth="1"/>
    <col min="37" max="37" width="13.5703125" bestFit="1" customWidth="1"/>
    <col min="38" max="38" width="12" bestFit="1" customWidth="1"/>
    <col min="39" max="39" width="12.42578125" bestFit="1" customWidth="1"/>
    <col min="40" max="40" width="12" bestFit="1" customWidth="1"/>
    <col min="41" max="41" width="16.42578125" bestFit="1" customWidth="1"/>
    <col min="42" max="42" width="13.7109375" bestFit="1" customWidth="1"/>
    <col min="43" max="44" width="12.140625" bestFit="1" customWidth="1"/>
    <col min="45" max="45" width="11.7109375" bestFit="1" customWidth="1"/>
    <col min="46" max="46" width="17.85546875" bestFit="1" customWidth="1"/>
    <col min="47" max="47" width="15.42578125" bestFit="1" customWidth="1"/>
    <col min="48" max="48" width="12.140625" bestFit="1" customWidth="1"/>
    <col min="49" max="49" width="12.85546875" bestFit="1" customWidth="1"/>
    <col min="50" max="50" width="15" bestFit="1" customWidth="1"/>
    <col min="51" max="51" width="12.85546875" bestFit="1" customWidth="1"/>
    <col min="52" max="52" width="14.85546875" bestFit="1" customWidth="1"/>
    <col min="53" max="53" width="15.42578125" bestFit="1" customWidth="1"/>
    <col min="54" max="54" width="11.7109375" bestFit="1" customWidth="1"/>
    <col min="55" max="55" width="13.42578125" bestFit="1" customWidth="1"/>
    <col min="56" max="56" width="13.7109375" bestFit="1" customWidth="1"/>
    <col min="57" max="57" width="11.28515625" bestFit="1" customWidth="1"/>
    <col min="58" max="58" width="13.140625" bestFit="1" customWidth="1"/>
    <col min="59" max="59" width="12.5703125" bestFit="1" customWidth="1"/>
    <col min="60" max="60" width="16.7109375" bestFit="1" customWidth="1"/>
    <col min="61" max="61" width="13.5703125" bestFit="1" customWidth="1"/>
    <col min="62" max="62" width="13.7109375" bestFit="1" customWidth="1"/>
    <col min="63" max="63" width="13.140625" bestFit="1" customWidth="1"/>
    <col min="64" max="64" width="12.5703125" bestFit="1" customWidth="1"/>
    <col min="65" max="65" width="13.85546875" bestFit="1" customWidth="1"/>
    <col min="66" max="66" width="16.140625" bestFit="1" customWidth="1"/>
    <col min="67" max="67" width="15.28515625" bestFit="1" customWidth="1"/>
    <col min="68" max="68" width="12.28515625" bestFit="1" customWidth="1"/>
    <col min="69" max="69" width="11.85546875" bestFit="1" customWidth="1"/>
    <col min="70" max="70" width="12.140625" bestFit="1" customWidth="1"/>
    <col min="71" max="71" width="14" bestFit="1" customWidth="1"/>
    <col min="72" max="72" width="12.42578125" bestFit="1" customWidth="1"/>
    <col min="73" max="73" width="15.140625" bestFit="1" customWidth="1"/>
    <col min="74" max="74" width="17" bestFit="1" customWidth="1"/>
    <col min="75" max="75" width="15.7109375" bestFit="1" customWidth="1"/>
    <col min="76" max="76" width="13.28515625" bestFit="1" customWidth="1"/>
    <col min="77" max="77" width="14.7109375" bestFit="1" customWidth="1"/>
    <col min="78" max="78" width="13.140625" bestFit="1" customWidth="1"/>
    <col min="79" max="79" width="14.7109375" bestFit="1" customWidth="1"/>
    <col min="80" max="80" width="14.85546875" bestFit="1" customWidth="1"/>
    <col min="81" max="81" width="12" bestFit="1" customWidth="1"/>
    <col min="82" max="82" width="13.140625" bestFit="1" customWidth="1"/>
    <col min="83" max="83" width="14.5703125" bestFit="1" customWidth="1"/>
    <col min="84" max="84" width="10.5703125" bestFit="1" customWidth="1"/>
    <col min="85" max="85" width="13.7109375" bestFit="1" customWidth="1"/>
    <col min="86" max="86" width="13.140625" bestFit="1" customWidth="1"/>
    <col min="87" max="87" width="16.5703125" bestFit="1" customWidth="1"/>
    <col min="88" max="88" width="15.85546875" bestFit="1" customWidth="1"/>
    <col min="89" max="89" width="14.140625" bestFit="1" customWidth="1"/>
    <col min="90" max="90" width="13.140625" bestFit="1" customWidth="1"/>
    <col min="91" max="91" width="13.28515625" bestFit="1" customWidth="1"/>
    <col min="92" max="92" width="13.5703125" bestFit="1" customWidth="1"/>
    <col min="93" max="93" width="16.7109375" bestFit="1" customWidth="1"/>
    <col min="94" max="94" width="14.7109375" bestFit="1" customWidth="1"/>
    <col min="95" max="95" width="12.28515625" bestFit="1" customWidth="1"/>
    <col min="96" max="96" width="13.140625" bestFit="1" customWidth="1"/>
    <col min="97" max="97" width="12.28515625" bestFit="1" customWidth="1"/>
    <col min="98" max="98" width="11.7109375" bestFit="1" customWidth="1"/>
    <col min="99" max="99" width="12.140625" bestFit="1" customWidth="1"/>
    <col min="100" max="100" width="10.28515625" bestFit="1" customWidth="1"/>
    <col min="101" max="101" width="13.140625" bestFit="1" customWidth="1"/>
    <col min="102" max="102" width="12.85546875" bestFit="1" customWidth="1"/>
    <col min="103" max="103" width="11.85546875" bestFit="1" customWidth="1"/>
    <col min="104" max="104" width="12" bestFit="1" customWidth="1"/>
    <col min="105" max="105" width="15.42578125" bestFit="1" customWidth="1"/>
    <col min="106" max="106" width="11.7109375" bestFit="1" customWidth="1"/>
    <col min="107" max="107" width="13.5703125" bestFit="1" customWidth="1"/>
    <col min="108" max="108" width="12.42578125" bestFit="1" customWidth="1"/>
    <col min="109" max="109" width="11.7109375" bestFit="1" customWidth="1"/>
    <col min="110" max="110" width="14.28515625" bestFit="1" customWidth="1"/>
    <col min="111" max="111" width="13.5703125" bestFit="1" customWidth="1"/>
    <col min="112" max="112" width="12.7109375" bestFit="1" customWidth="1"/>
    <col min="113" max="113" width="18.7109375" bestFit="1" customWidth="1"/>
    <col min="114" max="114" width="18" bestFit="1" customWidth="1"/>
    <col min="115" max="115" width="14.28515625" bestFit="1" customWidth="1"/>
    <col min="116" max="116" width="13.85546875" bestFit="1" customWidth="1"/>
    <col min="117" max="117" width="14.5703125" bestFit="1" customWidth="1"/>
    <col min="118" max="118" width="10.42578125" bestFit="1" customWidth="1"/>
    <col min="119" max="119" width="12.5703125" bestFit="1" customWidth="1"/>
    <col min="120" max="120" width="11.42578125" bestFit="1" customWidth="1"/>
    <col min="121" max="121" width="13.5703125" bestFit="1" customWidth="1"/>
    <col min="122" max="122" width="13.28515625" bestFit="1" customWidth="1"/>
    <col min="123" max="123" width="14.140625" bestFit="1" customWidth="1"/>
    <col min="124" max="125" width="13.140625" bestFit="1" customWidth="1"/>
    <col min="126" max="126" width="12.28515625" bestFit="1" customWidth="1"/>
    <col min="127" max="127" width="13.7109375" bestFit="1" customWidth="1"/>
    <col min="128" max="128" width="15.42578125" bestFit="1" customWidth="1"/>
    <col min="129" max="129" width="11.42578125" bestFit="1" customWidth="1"/>
    <col min="130" max="130" width="13.7109375" bestFit="1" customWidth="1"/>
    <col min="131" max="131" width="14.42578125" bestFit="1" customWidth="1"/>
    <col min="132" max="132" width="13.28515625" bestFit="1" customWidth="1"/>
    <col min="133" max="133" width="12.85546875" bestFit="1" customWidth="1"/>
    <col min="134" max="134" width="9.85546875" bestFit="1" customWidth="1"/>
    <col min="135" max="135" width="12.140625" bestFit="1" customWidth="1"/>
    <col min="136" max="136" width="10.5703125" bestFit="1" customWidth="1"/>
    <col min="137" max="137" width="11.7109375" bestFit="1" customWidth="1"/>
    <col min="138" max="138" width="16.140625" bestFit="1" customWidth="1"/>
    <col min="139" max="139" width="13.42578125" bestFit="1" customWidth="1"/>
    <col min="140" max="140" width="13.28515625" bestFit="1" customWidth="1"/>
    <col min="141" max="141" width="12.5703125" bestFit="1" customWidth="1"/>
    <col min="142" max="142" width="12.42578125" bestFit="1" customWidth="1"/>
    <col min="143" max="143" width="12.85546875" bestFit="1" customWidth="1"/>
    <col min="144" max="144" width="14.85546875" bestFit="1" customWidth="1"/>
    <col min="145" max="145" width="14" bestFit="1" customWidth="1"/>
    <col min="146" max="146" width="14.140625" bestFit="1" customWidth="1"/>
    <col min="147" max="148" width="14.7109375" bestFit="1" customWidth="1"/>
    <col min="149" max="149" width="15.140625" bestFit="1" customWidth="1"/>
    <col min="150" max="150" width="14.5703125" bestFit="1" customWidth="1"/>
    <col min="151" max="151" width="12.140625" bestFit="1" customWidth="1"/>
    <col min="152" max="152" width="14.42578125" bestFit="1" customWidth="1"/>
    <col min="153" max="153" width="14" bestFit="1" customWidth="1"/>
    <col min="154" max="154" width="13.7109375" bestFit="1" customWidth="1"/>
    <col min="155" max="155" width="11" bestFit="1" customWidth="1"/>
    <col min="156" max="156" width="12.85546875" bestFit="1" customWidth="1"/>
    <col min="157" max="157" width="12.28515625" bestFit="1" customWidth="1"/>
    <col min="158" max="158" width="14.5703125" bestFit="1" customWidth="1"/>
    <col min="159" max="159" width="11.28515625" bestFit="1" customWidth="1"/>
    <col min="160" max="160" width="14.28515625" bestFit="1" customWidth="1"/>
    <col min="161" max="161" width="15.85546875" bestFit="1" customWidth="1"/>
    <col min="162" max="162" width="13.42578125" bestFit="1" customWidth="1"/>
    <col min="163" max="163" width="13.85546875" bestFit="1" customWidth="1"/>
    <col min="164" max="164" width="11.7109375" bestFit="1" customWidth="1"/>
    <col min="165" max="165" width="13.140625" bestFit="1" customWidth="1"/>
    <col min="166" max="166" width="11.28515625" bestFit="1" customWidth="1"/>
    <col min="167" max="167" width="12.28515625" bestFit="1" customWidth="1"/>
    <col min="168" max="168" width="12.5703125" bestFit="1" customWidth="1"/>
    <col min="169" max="169" width="12.85546875" bestFit="1" customWidth="1"/>
    <col min="170" max="170" width="14" bestFit="1" customWidth="1"/>
    <col min="171" max="171" width="12" bestFit="1" customWidth="1"/>
    <col min="172" max="172" width="13.140625" bestFit="1" customWidth="1"/>
    <col min="173" max="173" width="14.5703125" bestFit="1" customWidth="1"/>
    <col min="174" max="174" width="15.42578125" bestFit="1" customWidth="1"/>
    <col min="175" max="175" width="13.85546875" bestFit="1" customWidth="1"/>
    <col min="176" max="176" width="14.42578125" bestFit="1" customWidth="1"/>
    <col min="177" max="177" width="12.5703125" bestFit="1" customWidth="1"/>
    <col min="178" max="178" width="14.85546875" bestFit="1" customWidth="1"/>
    <col min="179" max="179" width="14.140625" bestFit="1" customWidth="1"/>
    <col min="180" max="180" width="11" bestFit="1" customWidth="1"/>
    <col min="181" max="181" width="13.42578125" bestFit="1" customWidth="1"/>
    <col min="182" max="182" width="12.85546875" bestFit="1" customWidth="1"/>
    <col min="183" max="183" width="12" bestFit="1" customWidth="1"/>
    <col min="184" max="184" width="14.28515625" bestFit="1" customWidth="1"/>
    <col min="185" max="185" width="16.42578125" bestFit="1" customWidth="1"/>
    <col min="186" max="186" width="13.7109375" bestFit="1" customWidth="1"/>
    <col min="187" max="187" width="13.28515625" bestFit="1" customWidth="1"/>
    <col min="188" max="188" width="16.7109375" bestFit="1" customWidth="1"/>
    <col min="189" max="189" width="13.5703125" bestFit="1" customWidth="1"/>
    <col min="190" max="190" width="15.85546875" bestFit="1" customWidth="1"/>
    <col min="191" max="191" width="13.5703125" bestFit="1" customWidth="1"/>
    <col min="192" max="192" width="12.140625" bestFit="1" customWidth="1"/>
    <col min="193" max="193" width="14.7109375" bestFit="1" customWidth="1"/>
    <col min="194" max="195" width="13.5703125" bestFit="1" customWidth="1"/>
    <col min="196" max="196" width="12.7109375" bestFit="1" customWidth="1"/>
    <col min="197" max="197" width="12" bestFit="1" customWidth="1"/>
    <col min="198" max="198" width="11.5703125" bestFit="1" customWidth="1"/>
    <col min="199" max="199" width="11.140625" bestFit="1" customWidth="1"/>
    <col min="200" max="200" width="12.42578125" bestFit="1" customWidth="1"/>
    <col min="201" max="201" width="11.28515625" bestFit="1" customWidth="1"/>
  </cols>
  <sheetData>
    <row r="3" spans="1:14" x14ac:dyDescent="0.25">
      <c r="A3" s="3" t="s">
        <v>2020</v>
      </c>
      <c r="B3" t="s">
        <v>2022</v>
      </c>
    </row>
    <row r="4" spans="1:14" x14ac:dyDescent="0.25">
      <c r="A4" s="4" t="s">
        <v>1233</v>
      </c>
      <c r="B4">
        <v>398</v>
      </c>
      <c r="D4" s="3" t="s">
        <v>2020</v>
      </c>
      <c r="E4" t="s">
        <v>2023</v>
      </c>
    </row>
    <row r="5" spans="1:14" x14ac:dyDescent="0.25">
      <c r="A5" s="4" t="s">
        <v>1234</v>
      </c>
      <c r="B5">
        <v>392</v>
      </c>
      <c r="D5" s="4" t="s">
        <v>1213</v>
      </c>
      <c r="E5">
        <v>13168100</v>
      </c>
    </row>
    <row r="6" spans="1:14" x14ac:dyDescent="0.25">
      <c r="A6" s="4" t="s">
        <v>1235</v>
      </c>
      <c r="B6">
        <v>210</v>
      </c>
      <c r="D6" s="4" t="s">
        <v>1217</v>
      </c>
      <c r="E6">
        <v>13505350</v>
      </c>
      <c r="M6" s="3" t="s">
        <v>2020</v>
      </c>
      <c r="N6" t="s">
        <v>2023</v>
      </c>
    </row>
    <row r="7" spans="1:14" x14ac:dyDescent="0.25">
      <c r="A7" s="4" t="s">
        <v>2021</v>
      </c>
      <c r="B7">
        <v>1000</v>
      </c>
      <c r="D7" s="4" t="s">
        <v>1216</v>
      </c>
      <c r="E7">
        <v>13698050</v>
      </c>
      <c r="M7" s="4" t="s">
        <v>2024</v>
      </c>
      <c r="N7">
        <v>6062550</v>
      </c>
    </row>
    <row r="8" spans="1:14" x14ac:dyDescent="0.25">
      <c r="D8" s="4" t="s">
        <v>1215</v>
      </c>
      <c r="E8">
        <v>13992400</v>
      </c>
      <c r="M8" s="4" t="s">
        <v>2025</v>
      </c>
      <c r="N8">
        <v>6476600</v>
      </c>
    </row>
    <row r="9" spans="1:14" x14ac:dyDescent="0.25">
      <c r="D9" s="4" t="s">
        <v>1214</v>
      </c>
      <c r="E9">
        <v>14272350</v>
      </c>
      <c r="M9" s="4" t="s">
        <v>2026</v>
      </c>
      <c r="N9">
        <v>5399250</v>
      </c>
    </row>
    <row r="10" spans="1:14" x14ac:dyDescent="0.25">
      <c r="D10" s="4" t="s">
        <v>2021</v>
      </c>
      <c r="E10">
        <v>68636250</v>
      </c>
      <c r="M10" s="4" t="s">
        <v>2027</v>
      </c>
      <c r="N10">
        <v>6038750</v>
      </c>
    </row>
    <row r="11" spans="1:14" x14ac:dyDescent="0.25">
      <c r="M11" s="4" t="s">
        <v>2028</v>
      </c>
      <c r="N11">
        <v>5932700</v>
      </c>
    </row>
    <row r="12" spans="1:14" x14ac:dyDescent="0.25">
      <c r="M12" s="4" t="s">
        <v>2029</v>
      </c>
      <c r="N12">
        <v>5918500</v>
      </c>
    </row>
    <row r="13" spans="1:14" x14ac:dyDescent="0.25">
      <c r="C13" s="3" t="s">
        <v>2020</v>
      </c>
      <c r="D13" t="s">
        <v>2022</v>
      </c>
      <c r="M13" s="4" t="s">
        <v>2030</v>
      </c>
      <c r="N13">
        <v>4557500</v>
      </c>
    </row>
    <row r="14" spans="1:14" x14ac:dyDescent="0.25">
      <c r="C14" s="4" t="s">
        <v>1237</v>
      </c>
      <c r="D14">
        <v>243</v>
      </c>
      <c r="M14" s="4" t="s">
        <v>2031</v>
      </c>
      <c r="N14">
        <v>5840800</v>
      </c>
    </row>
    <row r="15" spans="1:14" x14ac:dyDescent="0.25">
      <c r="C15" s="4" t="s">
        <v>1239</v>
      </c>
      <c r="D15">
        <v>247</v>
      </c>
      <c r="M15" s="4" t="s">
        <v>2032</v>
      </c>
      <c r="N15">
        <v>5825350</v>
      </c>
    </row>
    <row r="16" spans="1:14" x14ac:dyDescent="0.25">
      <c r="A16" t="s">
        <v>2037</v>
      </c>
      <c r="C16" s="4" t="s">
        <v>1238</v>
      </c>
      <c r="D16">
        <v>251</v>
      </c>
      <c r="M16" s="4" t="s">
        <v>2033</v>
      </c>
      <c r="N16">
        <v>6705450</v>
      </c>
    </row>
    <row r="17" spans="1:14" x14ac:dyDescent="0.25">
      <c r="A17">
        <v>68636.25</v>
      </c>
      <c r="C17" s="4" t="s">
        <v>1236</v>
      </c>
      <c r="D17">
        <v>259</v>
      </c>
      <c r="M17" s="4" t="s">
        <v>2034</v>
      </c>
      <c r="N17">
        <v>5342950</v>
      </c>
    </row>
    <row r="18" spans="1:14" x14ac:dyDescent="0.25">
      <c r="C18" s="4" t="s">
        <v>2021</v>
      </c>
      <c r="D18">
        <v>1000</v>
      </c>
      <c r="M18" s="4" t="s">
        <v>2035</v>
      </c>
      <c r="N18">
        <v>4535850</v>
      </c>
    </row>
    <row r="19" spans="1:14" x14ac:dyDescent="0.25">
      <c r="M19" s="4" t="s">
        <v>2021</v>
      </c>
      <c r="N19">
        <v>68636250</v>
      </c>
    </row>
    <row r="37" spans="7:16" x14ac:dyDescent="0.25">
      <c r="G37" s="3" t="s">
        <v>2020</v>
      </c>
      <c r="H37" t="s">
        <v>2036</v>
      </c>
      <c r="O37" s="3" t="s">
        <v>2020</v>
      </c>
      <c r="P37" t="s">
        <v>2023</v>
      </c>
    </row>
    <row r="38" spans="7:16" x14ac:dyDescent="0.25">
      <c r="G38" s="4" t="s">
        <v>1217</v>
      </c>
      <c r="H38">
        <v>2.8453201970443347</v>
      </c>
      <c r="O38" s="4" t="s">
        <v>1045</v>
      </c>
      <c r="P38">
        <v>615650</v>
      </c>
    </row>
    <row r="39" spans="7:16" x14ac:dyDescent="0.25">
      <c r="G39" s="4" t="s">
        <v>1214</v>
      </c>
      <c r="H39">
        <v>2.9731707317073188</v>
      </c>
      <c r="O39" s="4" t="s">
        <v>1093</v>
      </c>
      <c r="P39">
        <v>619800</v>
      </c>
    </row>
    <row r="40" spans="7:16" x14ac:dyDescent="0.25">
      <c r="G40" s="4" t="s">
        <v>1216</v>
      </c>
      <c r="H40">
        <v>2.9849246231155768</v>
      </c>
      <c r="O40" s="4" t="s">
        <v>1079</v>
      </c>
      <c r="P40">
        <v>655800</v>
      </c>
    </row>
    <row r="41" spans="7:16" x14ac:dyDescent="0.25">
      <c r="G41" s="4" t="s">
        <v>1213</v>
      </c>
      <c r="H41">
        <v>2.9999999999999996</v>
      </c>
      <c r="O41" s="4" t="s">
        <v>1108</v>
      </c>
      <c r="P41">
        <v>671700</v>
      </c>
    </row>
    <row r="42" spans="7:16" x14ac:dyDescent="0.25">
      <c r="G42" s="4" t="s">
        <v>1215</v>
      </c>
      <c r="H42">
        <v>3.0114285714285711</v>
      </c>
      <c r="O42" s="4" t="s">
        <v>1061</v>
      </c>
      <c r="P42">
        <v>692550</v>
      </c>
    </row>
    <row r="43" spans="7:16" x14ac:dyDescent="0.25">
      <c r="G43" s="4" t="s">
        <v>2021</v>
      </c>
      <c r="H43">
        <v>2.962499999999999</v>
      </c>
      <c r="O43" s="4" t="s">
        <v>1090</v>
      </c>
      <c r="P43">
        <v>722000</v>
      </c>
    </row>
    <row r="44" spans="7:16" x14ac:dyDescent="0.25">
      <c r="O44" s="4" t="s">
        <v>1122</v>
      </c>
      <c r="P44">
        <v>752400</v>
      </c>
    </row>
    <row r="45" spans="7:16" x14ac:dyDescent="0.25">
      <c r="O45" s="4" t="s">
        <v>1117</v>
      </c>
      <c r="P45">
        <v>756650</v>
      </c>
    </row>
    <row r="46" spans="7:16" x14ac:dyDescent="0.25">
      <c r="O46" s="4" t="s">
        <v>1074</v>
      </c>
      <c r="P46">
        <v>804200</v>
      </c>
    </row>
    <row r="47" spans="7:16" x14ac:dyDescent="0.25">
      <c r="O47" s="4" t="s">
        <v>1140</v>
      </c>
      <c r="P47">
        <v>879000</v>
      </c>
    </row>
    <row r="48" spans="7:16" x14ac:dyDescent="0.25">
      <c r="O48" s="4" t="s">
        <v>2021</v>
      </c>
      <c r="P48">
        <v>7169750</v>
      </c>
    </row>
    <row r="57" spans="2:2" x14ac:dyDescent="0.25">
      <c r="B57" t="s">
        <v>2023</v>
      </c>
    </row>
    <row r="58" spans="2:2" x14ac:dyDescent="0.25">
      <c r="B58">
        <v>68636250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0B70-765C-4613-AB22-26D4623B190C}">
  <dimension ref="A1:X65"/>
  <sheetViews>
    <sheetView topLeftCell="A6" zoomScale="80" zoomScaleNormal="80" workbookViewId="0">
      <selection activeCell="N10" sqref="N10"/>
    </sheetView>
  </sheetViews>
  <sheetFormatPr defaultRowHeight="15" x14ac:dyDescent="0.25"/>
  <cols>
    <col min="1" max="1" width="33.28515625" bestFit="1" customWidth="1"/>
    <col min="2" max="2" width="2.140625" customWidth="1"/>
    <col min="4" max="4" width="26.5703125" bestFit="1" customWidth="1"/>
    <col min="5" max="5" width="1.28515625" customWidth="1"/>
    <col min="17" max="17" width="30.28515625" bestFit="1" customWidth="1"/>
  </cols>
  <sheetData>
    <row r="1" spans="1:24" x14ac:dyDescent="0.25">
      <c r="A1" s="5"/>
      <c r="B1" s="5"/>
      <c r="C1" s="5"/>
      <c r="D1" s="5"/>
      <c r="E1" s="5"/>
      <c r="F1" s="5"/>
      <c r="G1" s="5"/>
      <c r="H1" s="5"/>
      <c r="I1" s="5"/>
      <c r="J1" s="5"/>
      <c r="K1" s="5"/>
      <c r="L1" s="5"/>
      <c r="M1" s="5"/>
      <c r="N1" s="5"/>
      <c r="O1" s="5"/>
      <c r="P1" s="5"/>
      <c r="Q1" s="5"/>
      <c r="R1" s="5"/>
      <c r="S1" s="5"/>
      <c r="T1" s="5"/>
      <c r="U1" s="5"/>
      <c r="V1" s="5"/>
      <c r="W1" s="5"/>
      <c r="X1" s="5"/>
    </row>
    <row r="2" spans="1:24" x14ac:dyDescent="0.25">
      <c r="A2" s="5"/>
      <c r="B2" s="5"/>
      <c r="C2" s="5"/>
      <c r="D2" s="5"/>
      <c r="E2" s="5"/>
      <c r="F2" s="5"/>
      <c r="G2" s="5"/>
      <c r="H2" s="5"/>
      <c r="I2" s="5"/>
      <c r="J2" s="5"/>
      <c r="K2" s="5"/>
      <c r="L2" s="5"/>
      <c r="M2" s="5"/>
      <c r="N2" s="5"/>
      <c r="O2" s="5"/>
      <c r="P2" s="5"/>
      <c r="Q2" s="5"/>
      <c r="R2" s="5"/>
      <c r="S2" s="5"/>
      <c r="T2" s="5"/>
      <c r="U2" s="5"/>
      <c r="V2" s="5"/>
      <c r="W2" s="5"/>
      <c r="X2" s="5"/>
    </row>
    <row r="3" spans="1:24" x14ac:dyDescent="0.25">
      <c r="A3" s="5"/>
      <c r="B3" s="5"/>
      <c r="C3" s="5"/>
      <c r="D3" s="5"/>
      <c r="E3" s="5"/>
      <c r="F3" s="5"/>
      <c r="G3" s="5"/>
      <c r="H3" s="5"/>
      <c r="I3" s="5"/>
      <c r="J3" s="5"/>
      <c r="K3" s="5"/>
      <c r="L3" s="5"/>
      <c r="M3" s="5"/>
      <c r="N3" s="5"/>
      <c r="O3" s="5"/>
      <c r="P3" s="5"/>
      <c r="Q3" s="5"/>
      <c r="R3" s="5"/>
      <c r="S3" s="5"/>
      <c r="T3" s="5"/>
      <c r="U3" s="5"/>
      <c r="V3" s="5"/>
      <c r="W3" s="5"/>
      <c r="X3" s="5"/>
    </row>
    <row r="4" spans="1:24" x14ac:dyDescent="0.25">
      <c r="A4" s="5"/>
      <c r="B4" s="5"/>
      <c r="C4" s="5"/>
      <c r="D4" s="5"/>
      <c r="E4" s="5"/>
      <c r="F4" s="5"/>
      <c r="G4" s="5"/>
      <c r="H4" s="5"/>
      <c r="I4" s="5"/>
      <c r="J4" s="5"/>
      <c r="K4" s="5"/>
      <c r="L4" s="5"/>
      <c r="M4" s="5"/>
      <c r="N4" s="5"/>
      <c r="O4" s="5"/>
      <c r="P4" s="5"/>
      <c r="Q4" s="5"/>
      <c r="R4" s="5"/>
      <c r="S4" s="5"/>
      <c r="T4" s="5"/>
      <c r="U4" s="5"/>
      <c r="V4" s="5"/>
      <c r="W4" s="5"/>
      <c r="X4" s="5"/>
    </row>
    <row r="5" spans="1:24" x14ac:dyDescent="0.25">
      <c r="A5" s="5"/>
      <c r="B5" s="5"/>
      <c r="C5" s="5"/>
      <c r="D5" s="5"/>
      <c r="E5" s="5"/>
      <c r="F5" s="5"/>
      <c r="G5" s="5"/>
      <c r="H5" s="5"/>
      <c r="I5" s="5"/>
      <c r="J5" s="5"/>
      <c r="K5" s="5"/>
      <c r="L5" s="5"/>
      <c r="M5" s="5"/>
      <c r="N5" s="5"/>
      <c r="O5" s="5"/>
      <c r="P5" s="5"/>
      <c r="Q5" s="5"/>
      <c r="R5" s="5"/>
      <c r="S5" s="5"/>
      <c r="T5" s="5"/>
      <c r="U5" s="5"/>
      <c r="V5" s="5"/>
      <c r="W5" s="5"/>
      <c r="X5" s="5"/>
    </row>
    <row r="6" spans="1:24" ht="23.25" x14ac:dyDescent="0.35">
      <c r="A6" s="9" t="s">
        <v>2038</v>
      </c>
      <c r="B6" s="5"/>
      <c r="C6" s="5"/>
      <c r="D6" s="9" t="s">
        <v>2039</v>
      </c>
      <c r="E6" s="5"/>
      <c r="F6" s="5"/>
      <c r="G6" s="5"/>
      <c r="H6" s="5"/>
      <c r="I6" s="5"/>
      <c r="J6" s="5"/>
      <c r="K6" s="5"/>
      <c r="L6" s="5"/>
      <c r="M6" s="5"/>
      <c r="N6" s="5"/>
      <c r="O6" s="5"/>
      <c r="P6" s="5"/>
      <c r="Q6" s="7"/>
      <c r="R6" s="5"/>
      <c r="S6" s="5"/>
      <c r="T6" s="5"/>
      <c r="U6" s="5"/>
      <c r="V6" s="5"/>
      <c r="W6" s="5"/>
      <c r="X6" s="5"/>
    </row>
    <row r="7" spans="1:24" ht="23.25" x14ac:dyDescent="0.35">
      <c r="A7" s="8">
        <v>68636250</v>
      </c>
      <c r="B7" s="5"/>
      <c r="C7" s="5"/>
      <c r="D7" s="6">
        <v>2.9625000000000021</v>
      </c>
      <c r="E7" s="5"/>
      <c r="F7" s="5"/>
      <c r="G7" s="5"/>
      <c r="H7" s="5"/>
      <c r="I7" s="5"/>
      <c r="J7" s="5"/>
      <c r="K7" s="5"/>
      <c r="L7" s="5"/>
      <c r="M7" s="5"/>
      <c r="N7" s="5"/>
      <c r="O7" s="5"/>
      <c r="P7" s="5"/>
      <c r="Q7" s="7"/>
      <c r="R7" s="5"/>
      <c r="S7" s="5"/>
      <c r="T7" s="5"/>
      <c r="U7" s="5"/>
      <c r="V7" s="5"/>
      <c r="W7" s="5"/>
      <c r="X7" s="5"/>
    </row>
    <row r="8" spans="1:24" x14ac:dyDescent="0.25">
      <c r="A8" s="5"/>
      <c r="B8" s="5"/>
      <c r="C8" s="5"/>
      <c r="D8" s="5"/>
      <c r="E8" s="5"/>
      <c r="F8" s="5"/>
      <c r="G8" s="5"/>
      <c r="H8" s="5"/>
      <c r="I8" s="5"/>
      <c r="J8" s="5"/>
      <c r="K8" s="5"/>
      <c r="L8" s="5"/>
      <c r="M8" s="5"/>
      <c r="N8" s="5"/>
      <c r="O8" s="5"/>
      <c r="P8" s="5"/>
      <c r="Q8" s="5"/>
      <c r="R8" s="5"/>
      <c r="S8" s="5"/>
      <c r="T8" s="5"/>
      <c r="U8" s="5"/>
      <c r="V8" s="5"/>
      <c r="W8" s="5"/>
      <c r="X8" s="5"/>
    </row>
    <row r="9" spans="1:24" x14ac:dyDescent="0.25">
      <c r="A9" s="5"/>
      <c r="B9" s="5"/>
      <c r="C9" s="5"/>
      <c r="D9" s="5"/>
      <c r="E9" s="5"/>
      <c r="F9" s="5"/>
      <c r="G9" s="5"/>
      <c r="H9" s="5"/>
      <c r="I9" s="5"/>
      <c r="J9" s="5"/>
      <c r="K9" s="5"/>
      <c r="L9" s="5"/>
      <c r="M9" s="5"/>
      <c r="N9" s="5"/>
      <c r="O9" s="5"/>
      <c r="P9" s="5"/>
      <c r="Q9" s="5"/>
      <c r="R9" s="5"/>
      <c r="S9" s="5"/>
      <c r="T9" s="5"/>
      <c r="U9" s="5"/>
      <c r="V9" s="5"/>
      <c r="W9" s="5"/>
      <c r="X9" s="5"/>
    </row>
    <row r="10" spans="1:24" ht="26.25" x14ac:dyDescent="0.4">
      <c r="A10" s="10" t="s">
        <v>2040</v>
      </c>
      <c r="B10" s="5"/>
      <c r="C10" s="5"/>
      <c r="D10" s="5"/>
      <c r="E10" s="5"/>
      <c r="F10" s="5"/>
      <c r="G10" s="5"/>
      <c r="H10" s="5"/>
      <c r="I10" s="5"/>
      <c r="J10" s="5"/>
      <c r="K10" s="5"/>
      <c r="L10" s="5"/>
      <c r="M10" s="5"/>
      <c r="N10" s="5"/>
      <c r="O10" s="5"/>
      <c r="P10" s="5"/>
      <c r="Q10" s="5"/>
      <c r="R10" s="5"/>
      <c r="S10" s="5"/>
      <c r="T10" s="5"/>
      <c r="U10" s="5"/>
      <c r="V10" s="5"/>
      <c r="W10" s="5"/>
      <c r="X10" s="5"/>
    </row>
    <row r="11" spans="1:24" ht="23.25" x14ac:dyDescent="0.35">
      <c r="A11" s="6">
        <v>1000</v>
      </c>
      <c r="B11" s="5"/>
      <c r="C11" s="5"/>
      <c r="D11" s="5"/>
      <c r="E11" s="5"/>
      <c r="F11" s="5"/>
      <c r="G11" s="5"/>
      <c r="H11" s="5"/>
      <c r="I11" s="5"/>
      <c r="J11" s="5"/>
      <c r="K11" s="5"/>
      <c r="L11" s="5"/>
      <c r="M11" s="5"/>
      <c r="N11" s="5"/>
      <c r="O11" s="5"/>
      <c r="P11" s="5"/>
      <c r="Q11" s="5"/>
      <c r="R11" s="5"/>
      <c r="S11" s="5"/>
      <c r="T11" s="5"/>
      <c r="U11" s="5"/>
      <c r="V11" s="5"/>
      <c r="W11" s="5"/>
      <c r="X11" s="5"/>
    </row>
    <row r="12" spans="1:24" x14ac:dyDescent="0.25">
      <c r="A12" s="5"/>
      <c r="B12" s="5"/>
      <c r="C12" s="5"/>
      <c r="D12" s="5"/>
      <c r="E12" s="5"/>
      <c r="F12" s="5"/>
      <c r="G12" s="5"/>
      <c r="H12" s="5"/>
      <c r="I12" s="5"/>
      <c r="J12" s="5"/>
      <c r="K12" s="5"/>
      <c r="L12" s="5"/>
      <c r="M12" s="5"/>
      <c r="N12" s="5"/>
      <c r="O12" s="5"/>
      <c r="P12" s="5"/>
      <c r="Q12" s="5"/>
      <c r="R12" s="5"/>
      <c r="S12" s="5"/>
      <c r="T12" s="5"/>
      <c r="U12" s="5"/>
      <c r="V12" s="5"/>
      <c r="W12" s="5"/>
      <c r="X12" s="5"/>
    </row>
    <row r="13" spans="1:24" x14ac:dyDescent="0.25">
      <c r="A13" s="5"/>
      <c r="B13" s="5"/>
      <c r="C13" s="5"/>
      <c r="D13" s="5"/>
      <c r="E13" s="5"/>
      <c r="F13" s="5"/>
      <c r="G13" s="5"/>
      <c r="H13" s="5"/>
      <c r="I13" s="5"/>
      <c r="J13" s="5"/>
      <c r="K13" s="5"/>
      <c r="L13" s="5"/>
      <c r="M13" s="5"/>
      <c r="N13" s="5"/>
      <c r="O13" s="5"/>
      <c r="P13" s="5"/>
      <c r="Q13" s="5"/>
      <c r="R13" s="5"/>
      <c r="S13" s="5"/>
      <c r="T13" s="5"/>
      <c r="U13" s="5"/>
      <c r="V13" s="5"/>
      <c r="W13" s="5"/>
      <c r="X13" s="5"/>
    </row>
    <row r="14" spans="1:24" x14ac:dyDescent="0.25">
      <c r="A14" s="5"/>
      <c r="B14" s="5"/>
      <c r="C14" s="5"/>
      <c r="D14" s="5"/>
      <c r="E14" s="5"/>
      <c r="F14" s="5"/>
      <c r="G14" s="5"/>
      <c r="H14" s="5"/>
      <c r="I14" s="5"/>
      <c r="J14" s="5"/>
      <c r="K14" s="5"/>
      <c r="L14" s="5"/>
      <c r="M14" s="5"/>
      <c r="N14" s="5"/>
      <c r="O14" s="5"/>
      <c r="P14" s="5"/>
      <c r="Q14" s="5"/>
      <c r="R14" s="5"/>
      <c r="S14" s="5"/>
      <c r="T14" s="5"/>
      <c r="U14" s="5"/>
      <c r="V14" s="5"/>
      <c r="W14" s="5"/>
      <c r="X14" s="5"/>
    </row>
    <row r="15" spans="1:24" x14ac:dyDescent="0.25">
      <c r="A15" s="5"/>
      <c r="B15" s="5"/>
      <c r="C15" s="5"/>
      <c r="D15" s="5"/>
      <c r="E15" s="5"/>
      <c r="F15" s="5"/>
      <c r="G15" s="5"/>
      <c r="H15" s="5"/>
      <c r="I15" s="5"/>
      <c r="J15" s="5"/>
      <c r="K15" s="5"/>
      <c r="L15" s="5"/>
      <c r="M15" s="5"/>
      <c r="N15" s="5"/>
      <c r="O15" s="5"/>
      <c r="P15" s="5"/>
      <c r="Q15" s="5"/>
      <c r="R15" s="5"/>
      <c r="S15" s="5"/>
      <c r="T15" s="5"/>
      <c r="U15" s="5"/>
      <c r="V15" s="5"/>
      <c r="W15" s="5"/>
      <c r="X15" s="5"/>
    </row>
    <row r="16" spans="1:24" x14ac:dyDescent="0.25">
      <c r="A16" s="5"/>
      <c r="B16" s="5"/>
      <c r="C16" s="5"/>
      <c r="D16" s="5"/>
      <c r="E16" s="5"/>
      <c r="F16" s="5"/>
      <c r="G16" s="5"/>
      <c r="H16" s="5"/>
      <c r="I16" s="5"/>
      <c r="J16" s="5"/>
      <c r="K16" s="5"/>
      <c r="L16" s="5"/>
      <c r="M16" s="5"/>
      <c r="N16" s="5"/>
      <c r="O16" s="5"/>
      <c r="P16" s="5"/>
      <c r="Q16" s="5"/>
      <c r="R16" s="5"/>
      <c r="S16" s="5"/>
      <c r="T16" s="5"/>
      <c r="U16" s="5"/>
      <c r="V16" s="5"/>
      <c r="W16" s="5"/>
      <c r="X16" s="5"/>
    </row>
    <row r="17" spans="1:24" x14ac:dyDescent="0.25">
      <c r="A17" s="5"/>
      <c r="B17" s="5"/>
      <c r="C17" s="5"/>
      <c r="D17" s="5"/>
      <c r="E17" s="5"/>
      <c r="F17" s="5"/>
      <c r="G17" s="5"/>
      <c r="H17" s="5"/>
      <c r="I17" s="5"/>
      <c r="J17" s="5"/>
      <c r="K17" s="5"/>
      <c r="L17" s="5"/>
      <c r="M17" s="5"/>
      <c r="N17" s="5"/>
      <c r="O17" s="5"/>
      <c r="P17" s="5"/>
      <c r="Q17" s="5"/>
      <c r="R17" s="5"/>
      <c r="S17" s="5"/>
      <c r="T17" s="5"/>
      <c r="U17" s="5"/>
      <c r="V17" s="5"/>
      <c r="W17" s="5"/>
      <c r="X17" s="5"/>
    </row>
    <row r="18" spans="1:24" x14ac:dyDescent="0.25">
      <c r="A18" s="5"/>
      <c r="B18" s="5"/>
      <c r="C18" s="5"/>
      <c r="D18" s="5"/>
      <c r="E18" s="5"/>
      <c r="F18" s="5"/>
      <c r="G18" s="5"/>
      <c r="H18" s="5"/>
      <c r="I18" s="5"/>
      <c r="J18" s="5"/>
      <c r="K18" s="5"/>
      <c r="L18" s="5"/>
      <c r="M18" s="5"/>
      <c r="N18" s="5"/>
      <c r="O18" s="5"/>
      <c r="P18" s="5"/>
      <c r="Q18" s="5"/>
      <c r="R18" s="5"/>
      <c r="S18" s="5"/>
      <c r="T18" s="5"/>
      <c r="U18" s="5"/>
      <c r="V18" s="5"/>
      <c r="W18" s="5"/>
      <c r="X18" s="5"/>
    </row>
    <row r="19" spans="1:24" x14ac:dyDescent="0.25">
      <c r="A19" s="5"/>
      <c r="B19" s="5"/>
      <c r="C19" s="5"/>
      <c r="D19" s="5"/>
      <c r="E19" s="5"/>
      <c r="F19" s="5"/>
      <c r="G19" s="5"/>
      <c r="H19" s="5"/>
      <c r="I19" s="5"/>
      <c r="J19" s="5"/>
      <c r="K19" s="5"/>
      <c r="L19" s="5"/>
      <c r="M19" s="5"/>
      <c r="N19" s="5"/>
      <c r="O19" s="5"/>
      <c r="P19" s="5"/>
      <c r="Q19" s="5"/>
      <c r="R19" s="5"/>
      <c r="S19" s="5"/>
      <c r="T19" s="5"/>
      <c r="U19" s="5"/>
      <c r="V19" s="5"/>
      <c r="W19" s="5"/>
      <c r="X19" s="5"/>
    </row>
    <row r="20" spans="1:24" x14ac:dyDescent="0.25">
      <c r="A20" s="5"/>
      <c r="B20" s="5"/>
      <c r="C20" s="5"/>
      <c r="D20" s="5"/>
      <c r="E20" s="5"/>
      <c r="F20" s="5"/>
      <c r="G20" s="5"/>
      <c r="H20" s="5"/>
      <c r="I20" s="5"/>
      <c r="J20" s="5"/>
      <c r="K20" s="5"/>
      <c r="L20" s="5"/>
      <c r="M20" s="5"/>
      <c r="N20" s="5"/>
      <c r="O20" s="5"/>
      <c r="P20" s="5"/>
      <c r="Q20" s="5"/>
      <c r="R20" s="5"/>
      <c r="S20" s="5"/>
      <c r="T20" s="5"/>
      <c r="U20" s="5"/>
      <c r="V20" s="5"/>
      <c r="W20" s="5"/>
      <c r="X20" s="5"/>
    </row>
    <row r="21" spans="1:24" x14ac:dyDescent="0.25">
      <c r="A21" s="5"/>
      <c r="B21" s="5"/>
      <c r="C21" s="5"/>
      <c r="D21" s="5"/>
      <c r="E21" s="5"/>
      <c r="F21" s="5"/>
      <c r="G21" s="5"/>
      <c r="H21" s="5"/>
      <c r="I21" s="5"/>
      <c r="J21" s="5"/>
      <c r="K21" s="5"/>
      <c r="L21" s="5"/>
      <c r="M21" s="5"/>
      <c r="N21" s="5"/>
      <c r="O21" s="5"/>
      <c r="P21" s="5"/>
      <c r="Q21" s="5"/>
      <c r="R21" s="5"/>
      <c r="S21" s="5"/>
      <c r="T21" s="5"/>
      <c r="U21" s="5"/>
      <c r="V21" s="5"/>
      <c r="W21" s="5"/>
      <c r="X21" s="5"/>
    </row>
    <row r="22" spans="1:24" x14ac:dyDescent="0.25">
      <c r="A22" s="5"/>
      <c r="B22" s="5"/>
      <c r="C22" s="5"/>
      <c r="D22" s="5"/>
      <c r="E22" s="5"/>
      <c r="F22" s="5"/>
      <c r="G22" s="5"/>
      <c r="H22" s="5"/>
      <c r="I22" s="5"/>
      <c r="J22" s="5"/>
      <c r="K22" s="5"/>
      <c r="L22" s="5"/>
      <c r="M22" s="5"/>
      <c r="N22" s="5"/>
      <c r="O22" s="5"/>
      <c r="P22" s="5"/>
      <c r="Q22" s="5"/>
      <c r="R22" s="5"/>
      <c r="S22" s="5"/>
      <c r="T22" s="5"/>
      <c r="U22" s="5"/>
      <c r="V22" s="5"/>
      <c r="W22" s="5"/>
      <c r="X22" s="5"/>
    </row>
    <row r="23" spans="1:24" x14ac:dyDescent="0.25">
      <c r="A23" s="5"/>
      <c r="B23" s="5"/>
      <c r="C23" s="5"/>
      <c r="D23" s="5"/>
      <c r="E23" s="5"/>
      <c r="F23" s="5"/>
      <c r="G23" s="5"/>
      <c r="H23" s="5"/>
      <c r="I23" s="5"/>
      <c r="J23" s="5"/>
      <c r="K23" s="5"/>
      <c r="L23" s="5"/>
      <c r="M23" s="5"/>
      <c r="N23" s="5"/>
      <c r="O23" s="5"/>
      <c r="P23" s="5"/>
      <c r="Q23" s="5"/>
      <c r="R23" s="5"/>
      <c r="S23" s="5"/>
      <c r="T23" s="5"/>
      <c r="U23" s="5"/>
      <c r="V23" s="5"/>
      <c r="W23" s="5"/>
      <c r="X23" s="5"/>
    </row>
    <row r="24" spans="1:24" x14ac:dyDescent="0.25">
      <c r="A24" s="5"/>
      <c r="B24" s="5"/>
      <c r="C24" s="5"/>
      <c r="D24" s="5"/>
      <c r="E24" s="5"/>
      <c r="F24" s="5"/>
      <c r="G24" s="5"/>
      <c r="H24" s="5"/>
      <c r="I24" s="5"/>
      <c r="J24" s="5"/>
      <c r="K24" s="5"/>
      <c r="L24" s="5"/>
      <c r="M24" s="5"/>
      <c r="N24" s="5"/>
      <c r="O24" s="5"/>
      <c r="P24" s="5"/>
      <c r="Q24" s="5"/>
      <c r="R24" s="5"/>
      <c r="S24" s="5"/>
      <c r="T24" s="5"/>
      <c r="U24" s="5"/>
      <c r="V24" s="5"/>
      <c r="W24" s="5"/>
      <c r="X24" s="5"/>
    </row>
    <row r="25" spans="1:24" x14ac:dyDescent="0.25">
      <c r="A25" s="5"/>
      <c r="B25" s="5"/>
      <c r="C25" s="5"/>
      <c r="D25" s="5"/>
      <c r="E25" s="5"/>
      <c r="F25" s="5"/>
      <c r="G25" s="5"/>
      <c r="H25" s="5"/>
      <c r="I25" s="5"/>
      <c r="J25" s="5"/>
      <c r="K25" s="5"/>
      <c r="L25" s="5"/>
      <c r="M25" s="5"/>
      <c r="N25" s="5"/>
      <c r="O25" s="5"/>
      <c r="P25" s="5"/>
      <c r="Q25" s="5"/>
      <c r="R25" s="5"/>
      <c r="S25" s="5"/>
      <c r="T25" s="5"/>
      <c r="U25" s="5"/>
      <c r="V25" s="5"/>
      <c r="W25" s="5"/>
      <c r="X25" s="5"/>
    </row>
    <row r="26" spans="1:24" x14ac:dyDescent="0.25">
      <c r="A26" s="5"/>
      <c r="B26" s="5"/>
      <c r="C26" s="5"/>
      <c r="D26" s="5"/>
      <c r="E26" s="5"/>
      <c r="F26" s="5"/>
      <c r="G26" s="5"/>
      <c r="H26" s="5"/>
      <c r="I26" s="5"/>
      <c r="J26" s="5"/>
      <c r="K26" s="5"/>
      <c r="L26" s="5"/>
      <c r="M26" s="5"/>
      <c r="N26" s="5"/>
      <c r="O26" s="5"/>
      <c r="P26" s="5"/>
      <c r="Q26" s="5"/>
      <c r="R26" s="5"/>
      <c r="S26" s="5"/>
      <c r="T26" s="5"/>
      <c r="U26" s="5"/>
      <c r="V26" s="5"/>
      <c r="W26" s="5"/>
      <c r="X26" s="5"/>
    </row>
    <row r="27" spans="1:24" x14ac:dyDescent="0.25">
      <c r="A27" s="5"/>
      <c r="B27" s="5"/>
      <c r="C27" s="5"/>
      <c r="D27" s="5"/>
      <c r="E27" s="5"/>
      <c r="F27" s="5"/>
      <c r="G27" s="5"/>
      <c r="H27" s="5"/>
      <c r="I27" s="5"/>
      <c r="J27" s="5"/>
      <c r="K27" s="5"/>
      <c r="L27" s="5"/>
      <c r="M27" s="5"/>
      <c r="N27" s="5"/>
      <c r="O27" s="5"/>
      <c r="P27" s="5"/>
      <c r="Q27" s="5"/>
      <c r="R27" s="5"/>
      <c r="S27" s="5"/>
      <c r="T27" s="5"/>
      <c r="U27" s="5"/>
      <c r="V27" s="5"/>
      <c r="W27" s="5"/>
      <c r="X27" s="5"/>
    </row>
    <row r="28" spans="1:24" x14ac:dyDescent="0.25">
      <c r="A28" s="5"/>
      <c r="B28" s="5"/>
      <c r="C28" s="5"/>
      <c r="D28" s="5"/>
      <c r="E28" s="5"/>
      <c r="F28" s="5"/>
      <c r="G28" s="5"/>
      <c r="H28" s="5"/>
      <c r="I28" s="5"/>
      <c r="J28" s="5"/>
      <c r="K28" s="5"/>
      <c r="L28" s="5"/>
      <c r="M28" s="5"/>
      <c r="N28" s="5"/>
      <c r="O28" s="5"/>
      <c r="P28" s="5"/>
      <c r="Q28" s="5"/>
      <c r="R28" s="5"/>
      <c r="S28" s="5"/>
      <c r="T28" s="5"/>
      <c r="U28" s="5"/>
      <c r="V28" s="5"/>
      <c r="W28" s="5"/>
      <c r="X28" s="5"/>
    </row>
    <row r="29" spans="1:24" x14ac:dyDescent="0.25">
      <c r="A29" s="5"/>
      <c r="B29" s="5"/>
      <c r="C29" s="5"/>
      <c r="D29" s="5"/>
      <c r="E29" s="5"/>
      <c r="F29" s="5"/>
      <c r="G29" s="5"/>
      <c r="H29" s="5"/>
      <c r="I29" s="5"/>
      <c r="J29" s="5"/>
      <c r="K29" s="5"/>
      <c r="L29" s="5"/>
      <c r="M29" s="5"/>
      <c r="N29" s="5"/>
      <c r="O29" s="5"/>
      <c r="P29" s="5"/>
      <c r="Q29" s="5"/>
      <c r="R29" s="5"/>
      <c r="S29" s="5"/>
      <c r="T29" s="5"/>
      <c r="U29" s="5"/>
      <c r="V29" s="5"/>
      <c r="W29" s="5"/>
      <c r="X29" s="5"/>
    </row>
    <row r="30" spans="1:24" x14ac:dyDescent="0.25">
      <c r="A30" s="5"/>
      <c r="B30" s="5"/>
      <c r="C30" s="5"/>
      <c r="D30" s="5"/>
      <c r="E30" s="5"/>
      <c r="F30" s="5"/>
      <c r="G30" s="5"/>
      <c r="H30" s="5"/>
      <c r="I30" s="5"/>
      <c r="J30" s="5"/>
      <c r="K30" s="5"/>
      <c r="L30" s="5"/>
      <c r="M30" s="5"/>
      <c r="N30" s="5"/>
      <c r="O30" s="5"/>
      <c r="P30" s="5"/>
      <c r="Q30" s="5"/>
      <c r="R30" s="5"/>
      <c r="S30" s="5"/>
      <c r="T30" s="5"/>
      <c r="U30" s="5"/>
      <c r="V30" s="5"/>
      <c r="W30" s="5"/>
      <c r="X30" s="5"/>
    </row>
    <row r="31" spans="1:24" x14ac:dyDescent="0.25">
      <c r="A31" s="5"/>
      <c r="B31" s="5"/>
      <c r="C31" s="5"/>
      <c r="D31" s="5"/>
      <c r="E31" s="5"/>
      <c r="F31" s="5"/>
      <c r="G31" s="5"/>
      <c r="H31" s="5"/>
      <c r="I31" s="5"/>
      <c r="J31" s="5"/>
      <c r="K31" s="5"/>
      <c r="L31" s="5"/>
      <c r="M31" s="5"/>
      <c r="N31" s="5"/>
      <c r="O31" s="5"/>
      <c r="P31" s="5"/>
      <c r="Q31" s="5"/>
      <c r="R31" s="5"/>
      <c r="S31" s="5"/>
      <c r="T31" s="5"/>
      <c r="U31" s="5"/>
      <c r="V31" s="5"/>
      <c r="W31" s="5"/>
      <c r="X31" s="5"/>
    </row>
    <row r="32" spans="1:24" x14ac:dyDescent="0.25">
      <c r="A32" s="5"/>
      <c r="B32" s="5"/>
      <c r="C32" s="5"/>
      <c r="D32" s="5"/>
      <c r="E32" s="5"/>
      <c r="F32" s="5"/>
      <c r="G32" s="5"/>
      <c r="H32" s="5"/>
      <c r="I32" s="5"/>
      <c r="J32" s="5"/>
      <c r="K32" s="5"/>
      <c r="L32" s="5"/>
      <c r="M32" s="5"/>
      <c r="N32" s="5"/>
      <c r="O32" s="5"/>
      <c r="P32" s="5"/>
      <c r="Q32" s="5"/>
      <c r="R32" s="5"/>
      <c r="S32" s="5"/>
      <c r="T32" s="5"/>
      <c r="U32" s="5"/>
      <c r="V32" s="5"/>
      <c r="W32" s="5"/>
      <c r="X32" s="5"/>
    </row>
    <row r="33" spans="1:24" x14ac:dyDescent="0.25">
      <c r="A33" s="5"/>
      <c r="B33" s="5"/>
      <c r="C33" s="5"/>
      <c r="D33" s="5"/>
      <c r="E33" s="5"/>
      <c r="F33" s="5"/>
      <c r="G33" s="5"/>
      <c r="H33" s="5"/>
      <c r="I33" s="5"/>
      <c r="J33" s="5"/>
      <c r="K33" s="5"/>
      <c r="L33" s="5"/>
      <c r="M33" s="5"/>
      <c r="N33" s="5"/>
      <c r="O33" s="5"/>
      <c r="P33" s="5"/>
      <c r="Q33" s="5"/>
      <c r="R33" s="5"/>
      <c r="S33" s="5"/>
      <c r="T33" s="5"/>
      <c r="U33" s="5"/>
      <c r="V33" s="5"/>
      <c r="W33" s="5"/>
      <c r="X33" s="5"/>
    </row>
    <row r="34" spans="1:24" x14ac:dyDescent="0.25">
      <c r="A34" s="5"/>
      <c r="B34" s="5"/>
      <c r="C34" s="5"/>
      <c r="D34" s="5"/>
      <c r="E34" s="5"/>
      <c r="F34" s="5"/>
      <c r="G34" s="5"/>
      <c r="H34" s="5"/>
      <c r="I34" s="5"/>
      <c r="J34" s="5"/>
      <c r="K34" s="5"/>
      <c r="L34" s="5"/>
      <c r="M34" s="5"/>
      <c r="N34" s="5"/>
      <c r="O34" s="5"/>
      <c r="P34" s="5"/>
      <c r="Q34" s="5"/>
      <c r="R34" s="5"/>
      <c r="S34" s="5"/>
      <c r="T34" s="5"/>
      <c r="U34" s="5"/>
      <c r="V34" s="5"/>
      <c r="W34" s="5"/>
      <c r="X34" s="5"/>
    </row>
    <row r="35" spans="1:24" x14ac:dyDescent="0.25">
      <c r="A35" s="5"/>
      <c r="B35" s="5"/>
      <c r="C35" s="5"/>
      <c r="D35" s="5"/>
      <c r="E35" s="5"/>
      <c r="F35" s="5"/>
      <c r="G35" s="5"/>
      <c r="H35" s="5"/>
      <c r="I35" s="5"/>
      <c r="J35" s="5"/>
      <c r="K35" s="5"/>
      <c r="L35" s="5"/>
      <c r="M35" s="5"/>
      <c r="N35" s="5"/>
      <c r="O35" s="5"/>
      <c r="P35" s="5"/>
      <c r="Q35" s="5"/>
      <c r="R35" s="5"/>
      <c r="S35" s="5"/>
      <c r="T35" s="5"/>
      <c r="U35" s="5"/>
      <c r="V35" s="5"/>
      <c r="W35" s="5"/>
      <c r="X35" s="5"/>
    </row>
    <row r="36" spans="1:24" x14ac:dyDescent="0.25">
      <c r="A36" s="5"/>
      <c r="B36" s="5"/>
      <c r="C36" s="5"/>
      <c r="D36" s="5"/>
      <c r="E36" s="5"/>
      <c r="F36" s="5"/>
      <c r="G36" s="5"/>
      <c r="H36" s="5"/>
      <c r="I36" s="5"/>
      <c r="J36" s="5"/>
      <c r="K36" s="5"/>
      <c r="L36" s="5"/>
      <c r="M36" s="5"/>
      <c r="N36" s="5"/>
      <c r="O36" s="5"/>
      <c r="P36" s="5"/>
      <c r="Q36" s="5"/>
      <c r="R36" s="5"/>
      <c r="S36" s="5"/>
      <c r="T36" s="5"/>
      <c r="U36" s="5"/>
      <c r="V36" s="5"/>
      <c r="W36" s="5"/>
      <c r="X36" s="5"/>
    </row>
    <row r="37" spans="1:24" x14ac:dyDescent="0.25">
      <c r="A37" s="5"/>
      <c r="B37" s="5"/>
      <c r="C37" s="5"/>
      <c r="D37" s="5"/>
      <c r="E37" s="5"/>
      <c r="F37" s="5"/>
      <c r="G37" s="5"/>
      <c r="H37" s="5"/>
      <c r="I37" s="5"/>
      <c r="J37" s="5"/>
      <c r="K37" s="5"/>
      <c r="L37" s="5"/>
      <c r="M37" s="5"/>
      <c r="N37" s="5"/>
      <c r="O37" s="5"/>
      <c r="P37" s="5"/>
      <c r="Q37" s="5"/>
      <c r="R37" s="5"/>
      <c r="S37" s="5"/>
      <c r="T37" s="5"/>
      <c r="U37" s="5"/>
      <c r="V37" s="5"/>
      <c r="W37" s="5"/>
      <c r="X37" s="5"/>
    </row>
    <row r="38" spans="1:24" x14ac:dyDescent="0.25">
      <c r="A38" s="5"/>
      <c r="B38" s="5"/>
      <c r="C38" s="5"/>
      <c r="D38" s="5"/>
      <c r="E38" s="5"/>
      <c r="F38" s="5"/>
      <c r="G38" s="5"/>
      <c r="H38" s="5"/>
      <c r="I38" s="5"/>
      <c r="J38" s="5"/>
      <c r="K38" s="5"/>
      <c r="L38" s="5"/>
      <c r="M38" s="5"/>
      <c r="N38" s="5"/>
      <c r="O38" s="5"/>
      <c r="P38" s="5"/>
      <c r="Q38" s="5"/>
      <c r="R38" s="5"/>
      <c r="S38" s="5"/>
      <c r="T38" s="5"/>
      <c r="U38" s="5"/>
      <c r="V38" s="5"/>
      <c r="W38" s="5"/>
      <c r="X38" s="5"/>
    </row>
    <row r="39" spans="1:24" x14ac:dyDescent="0.25">
      <c r="A39" s="5"/>
      <c r="B39" s="5"/>
      <c r="C39" s="5"/>
      <c r="D39" s="5"/>
      <c r="E39" s="5"/>
      <c r="F39" s="5"/>
      <c r="G39" s="5"/>
      <c r="H39" s="5"/>
      <c r="I39" s="5"/>
      <c r="J39" s="5"/>
      <c r="K39" s="5"/>
      <c r="L39" s="5"/>
      <c r="M39" s="5"/>
      <c r="N39" s="5"/>
      <c r="O39" s="5"/>
      <c r="P39" s="5"/>
      <c r="Q39" s="5"/>
      <c r="R39" s="5"/>
      <c r="S39" s="5"/>
      <c r="T39" s="5"/>
      <c r="U39" s="5"/>
      <c r="V39" s="5"/>
      <c r="W39" s="5"/>
      <c r="X39" s="5"/>
    </row>
    <row r="40" spans="1:24" x14ac:dyDescent="0.25">
      <c r="A40" s="5"/>
      <c r="B40" s="5"/>
      <c r="C40" s="5"/>
      <c r="D40" s="5"/>
      <c r="E40" s="5"/>
      <c r="F40" s="5"/>
      <c r="G40" s="5"/>
      <c r="H40" s="5"/>
      <c r="I40" s="5"/>
      <c r="J40" s="5"/>
      <c r="K40" s="5"/>
      <c r="L40" s="5"/>
      <c r="M40" s="5"/>
      <c r="N40" s="5"/>
      <c r="O40" s="5"/>
      <c r="P40" s="5"/>
      <c r="Q40" s="5"/>
      <c r="R40" s="5"/>
      <c r="S40" s="5"/>
      <c r="T40" s="5"/>
      <c r="U40" s="5"/>
      <c r="V40" s="5"/>
      <c r="W40" s="5"/>
      <c r="X40" s="5"/>
    </row>
    <row r="41" spans="1:24" x14ac:dyDescent="0.25">
      <c r="A41" s="5"/>
      <c r="B41" s="5"/>
      <c r="C41" s="5"/>
      <c r="D41" s="5"/>
      <c r="E41" s="5"/>
      <c r="F41" s="5"/>
      <c r="G41" s="5"/>
      <c r="H41" s="5"/>
      <c r="I41" s="5"/>
      <c r="J41" s="5"/>
      <c r="K41" s="5"/>
      <c r="L41" s="5"/>
      <c r="M41" s="5"/>
      <c r="N41" s="5"/>
      <c r="O41" s="5"/>
      <c r="P41" s="5"/>
      <c r="Q41" s="5"/>
      <c r="R41" s="5"/>
      <c r="S41" s="5"/>
      <c r="T41" s="5"/>
      <c r="U41" s="5"/>
      <c r="V41" s="5"/>
      <c r="W41" s="5"/>
      <c r="X41" s="5"/>
    </row>
    <row r="42" spans="1:24" x14ac:dyDescent="0.25">
      <c r="A42" s="5"/>
      <c r="B42" s="5"/>
      <c r="C42" s="5"/>
      <c r="D42" s="5"/>
      <c r="E42" s="5"/>
      <c r="F42" s="5"/>
      <c r="G42" s="5"/>
      <c r="H42" s="5"/>
      <c r="I42" s="5"/>
      <c r="J42" s="5"/>
      <c r="K42" s="5"/>
      <c r="L42" s="5"/>
      <c r="M42" s="5"/>
      <c r="N42" s="5"/>
      <c r="O42" s="5"/>
      <c r="P42" s="5"/>
      <c r="Q42" s="5"/>
      <c r="R42" s="5"/>
      <c r="S42" s="5"/>
      <c r="T42" s="5"/>
      <c r="U42" s="5"/>
      <c r="V42" s="5"/>
      <c r="W42" s="5"/>
      <c r="X42" s="5"/>
    </row>
    <row r="43" spans="1:24" x14ac:dyDescent="0.25">
      <c r="A43" s="5"/>
      <c r="B43" s="5"/>
      <c r="C43" s="5"/>
      <c r="D43" s="5"/>
      <c r="E43" s="5"/>
      <c r="F43" s="5"/>
      <c r="G43" s="5"/>
      <c r="H43" s="5"/>
      <c r="I43" s="5"/>
      <c r="J43" s="5"/>
      <c r="K43" s="5"/>
      <c r="L43" s="5"/>
      <c r="M43" s="5"/>
      <c r="N43" s="5"/>
      <c r="O43" s="5"/>
      <c r="P43" s="5"/>
      <c r="Q43" s="5"/>
      <c r="R43" s="5"/>
      <c r="S43" s="5"/>
      <c r="T43" s="5"/>
      <c r="U43" s="5"/>
      <c r="V43" s="5"/>
      <c r="W43" s="5"/>
      <c r="X43" s="5"/>
    </row>
    <row r="44" spans="1:24" x14ac:dyDescent="0.25">
      <c r="A44" s="5"/>
      <c r="B44" s="5"/>
      <c r="C44" s="5"/>
      <c r="D44" s="5"/>
      <c r="E44" s="5"/>
      <c r="F44" s="5"/>
      <c r="G44" s="5"/>
      <c r="H44" s="5"/>
      <c r="I44" s="5"/>
      <c r="J44" s="5"/>
      <c r="K44" s="5"/>
      <c r="L44" s="5"/>
      <c r="M44" s="5"/>
      <c r="N44" s="5"/>
      <c r="O44" s="5"/>
      <c r="P44" s="5"/>
      <c r="Q44" s="5"/>
      <c r="R44" s="5"/>
      <c r="S44" s="5"/>
      <c r="T44" s="5"/>
      <c r="U44" s="5"/>
      <c r="V44" s="5"/>
      <c r="W44" s="5"/>
      <c r="X44" s="5"/>
    </row>
    <row r="45" spans="1:24" x14ac:dyDescent="0.25">
      <c r="A45" s="5"/>
      <c r="B45" s="5"/>
      <c r="C45" s="5"/>
      <c r="D45" s="5"/>
      <c r="E45" s="5"/>
      <c r="F45" s="5"/>
      <c r="G45" s="5"/>
      <c r="H45" s="5"/>
      <c r="I45" s="5"/>
      <c r="J45" s="5"/>
      <c r="K45" s="5"/>
      <c r="L45" s="5"/>
      <c r="M45" s="5"/>
      <c r="N45" s="5"/>
      <c r="O45" s="5"/>
      <c r="P45" s="5"/>
      <c r="Q45" s="5"/>
      <c r="R45" s="5"/>
      <c r="S45" s="5"/>
      <c r="T45" s="5"/>
      <c r="U45" s="5"/>
      <c r="V45" s="5"/>
      <c r="W45" s="5"/>
      <c r="X45" s="5"/>
    </row>
    <row r="46" spans="1:24" x14ac:dyDescent="0.25">
      <c r="A46" s="5"/>
      <c r="B46" s="5"/>
      <c r="C46" s="5"/>
      <c r="D46" s="5"/>
      <c r="E46" s="5"/>
      <c r="F46" s="5"/>
      <c r="G46" s="5"/>
      <c r="H46" s="5"/>
      <c r="I46" s="5"/>
      <c r="J46" s="5"/>
      <c r="K46" s="5"/>
      <c r="L46" s="5"/>
      <c r="M46" s="5"/>
      <c r="N46" s="5"/>
      <c r="O46" s="5"/>
      <c r="P46" s="5"/>
      <c r="Q46" s="5"/>
      <c r="R46" s="5"/>
      <c r="S46" s="5"/>
      <c r="T46" s="5"/>
      <c r="U46" s="5"/>
      <c r="V46" s="5"/>
      <c r="W46" s="5"/>
      <c r="X46" s="5"/>
    </row>
    <row r="47" spans="1:24" x14ac:dyDescent="0.25">
      <c r="A47" s="5"/>
      <c r="B47" s="5"/>
      <c r="C47" s="5"/>
      <c r="D47" s="5"/>
      <c r="E47" s="5"/>
      <c r="F47" s="5"/>
      <c r="G47" s="5"/>
      <c r="H47" s="5"/>
      <c r="I47" s="5"/>
      <c r="J47" s="5"/>
      <c r="K47" s="5"/>
      <c r="L47" s="5"/>
      <c r="M47" s="5"/>
      <c r="N47" s="5"/>
      <c r="O47" s="5"/>
      <c r="P47" s="5"/>
      <c r="Q47" s="5"/>
      <c r="R47" s="5"/>
      <c r="S47" s="5"/>
      <c r="T47" s="5"/>
      <c r="U47" s="5"/>
      <c r="V47" s="5"/>
      <c r="W47" s="5"/>
      <c r="X47" s="5"/>
    </row>
    <row r="48" spans="1:24" x14ac:dyDescent="0.25">
      <c r="A48" s="5"/>
      <c r="B48" s="5"/>
      <c r="C48" s="5"/>
      <c r="D48" s="5"/>
      <c r="E48" s="5"/>
      <c r="F48" s="5"/>
      <c r="G48" s="5"/>
      <c r="H48" s="5"/>
      <c r="I48" s="5"/>
      <c r="J48" s="5"/>
      <c r="K48" s="5"/>
      <c r="L48" s="5"/>
      <c r="M48" s="5"/>
      <c r="N48" s="5"/>
      <c r="O48" s="5"/>
      <c r="P48" s="5"/>
      <c r="Q48" s="5"/>
      <c r="R48" s="5"/>
      <c r="S48" s="5"/>
      <c r="T48" s="5"/>
      <c r="U48" s="5"/>
      <c r="V48" s="5"/>
      <c r="W48" s="5"/>
      <c r="X48" s="5"/>
    </row>
    <row r="49" spans="1:24" x14ac:dyDescent="0.25">
      <c r="A49" s="5"/>
      <c r="B49" s="5"/>
      <c r="C49" s="5"/>
      <c r="D49" s="5"/>
      <c r="E49" s="5"/>
      <c r="F49" s="5"/>
      <c r="G49" s="5"/>
      <c r="H49" s="5"/>
      <c r="I49" s="5"/>
      <c r="J49" s="5"/>
      <c r="K49" s="5"/>
      <c r="L49" s="5"/>
      <c r="M49" s="5"/>
      <c r="N49" s="5"/>
      <c r="O49" s="5"/>
      <c r="P49" s="5"/>
      <c r="Q49" s="5"/>
      <c r="R49" s="5"/>
      <c r="S49" s="5"/>
      <c r="T49" s="5"/>
      <c r="U49" s="5"/>
      <c r="V49" s="5"/>
      <c r="W49" s="5"/>
      <c r="X49" s="5"/>
    </row>
    <row r="50" spans="1:24" x14ac:dyDescent="0.25">
      <c r="A50" s="5"/>
      <c r="B50" s="5"/>
      <c r="C50" s="5"/>
      <c r="D50" s="5"/>
      <c r="E50" s="5"/>
      <c r="F50" s="5"/>
      <c r="G50" s="5"/>
      <c r="H50" s="5"/>
      <c r="I50" s="5"/>
      <c r="J50" s="5"/>
      <c r="K50" s="5"/>
      <c r="L50" s="5"/>
      <c r="M50" s="5"/>
      <c r="N50" s="5"/>
      <c r="O50" s="5"/>
      <c r="P50" s="5"/>
      <c r="Q50" s="5"/>
      <c r="R50" s="5"/>
      <c r="S50" s="5"/>
      <c r="T50" s="5"/>
      <c r="U50" s="5"/>
      <c r="V50" s="5"/>
      <c r="W50" s="5"/>
      <c r="X50" s="5"/>
    </row>
    <row r="51" spans="1:24" x14ac:dyDescent="0.25">
      <c r="A51" s="5"/>
      <c r="B51" s="5"/>
      <c r="C51" s="5"/>
      <c r="D51" s="5"/>
      <c r="E51" s="5"/>
      <c r="F51" s="5"/>
      <c r="G51" s="5"/>
      <c r="H51" s="5"/>
      <c r="I51" s="5"/>
      <c r="J51" s="5"/>
      <c r="K51" s="5"/>
      <c r="L51" s="5"/>
      <c r="M51" s="5"/>
      <c r="N51" s="5"/>
      <c r="O51" s="5"/>
      <c r="P51" s="5"/>
      <c r="Q51" s="5"/>
      <c r="R51" s="5"/>
      <c r="S51" s="5"/>
      <c r="T51" s="5"/>
      <c r="U51" s="5"/>
      <c r="V51" s="5"/>
      <c r="W51" s="5"/>
      <c r="X51" s="5"/>
    </row>
    <row r="52" spans="1:24" x14ac:dyDescent="0.25">
      <c r="A52" s="5"/>
      <c r="B52" s="5"/>
      <c r="C52" s="5"/>
      <c r="D52" s="5"/>
      <c r="E52" s="5"/>
      <c r="F52" s="5"/>
      <c r="G52" s="5"/>
      <c r="H52" s="5"/>
      <c r="I52" s="5"/>
      <c r="J52" s="5"/>
      <c r="K52" s="5"/>
      <c r="L52" s="5"/>
      <c r="M52" s="5"/>
      <c r="N52" s="5"/>
      <c r="O52" s="5"/>
      <c r="P52" s="5"/>
      <c r="Q52" s="5"/>
      <c r="R52" s="5"/>
      <c r="S52" s="5"/>
      <c r="T52" s="5"/>
      <c r="U52" s="5"/>
      <c r="V52" s="5"/>
      <c r="W52" s="5"/>
      <c r="X52" s="5"/>
    </row>
    <row r="53" spans="1:24" x14ac:dyDescent="0.25">
      <c r="A53" s="5"/>
      <c r="B53" s="5"/>
      <c r="C53" s="5"/>
      <c r="D53" s="5"/>
      <c r="E53" s="5"/>
      <c r="F53" s="5"/>
      <c r="G53" s="5"/>
      <c r="H53" s="5"/>
      <c r="I53" s="5"/>
      <c r="J53" s="5"/>
      <c r="K53" s="5"/>
      <c r="L53" s="5"/>
      <c r="M53" s="5"/>
      <c r="N53" s="5"/>
      <c r="O53" s="5"/>
      <c r="P53" s="5"/>
      <c r="Q53" s="5"/>
      <c r="R53" s="5"/>
      <c r="S53" s="5"/>
      <c r="T53" s="5"/>
      <c r="U53" s="5"/>
      <c r="V53" s="5"/>
      <c r="W53" s="5"/>
      <c r="X53" s="5"/>
    </row>
    <row r="54" spans="1:24" x14ac:dyDescent="0.25">
      <c r="A54" s="5"/>
      <c r="B54" s="5"/>
      <c r="C54" s="5"/>
      <c r="D54" s="5"/>
      <c r="E54" s="5"/>
      <c r="F54" s="5"/>
      <c r="G54" s="5"/>
      <c r="H54" s="5"/>
      <c r="I54" s="5"/>
      <c r="J54" s="5"/>
      <c r="K54" s="5"/>
      <c r="L54" s="5"/>
      <c r="M54" s="5"/>
      <c r="N54" s="5"/>
      <c r="O54" s="5"/>
      <c r="P54" s="5"/>
      <c r="Q54" s="5"/>
      <c r="R54" s="5"/>
      <c r="S54" s="5"/>
      <c r="T54" s="5"/>
      <c r="U54" s="5"/>
      <c r="V54" s="5"/>
      <c r="W54" s="5"/>
      <c r="X54" s="5"/>
    </row>
    <row r="55" spans="1:24" x14ac:dyDescent="0.25">
      <c r="A55" s="5"/>
      <c r="B55" s="5"/>
      <c r="C55" s="5"/>
      <c r="D55" s="5"/>
      <c r="E55" s="5"/>
      <c r="F55" s="5"/>
      <c r="G55" s="5"/>
      <c r="H55" s="5"/>
      <c r="I55" s="5"/>
      <c r="J55" s="5"/>
      <c r="K55" s="5"/>
      <c r="L55" s="5"/>
      <c r="M55" s="5"/>
      <c r="N55" s="5"/>
      <c r="O55" s="5"/>
      <c r="P55" s="5"/>
      <c r="Q55" s="5"/>
      <c r="R55" s="5"/>
      <c r="S55" s="5"/>
      <c r="T55" s="5"/>
      <c r="U55" s="5"/>
      <c r="V55" s="5"/>
      <c r="W55" s="5"/>
      <c r="X55" s="5"/>
    </row>
    <row r="56" spans="1:24" x14ac:dyDescent="0.25">
      <c r="A56" s="5"/>
      <c r="B56" s="5"/>
      <c r="C56" s="5"/>
      <c r="D56" s="5"/>
      <c r="E56" s="5"/>
      <c r="F56" s="5"/>
      <c r="G56" s="5"/>
      <c r="H56" s="5"/>
      <c r="I56" s="5"/>
      <c r="J56" s="5"/>
      <c r="K56" s="5"/>
      <c r="L56" s="5"/>
      <c r="M56" s="5"/>
      <c r="N56" s="5"/>
      <c r="O56" s="5"/>
      <c r="P56" s="5"/>
      <c r="Q56" s="5"/>
      <c r="R56" s="5"/>
      <c r="S56" s="5"/>
      <c r="T56" s="5"/>
      <c r="U56" s="5"/>
      <c r="V56" s="5"/>
      <c r="W56" s="5"/>
      <c r="X56" s="5"/>
    </row>
    <row r="57" spans="1:24" x14ac:dyDescent="0.25">
      <c r="A57" s="5"/>
      <c r="B57" s="5"/>
      <c r="C57" s="5"/>
      <c r="D57" s="5"/>
      <c r="E57" s="5"/>
      <c r="F57" s="5"/>
      <c r="G57" s="5"/>
      <c r="H57" s="5"/>
      <c r="I57" s="5"/>
      <c r="J57" s="5"/>
      <c r="K57" s="5"/>
      <c r="L57" s="5"/>
      <c r="M57" s="5"/>
      <c r="N57" s="5"/>
      <c r="O57" s="5"/>
      <c r="P57" s="5"/>
      <c r="Q57" s="5"/>
      <c r="R57" s="5"/>
      <c r="S57" s="5"/>
      <c r="T57" s="5"/>
      <c r="U57" s="5"/>
      <c r="V57" s="5"/>
      <c r="W57" s="5"/>
      <c r="X57" s="5"/>
    </row>
    <row r="58" spans="1:24" x14ac:dyDescent="0.25">
      <c r="A58" s="5"/>
      <c r="B58" s="5"/>
      <c r="C58" s="5"/>
      <c r="D58" s="5"/>
      <c r="E58" s="5"/>
      <c r="F58" s="5"/>
      <c r="G58" s="5"/>
      <c r="H58" s="5"/>
      <c r="I58" s="5"/>
      <c r="J58" s="5"/>
      <c r="K58" s="5"/>
      <c r="L58" s="5"/>
      <c r="M58" s="5"/>
      <c r="N58" s="5"/>
      <c r="O58" s="5"/>
      <c r="P58" s="5"/>
      <c r="Q58" s="5"/>
      <c r="R58" s="5"/>
      <c r="S58" s="5"/>
      <c r="T58" s="5"/>
      <c r="U58" s="5"/>
      <c r="V58" s="5"/>
      <c r="W58" s="5"/>
      <c r="X58" s="5"/>
    </row>
    <row r="59" spans="1:24" x14ac:dyDescent="0.25">
      <c r="A59" s="5"/>
      <c r="B59" s="5"/>
      <c r="C59" s="5"/>
      <c r="D59" s="5"/>
      <c r="E59" s="5"/>
      <c r="F59" s="5"/>
      <c r="G59" s="5"/>
      <c r="H59" s="5"/>
      <c r="I59" s="5"/>
      <c r="J59" s="5"/>
      <c r="K59" s="5"/>
      <c r="L59" s="5"/>
      <c r="M59" s="5"/>
      <c r="N59" s="5"/>
      <c r="O59" s="5"/>
      <c r="P59" s="5"/>
      <c r="Q59" s="5"/>
      <c r="R59" s="5"/>
      <c r="S59" s="5"/>
      <c r="T59" s="5"/>
      <c r="U59" s="5"/>
      <c r="V59" s="5"/>
      <c r="W59" s="5"/>
      <c r="X59" s="5"/>
    </row>
    <row r="60" spans="1:24" x14ac:dyDescent="0.25">
      <c r="A60" s="5"/>
      <c r="B60" s="5"/>
      <c r="C60" s="5"/>
      <c r="D60" s="5"/>
      <c r="E60" s="5"/>
      <c r="F60" s="5"/>
      <c r="G60" s="5"/>
      <c r="H60" s="5"/>
      <c r="I60" s="5"/>
      <c r="J60" s="5"/>
      <c r="K60" s="5"/>
      <c r="L60" s="5"/>
      <c r="M60" s="5"/>
      <c r="N60" s="5"/>
      <c r="O60" s="5"/>
      <c r="P60" s="5"/>
      <c r="Q60" s="5"/>
      <c r="R60" s="5"/>
      <c r="S60" s="5"/>
      <c r="T60" s="5"/>
      <c r="U60" s="5"/>
      <c r="V60" s="5"/>
      <c r="W60" s="5"/>
      <c r="X60" s="5"/>
    </row>
    <row r="61" spans="1:24" x14ac:dyDescent="0.25">
      <c r="A61" s="5"/>
      <c r="B61" s="5"/>
      <c r="C61" s="5"/>
      <c r="D61" s="5"/>
      <c r="E61" s="5"/>
      <c r="F61" s="5"/>
      <c r="G61" s="5"/>
      <c r="H61" s="5"/>
      <c r="I61" s="5"/>
      <c r="J61" s="5"/>
      <c r="K61" s="5"/>
      <c r="L61" s="5"/>
      <c r="M61" s="5"/>
      <c r="N61" s="5"/>
      <c r="O61" s="5"/>
      <c r="P61" s="5"/>
      <c r="Q61" s="5"/>
      <c r="R61" s="5"/>
      <c r="S61" s="5"/>
      <c r="T61" s="5"/>
      <c r="U61" s="5"/>
      <c r="V61" s="5"/>
      <c r="W61" s="5"/>
      <c r="X61" s="5"/>
    </row>
    <row r="62" spans="1:24" x14ac:dyDescent="0.25">
      <c r="A62" s="5"/>
      <c r="B62" s="5"/>
      <c r="C62" s="5"/>
      <c r="D62" s="5"/>
      <c r="E62" s="5"/>
      <c r="F62" s="5"/>
      <c r="G62" s="5"/>
      <c r="H62" s="5"/>
      <c r="I62" s="5"/>
      <c r="J62" s="5"/>
      <c r="K62" s="5"/>
      <c r="L62" s="5"/>
      <c r="M62" s="5"/>
      <c r="N62" s="5"/>
      <c r="O62" s="5"/>
      <c r="P62" s="5"/>
      <c r="Q62" s="5"/>
      <c r="R62" s="5"/>
      <c r="S62" s="5"/>
      <c r="T62" s="5"/>
      <c r="U62" s="5"/>
      <c r="V62" s="5"/>
      <c r="W62" s="5"/>
      <c r="X62" s="5"/>
    </row>
    <row r="63" spans="1:24" x14ac:dyDescent="0.25">
      <c r="A63" s="5"/>
      <c r="B63" s="5"/>
      <c r="C63" s="5"/>
      <c r="D63" s="5"/>
      <c r="E63" s="5"/>
      <c r="F63" s="5"/>
      <c r="G63" s="5"/>
      <c r="H63" s="5"/>
      <c r="I63" s="5"/>
      <c r="J63" s="5"/>
      <c r="K63" s="5"/>
      <c r="L63" s="5"/>
      <c r="M63" s="5"/>
      <c r="N63" s="5"/>
      <c r="O63" s="5"/>
      <c r="P63" s="5"/>
      <c r="Q63" s="5"/>
      <c r="R63" s="5"/>
      <c r="S63" s="5"/>
      <c r="T63" s="5"/>
      <c r="U63" s="5"/>
      <c r="V63" s="5"/>
      <c r="W63" s="5"/>
      <c r="X63" s="5"/>
    </row>
    <row r="64" spans="1:24" x14ac:dyDescent="0.25">
      <c r="A64" s="5"/>
      <c r="B64" s="5"/>
      <c r="C64" s="5"/>
      <c r="D64" s="5"/>
      <c r="E64" s="5"/>
      <c r="F64" s="5"/>
      <c r="G64" s="5"/>
      <c r="H64" s="5"/>
      <c r="I64" s="5"/>
      <c r="J64" s="5"/>
      <c r="K64" s="5"/>
      <c r="L64" s="5"/>
      <c r="M64" s="5"/>
      <c r="N64" s="5"/>
      <c r="O64" s="5"/>
      <c r="P64" s="5"/>
      <c r="Q64" s="5"/>
      <c r="R64" s="5"/>
      <c r="S64" s="5"/>
      <c r="T64" s="5"/>
      <c r="U64" s="5"/>
      <c r="V64" s="5"/>
      <c r="W64" s="5"/>
      <c r="X64" s="5"/>
    </row>
    <row r="65" spans="1:24" x14ac:dyDescent="0.25">
      <c r="A65" s="5"/>
      <c r="B65" s="5"/>
      <c r="C65" s="5"/>
      <c r="D65" s="5"/>
      <c r="E65" s="5"/>
      <c r="F65" s="5"/>
      <c r="G65" s="5"/>
      <c r="H65" s="5"/>
      <c r="I65" s="5"/>
      <c r="J65" s="5"/>
      <c r="K65" s="5"/>
      <c r="L65" s="5"/>
      <c r="M65" s="5"/>
      <c r="N65" s="5"/>
      <c r="O65" s="5"/>
      <c r="P65" s="5"/>
      <c r="Q65" s="5"/>
      <c r="R65" s="5"/>
      <c r="S65" s="5"/>
      <c r="T65" s="5"/>
      <c r="U65" s="5"/>
      <c r="V65" s="5"/>
      <c r="W65" s="5"/>
      <c r="X65" s="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A2" workbookViewId="0">
      <selection activeCell="C7" sqref="A2:U1001"/>
    </sheetView>
  </sheetViews>
  <sheetFormatPr defaultRowHeight="15" x14ac:dyDescent="0.25"/>
  <cols>
    <col min="1" max="2" width="15.7109375" customWidth="1"/>
    <col min="3" max="3" width="18.28515625" style="1" bestFit="1" customWidth="1"/>
    <col min="4" max="4" width="18.28515625" style="1" customWidth="1"/>
    <col min="5" max="5" width="17.42578125" customWidth="1"/>
    <col min="8" max="9" width="15.140625" customWidth="1"/>
    <col min="12" max="13" width="14.28515625" customWidth="1"/>
    <col min="14" max="14" width="10.7109375" customWidth="1"/>
    <col min="15" max="15" width="10.5703125" customWidth="1"/>
    <col min="17" max="17" width="18.5703125" customWidth="1"/>
    <col min="20" max="20" width="10.140625" customWidth="1"/>
    <col min="21" max="21" width="12.7109375" customWidth="1"/>
  </cols>
  <sheetData>
    <row r="1" spans="1:21" x14ac:dyDescent="0.25">
      <c r="A1" t="s">
        <v>0</v>
      </c>
      <c r="B1" t="s">
        <v>2016</v>
      </c>
      <c r="C1" s="1" t="s">
        <v>1</v>
      </c>
      <c r="D1" s="1" t="s">
        <v>1240</v>
      </c>
      <c r="E1" t="s">
        <v>2</v>
      </c>
      <c r="F1" t="s">
        <v>3</v>
      </c>
      <c r="G1" t="s">
        <v>1440</v>
      </c>
      <c r="H1" t="s">
        <v>4</v>
      </c>
      <c r="I1" t="s">
        <v>2017</v>
      </c>
      <c r="J1" t="s">
        <v>5</v>
      </c>
      <c r="K1" t="s">
        <v>1451</v>
      </c>
      <c r="L1" t="s">
        <v>6</v>
      </c>
      <c r="M1" t="s">
        <v>2019</v>
      </c>
      <c r="N1" t="s">
        <v>7</v>
      </c>
      <c r="O1" t="s">
        <v>8</v>
      </c>
      <c r="P1" t="s">
        <v>9</v>
      </c>
      <c r="Q1" t="s">
        <v>10</v>
      </c>
      <c r="R1" t="s">
        <v>11</v>
      </c>
      <c r="S1" t="s">
        <v>2018</v>
      </c>
      <c r="T1" t="s">
        <v>12</v>
      </c>
      <c r="U1" t="s">
        <v>13</v>
      </c>
    </row>
    <row r="2" spans="1:21" x14ac:dyDescent="0.25">
      <c r="A2" t="s">
        <v>14</v>
      </c>
      <c r="B2" t="str">
        <f>_xlfn.XLOOKUP(Table1[[#This Row],[date]],Table8[date],Table8[id_date])</f>
        <v>TGL0501</v>
      </c>
      <c r="C2" s="1">
        <v>45292</v>
      </c>
      <c r="D2" s="1" t="str">
        <f>_xlfn.XLOOKUP(Table1[[#This Row],[customer_name]],Table11[customer_name],Table11[id_cust])</f>
        <v>CNA0101</v>
      </c>
      <c r="E2" t="s">
        <v>1014</v>
      </c>
      <c r="F2">
        <v>27</v>
      </c>
      <c r="G2" t="str">
        <f>_xlfn.XLOOKUP(Table1[[#This Row],[branch_name]],Table3[branch_name],Table3[id_branch])</f>
        <v>BRCH001</v>
      </c>
      <c r="H2" t="s">
        <v>1213</v>
      </c>
      <c r="I2" t="str">
        <f>_xlfn.XLOOKUP(Table1[[#This Row],[city]],Table4[city],Table4[id_city])</f>
        <v>KOA0102</v>
      </c>
      <c r="J2" t="s">
        <v>1218</v>
      </c>
      <c r="K2" t="str">
        <f>_xlfn.XLOOKUP(Table1[[#This Row],[menu_name]],Table5[menu_name],Table5[id_menu])</f>
        <v>MENU001</v>
      </c>
      <c r="L2" t="s">
        <v>1223</v>
      </c>
      <c r="M2" t="str">
        <f>_xlfn.XLOOKUP(Table1[[#This Row],[category]],Table6[category],Table6[id_category])</f>
        <v>KTG0205</v>
      </c>
      <c r="N2" t="s">
        <v>1233</v>
      </c>
      <c r="O2">
        <v>5</v>
      </c>
      <c r="P2">
        <v>25000</v>
      </c>
      <c r="Q2">
        <v>15</v>
      </c>
      <c r="R2">
        <v>3.1</v>
      </c>
      <c r="S2" t="str">
        <f>_xlfn.XLOOKUP(Table1[[#This Row],[method]],Table7[method],Table7[id_method])</f>
        <v>PAY0709</v>
      </c>
      <c r="T2" t="s">
        <v>1236</v>
      </c>
      <c r="U2">
        <v>106250</v>
      </c>
    </row>
    <row r="3" spans="1:21" x14ac:dyDescent="0.25">
      <c r="A3" t="s">
        <v>15</v>
      </c>
      <c r="B3" t="str">
        <f>_xlfn.XLOOKUP(Table1[[#This Row],[date]],Table8[date],Table8[id_date])</f>
        <v>TGL0501</v>
      </c>
      <c r="C3" s="1">
        <v>45292</v>
      </c>
      <c r="D3" s="1" t="str">
        <f>_xlfn.XLOOKUP(Table1[[#This Row],[customer_name]],Table11[customer_name],Table11[id_cust])</f>
        <v>CNA0102</v>
      </c>
      <c r="E3" t="s">
        <v>1015</v>
      </c>
      <c r="F3">
        <v>36</v>
      </c>
      <c r="G3" t="str">
        <f>_xlfn.XLOOKUP(Table1[[#This Row],[branch_name]],Table3[branch_name],Table3[id_branch])</f>
        <v>BRCH002</v>
      </c>
      <c r="H3" t="s">
        <v>1214</v>
      </c>
      <c r="I3" t="str">
        <f>_xlfn.XLOOKUP(Table1[[#This Row],[city]],Table4[city],Table4[id_city])</f>
        <v>KOA0103</v>
      </c>
      <c r="J3" t="s">
        <v>1219</v>
      </c>
      <c r="K3" t="str">
        <f>_xlfn.XLOOKUP(Table1[[#This Row],[menu_name]],Table5[menu_name],Table5[id_menu])</f>
        <v>MENU002</v>
      </c>
      <c r="L3" t="s">
        <v>1224</v>
      </c>
      <c r="M3" t="str">
        <f>_xlfn.XLOOKUP(Table1[[#This Row],[category]],Table6[category],Table6[id_category])</f>
        <v>KTG0206</v>
      </c>
      <c r="N3" t="s">
        <v>1234</v>
      </c>
      <c r="O3">
        <v>1</v>
      </c>
      <c r="P3">
        <v>30000</v>
      </c>
      <c r="Q3">
        <v>15</v>
      </c>
      <c r="R3">
        <v>1.9</v>
      </c>
      <c r="S3" t="str">
        <f>_xlfn.XLOOKUP(Table1[[#This Row],[method]],Table7[method],Table7[id_method])</f>
        <v>PAY0710</v>
      </c>
      <c r="T3" t="s">
        <v>1237</v>
      </c>
      <c r="U3">
        <v>25500</v>
      </c>
    </row>
    <row r="4" spans="1:21" x14ac:dyDescent="0.25">
      <c r="A4" t="s">
        <v>16</v>
      </c>
      <c r="B4" t="str">
        <f>_xlfn.XLOOKUP(Table1[[#This Row],[date]],Table8[date],Table8[id_date])</f>
        <v>TGL0501</v>
      </c>
      <c r="C4" s="1">
        <v>45292</v>
      </c>
      <c r="D4" s="1" t="str">
        <f>_xlfn.XLOOKUP(Table1[[#This Row],[customer_name]],Table11[customer_name],Table11[id_cust])</f>
        <v>CNA0103</v>
      </c>
      <c r="E4" t="s">
        <v>1016</v>
      </c>
      <c r="F4">
        <v>44</v>
      </c>
      <c r="G4" t="str">
        <f>_xlfn.XLOOKUP(Table1[[#This Row],[branch_name]],Table3[branch_name],Table3[id_branch])</f>
        <v>BRCH003</v>
      </c>
      <c r="H4" t="s">
        <v>1215</v>
      </c>
      <c r="I4" t="str">
        <f>_xlfn.XLOOKUP(Table1[[#This Row],[city]],Table4[city],Table4[id_city])</f>
        <v>KOA0104</v>
      </c>
      <c r="J4" t="s">
        <v>1220</v>
      </c>
      <c r="K4" t="str">
        <f>_xlfn.XLOOKUP(Table1[[#This Row],[menu_name]],Table5[menu_name],Table5[id_menu])</f>
        <v>MENU003</v>
      </c>
      <c r="L4" t="s">
        <v>1225</v>
      </c>
      <c r="M4" t="str">
        <f>_xlfn.XLOOKUP(Table1[[#This Row],[category]],Table6[category],Table6[id_category])</f>
        <v>KTG0205</v>
      </c>
      <c r="N4" t="s">
        <v>1233</v>
      </c>
      <c r="O4">
        <v>3</v>
      </c>
      <c r="P4">
        <v>22000</v>
      </c>
      <c r="Q4">
        <v>0</v>
      </c>
      <c r="R4">
        <v>4.5999999999999996</v>
      </c>
      <c r="S4" t="str">
        <f>_xlfn.XLOOKUP(Table1[[#This Row],[method]],Table7[method],Table7[id_method])</f>
        <v>PAY0711</v>
      </c>
      <c r="T4" t="s">
        <v>1238</v>
      </c>
      <c r="U4">
        <v>66000</v>
      </c>
    </row>
    <row r="5" spans="1:21" x14ac:dyDescent="0.25">
      <c r="A5" t="s">
        <v>17</v>
      </c>
      <c r="B5" t="str">
        <f>_xlfn.XLOOKUP(Table1[[#This Row],[date]],Table8[date],Table8[id_date])</f>
        <v>TGL0501</v>
      </c>
      <c r="C5" s="1">
        <v>45292</v>
      </c>
      <c r="D5" s="1" t="str">
        <f>_xlfn.XLOOKUP(Table1[[#This Row],[customer_name]],Table11[customer_name],Table11[id_cust])</f>
        <v>CNA0104</v>
      </c>
      <c r="E5" t="s">
        <v>1017</v>
      </c>
      <c r="F5">
        <v>41</v>
      </c>
      <c r="G5" t="str">
        <f>_xlfn.XLOOKUP(Table1[[#This Row],[branch_name]],Table3[branch_name],Table3[id_branch])</f>
        <v>BRCH001</v>
      </c>
      <c r="H5" t="s">
        <v>1213</v>
      </c>
      <c r="I5" t="str">
        <f>_xlfn.XLOOKUP(Table1[[#This Row],[city]],Table4[city],Table4[id_city])</f>
        <v>KOA0102</v>
      </c>
      <c r="J5" t="s">
        <v>1218</v>
      </c>
      <c r="K5" t="str">
        <f>_xlfn.XLOOKUP(Table1[[#This Row],[menu_name]],Table5[menu_name],Table5[id_menu])</f>
        <v>MENU004</v>
      </c>
      <c r="L5" t="s">
        <v>1226</v>
      </c>
      <c r="M5" t="str">
        <f>_xlfn.XLOOKUP(Table1[[#This Row],[category]],Table6[category],Table6[id_category])</f>
        <v>KTG0207</v>
      </c>
      <c r="N5" t="s">
        <v>1235</v>
      </c>
      <c r="O5">
        <v>3</v>
      </c>
      <c r="P5">
        <v>28000</v>
      </c>
      <c r="Q5">
        <v>0</v>
      </c>
      <c r="R5">
        <v>3.7</v>
      </c>
      <c r="S5" t="str">
        <f>_xlfn.XLOOKUP(Table1[[#This Row],[method]],Table7[method],Table7[id_method])</f>
        <v>PAY0709</v>
      </c>
      <c r="T5" t="s">
        <v>1236</v>
      </c>
      <c r="U5">
        <v>84000</v>
      </c>
    </row>
    <row r="6" spans="1:21" x14ac:dyDescent="0.25">
      <c r="A6" t="s">
        <v>18</v>
      </c>
      <c r="B6" t="str">
        <f>_xlfn.XLOOKUP(Table1[[#This Row],[date]],Table8[date],Table8[id_date])</f>
        <v>TGL0502</v>
      </c>
      <c r="C6" s="1">
        <v>45293</v>
      </c>
      <c r="D6" s="1" t="str">
        <f>_xlfn.XLOOKUP(Table1[[#This Row],[customer_name]],Table11[customer_name],Table11[id_cust])</f>
        <v>CNA0105</v>
      </c>
      <c r="E6" t="s">
        <v>1018</v>
      </c>
      <c r="F6">
        <v>53</v>
      </c>
      <c r="G6" t="str">
        <f>_xlfn.XLOOKUP(Table1[[#This Row],[branch_name]],Table3[branch_name],Table3[id_branch])</f>
        <v>BRCH004</v>
      </c>
      <c r="H6" t="s">
        <v>1216</v>
      </c>
      <c r="I6" t="str">
        <f>_xlfn.XLOOKUP(Table1[[#This Row],[city]],Table4[city],Table4[id_city])</f>
        <v>KOA0105</v>
      </c>
      <c r="J6" t="s">
        <v>1221</v>
      </c>
      <c r="K6" t="str">
        <f>_xlfn.XLOOKUP(Table1[[#This Row],[menu_name]],Table5[menu_name],Table5[id_menu])</f>
        <v>MENU005</v>
      </c>
      <c r="L6" t="s">
        <v>1227</v>
      </c>
      <c r="M6" t="str">
        <f>_xlfn.XLOOKUP(Table1[[#This Row],[category]],Table6[category],Table6[id_category])</f>
        <v>KTG0206</v>
      </c>
      <c r="N6" t="s">
        <v>1234</v>
      </c>
      <c r="O6">
        <v>4</v>
      </c>
      <c r="P6">
        <v>23000</v>
      </c>
      <c r="Q6">
        <v>0</v>
      </c>
      <c r="R6">
        <v>2.1</v>
      </c>
      <c r="S6" t="str">
        <f>_xlfn.XLOOKUP(Table1[[#This Row],[method]],Table7[method],Table7[id_method])</f>
        <v>PAY0712</v>
      </c>
      <c r="T6" t="s">
        <v>1239</v>
      </c>
      <c r="U6">
        <v>92000</v>
      </c>
    </row>
    <row r="7" spans="1:21" x14ac:dyDescent="0.25">
      <c r="A7" t="s">
        <v>19</v>
      </c>
      <c r="B7" t="str">
        <f>_xlfn.XLOOKUP(Table1[[#This Row],[date]],Table8[date],Table8[id_date])</f>
        <v>TGL0503</v>
      </c>
      <c r="C7" s="1">
        <v>45294</v>
      </c>
      <c r="D7" s="1" t="str">
        <f>_xlfn.XLOOKUP(Table1[[#This Row],[customer_name]],Table11[customer_name],Table11[id_cust])</f>
        <v>CNA0106</v>
      </c>
      <c r="E7" t="s">
        <v>1019</v>
      </c>
      <c r="F7">
        <v>30</v>
      </c>
      <c r="G7" t="str">
        <f>_xlfn.XLOOKUP(Table1[[#This Row],[branch_name]],Table3[branch_name],Table3[id_branch])</f>
        <v>BRCH005</v>
      </c>
      <c r="H7" t="s">
        <v>1217</v>
      </c>
      <c r="I7" t="str">
        <f>_xlfn.XLOOKUP(Table1[[#This Row],[city]],Table4[city],Table4[id_city])</f>
        <v>KOA0106</v>
      </c>
      <c r="J7" t="s">
        <v>1222</v>
      </c>
      <c r="K7" t="str">
        <f>_xlfn.XLOOKUP(Table1[[#This Row],[menu_name]],Table5[menu_name],Table5[id_menu])</f>
        <v>MENU006</v>
      </c>
      <c r="L7" t="s">
        <v>1228</v>
      </c>
      <c r="M7" t="str">
        <f>_xlfn.XLOOKUP(Table1[[#This Row],[category]],Table6[category],Table6[id_category])</f>
        <v>KTG0206</v>
      </c>
      <c r="N7" t="s">
        <v>1234</v>
      </c>
      <c r="O7">
        <v>1</v>
      </c>
      <c r="P7">
        <v>32000</v>
      </c>
      <c r="Q7">
        <v>0</v>
      </c>
      <c r="R7">
        <v>2.2000000000000002</v>
      </c>
      <c r="S7" t="str">
        <f>_xlfn.XLOOKUP(Table1[[#This Row],[method]],Table7[method],Table7[id_method])</f>
        <v>PAY0712</v>
      </c>
      <c r="T7" t="s">
        <v>1239</v>
      </c>
      <c r="U7">
        <v>32000</v>
      </c>
    </row>
    <row r="8" spans="1:21" x14ac:dyDescent="0.25">
      <c r="A8" t="s">
        <v>20</v>
      </c>
      <c r="B8" t="str">
        <f>_xlfn.XLOOKUP(Table1[[#This Row],[date]],Table8[date],Table8[id_date])</f>
        <v>TGL0504</v>
      </c>
      <c r="C8" s="1">
        <v>45295</v>
      </c>
      <c r="D8" s="1" t="str">
        <f>_xlfn.XLOOKUP(Table1[[#This Row],[customer_name]],Table11[customer_name],Table11[id_cust])</f>
        <v>CNA0107</v>
      </c>
      <c r="E8" t="s">
        <v>1020</v>
      </c>
      <c r="F8">
        <v>19</v>
      </c>
      <c r="G8" t="str">
        <f>_xlfn.XLOOKUP(Table1[[#This Row],[branch_name]],Table3[branch_name],Table3[id_branch])</f>
        <v>BRCH002</v>
      </c>
      <c r="H8" t="s">
        <v>1214</v>
      </c>
      <c r="I8" t="str">
        <f>_xlfn.XLOOKUP(Table1[[#This Row],[city]],Table4[city],Table4[id_city])</f>
        <v>KOA0103</v>
      </c>
      <c r="J8" t="s">
        <v>1219</v>
      </c>
      <c r="K8" t="str">
        <f>_xlfn.XLOOKUP(Table1[[#This Row],[menu_name]],Table5[menu_name],Table5[id_menu])</f>
        <v>MENU007</v>
      </c>
      <c r="L8" t="s">
        <v>1229</v>
      </c>
      <c r="M8" t="str">
        <f>_xlfn.XLOOKUP(Table1[[#This Row],[category]],Table6[category],Table6[id_category])</f>
        <v>KTG0207</v>
      </c>
      <c r="N8" t="s">
        <v>1235</v>
      </c>
      <c r="O8">
        <v>4</v>
      </c>
      <c r="P8">
        <v>27000</v>
      </c>
      <c r="Q8">
        <v>0</v>
      </c>
      <c r="R8">
        <v>2.2000000000000002</v>
      </c>
      <c r="S8" t="str">
        <f>_xlfn.XLOOKUP(Table1[[#This Row],[method]],Table7[method],Table7[id_method])</f>
        <v>PAY0709</v>
      </c>
      <c r="T8" t="s">
        <v>1236</v>
      </c>
      <c r="U8">
        <v>108000</v>
      </c>
    </row>
    <row r="9" spans="1:21" x14ac:dyDescent="0.25">
      <c r="A9" t="s">
        <v>21</v>
      </c>
      <c r="B9" t="str">
        <f>_xlfn.XLOOKUP(Table1[[#This Row],[date]],Table8[date],Table8[id_date])</f>
        <v>TGL0505</v>
      </c>
      <c r="C9" s="1">
        <v>45296</v>
      </c>
      <c r="D9" s="1" t="str">
        <f>_xlfn.XLOOKUP(Table1[[#This Row],[customer_name]],Table11[customer_name],Table11[id_cust])</f>
        <v>CNA0108</v>
      </c>
      <c r="E9" t="s">
        <v>1021</v>
      </c>
      <c r="F9">
        <v>21</v>
      </c>
      <c r="G9" t="str">
        <f>_xlfn.XLOOKUP(Table1[[#This Row],[branch_name]],Table3[branch_name],Table3[id_branch])</f>
        <v>BRCH005</v>
      </c>
      <c r="H9" t="s">
        <v>1217</v>
      </c>
      <c r="I9" t="str">
        <f>_xlfn.XLOOKUP(Table1[[#This Row],[city]],Table4[city],Table4[id_city])</f>
        <v>KOA0106</v>
      </c>
      <c r="J9" t="s">
        <v>1222</v>
      </c>
      <c r="K9" t="str">
        <f>_xlfn.XLOOKUP(Table1[[#This Row],[menu_name]],Table5[menu_name],Table5[id_menu])</f>
        <v>MENU008</v>
      </c>
      <c r="L9" t="s">
        <v>1230</v>
      </c>
      <c r="M9" t="str">
        <f>_xlfn.XLOOKUP(Table1[[#This Row],[category]],Table6[category],Table6[id_category])</f>
        <v>KTG0205</v>
      </c>
      <c r="N9" t="s">
        <v>1233</v>
      </c>
      <c r="O9">
        <v>4</v>
      </c>
      <c r="P9">
        <v>20000</v>
      </c>
      <c r="Q9">
        <v>15</v>
      </c>
      <c r="R9">
        <v>3.7</v>
      </c>
      <c r="S9" t="str">
        <f>_xlfn.XLOOKUP(Table1[[#This Row],[method]],Table7[method],Table7[id_method])</f>
        <v>PAY0711</v>
      </c>
      <c r="T9" t="s">
        <v>1238</v>
      </c>
      <c r="U9">
        <v>68000</v>
      </c>
    </row>
    <row r="10" spans="1:21" x14ac:dyDescent="0.25">
      <c r="A10" t="s">
        <v>22</v>
      </c>
      <c r="B10" t="str">
        <f>_xlfn.XLOOKUP(Table1[[#This Row],[date]],Table8[date],Table8[id_date])</f>
        <v>TGL0505</v>
      </c>
      <c r="C10" s="1">
        <v>45296</v>
      </c>
      <c r="D10" s="1" t="str">
        <f>_xlfn.XLOOKUP(Table1[[#This Row],[customer_name]],Table11[customer_name],Table11[id_cust])</f>
        <v>CNA0109</v>
      </c>
      <c r="E10" t="s">
        <v>1022</v>
      </c>
      <c r="F10">
        <v>45</v>
      </c>
      <c r="G10" t="str">
        <f>_xlfn.XLOOKUP(Table1[[#This Row],[branch_name]],Table3[branch_name],Table3[id_branch])</f>
        <v>BRCH005</v>
      </c>
      <c r="H10" t="s">
        <v>1217</v>
      </c>
      <c r="I10" t="str">
        <f>_xlfn.XLOOKUP(Table1[[#This Row],[city]],Table4[city],Table4[id_city])</f>
        <v>KOA0106</v>
      </c>
      <c r="J10" t="s">
        <v>1222</v>
      </c>
      <c r="K10" t="str">
        <f>_xlfn.XLOOKUP(Table1[[#This Row],[menu_name]],Table5[menu_name],Table5[id_menu])</f>
        <v>MENU004</v>
      </c>
      <c r="L10" t="s">
        <v>1226</v>
      </c>
      <c r="M10" t="str">
        <f>_xlfn.XLOOKUP(Table1[[#This Row],[category]],Table6[category],Table6[id_category])</f>
        <v>KTG0207</v>
      </c>
      <c r="N10" t="s">
        <v>1235</v>
      </c>
      <c r="O10">
        <v>2</v>
      </c>
      <c r="P10">
        <v>28000</v>
      </c>
      <c r="Q10">
        <v>20</v>
      </c>
      <c r="R10">
        <v>3</v>
      </c>
      <c r="S10" t="str">
        <f>_xlfn.XLOOKUP(Table1[[#This Row],[method]],Table7[method],Table7[id_method])</f>
        <v>PAY0712</v>
      </c>
      <c r="T10" t="s">
        <v>1239</v>
      </c>
      <c r="U10">
        <v>44800</v>
      </c>
    </row>
    <row r="11" spans="1:21" x14ac:dyDescent="0.25">
      <c r="A11" t="s">
        <v>23</v>
      </c>
      <c r="B11" t="str">
        <f>_xlfn.XLOOKUP(Table1[[#This Row],[date]],Table8[date],Table8[id_date])</f>
        <v>TGL0505</v>
      </c>
      <c r="C11" s="1">
        <v>45296</v>
      </c>
      <c r="D11" s="1" t="str">
        <f>_xlfn.XLOOKUP(Table1[[#This Row],[customer_name]],Table11[customer_name],Table11[id_cust])</f>
        <v>CNA0110</v>
      </c>
      <c r="E11" t="s">
        <v>1023</v>
      </c>
      <c r="F11">
        <v>39</v>
      </c>
      <c r="G11" t="str">
        <f>_xlfn.XLOOKUP(Table1[[#This Row],[branch_name]],Table3[branch_name],Table3[id_branch])</f>
        <v>BRCH002</v>
      </c>
      <c r="H11" t="s">
        <v>1214</v>
      </c>
      <c r="I11" t="str">
        <f>_xlfn.XLOOKUP(Table1[[#This Row],[city]],Table4[city],Table4[id_city])</f>
        <v>KOA0103</v>
      </c>
      <c r="J11" t="s">
        <v>1219</v>
      </c>
      <c r="K11" t="str">
        <f>_xlfn.XLOOKUP(Table1[[#This Row],[menu_name]],Table5[menu_name],Table5[id_menu])</f>
        <v>MENU005</v>
      </c>
      <c r="L11" t="s">
        <v>1227</v>
      </c>
      <c r="M11" t="str">
        <f>_xlfn.XLOOKUP(Table1[[#This Row],[category]],Table6[category],Table6[id_category])</f>
        <v>KTG0206</v>
      </c>
      <c r="N11" t="s">
        <v>1234</v>
      </c>
      <c r="O11">
        <v>2</v>
      </c>
      <c r="P11">
        <v>23000</v>
      </c>
      <c r="Q11">
        <v>15</v>
      </c>
      <c r="R11">
        <v>4.5999999999999996</v>
      </c>
      <c r="S11" t="str">
        <f>_xlfn.XLOOKUP(Table1[[#This Row],[method]],Table7[method],Table7[id_method])</f>
        <v>PAY0709</v>
      </c>
      <c r="T11" t="s">
        <v>1236</v>
      </c>
      <c r="U11">
        <v>39100</v>
      </c>
    </row>
    <row r="12" spans="1:21" x14ac:dyDescent="0.25">
      <c r="A12" t="s">
        <v>24</v>
      </c>
      <c r="B12" t="str">
        <f>_xlfn.XLOOKUP(Table1[[#This Row],[date]],Table8[date],Table8[id_date])</f>
        <v>TGL0505</v>
      </c>
      <c r="C12" s="1">
        <v>45296</v>
      </c>
      <c r="D12" s="1" t="str">
        <f>_xlfn.XLOOKUP(Table1[[#This Row],[customer_name]],Table11[customer_name],Table11[id_cust])</f>
        <v>CNA0111</v>
      </c>
      <c r="E12" t="s">
        <v>1024</v>
      </c>
      <c r="F12">
        <v>40</v>
      </c>
      <c r="G12" t="str">
        <f>_xlfn.XLOOKUP(Table1[[#This Row],[branch_name]],Table3[branch_name],Table3[id_branch])</f>
        <v>BRCH004</v>
      </c>
      <c r="H12" t="s">
        <v>1216</v>
      </c>
      <c r="I12" t="str">
        <f>_xlfn.XLOOKUP(Table1[[#This Row],[city]],Table4[city],Table4[id_city])</f>
        <v>KOA0105</v>
      </c>
      <c r="J12" t="s">
        <v>1221</v>
      </c>
      <c r="K12" t="str">
        <f>_xlfn.XLOOKUP(Table1[[#This Row],[menu_name]],Table5[menu_name],Table5[id_menu])</f>
        <v>MENU008</v>
      </c>
      <c r="L12" t="s">
        <v>1230</v>
      </c>
      <c r="M12" t="str">
        <f>_xlfn.XLOOKUP(Table1[[#This Row],[category]],Table6[category],Table6[id_category])</f>
        <v>KTG0205</v>
      </c>
      <c r="N12" t="s">
        <v>1233</v>
      </c>
      <c r="O12">
        <v>2</v>
      </c>
      <c r="P12">
        <v>20000</v>
      </c>
      <c r="Q12">
        <v>20</v>
      </c>
      <c r="R12">
        <v>3.8</v>
      </c>
      <c r="S12" t="str">
        <f>_xlfn.XLOOKUP(Table1[[#This Row],[method]],Table7[method],Table7[id_method])</f>
        <v>PAY0710</v>
      </c>
      <c r="T12" t="s">
        <v>1237</v>
      </c>
      <c r="U12">
        <v>32000</v>
      </c>
    </row>
    <row r="13" spans="1:21" x14ac:dyDescent="0.25">
      <c r="A13" t="s">
        <v>25</v>
      </c>
      <c r="B13" t="str">
        <f>_xlfn.XLOOKUP(Table1[[#This Row],[date]],Table8[date],Table8[id_date])</f>
        <v>TGL0506</v>
      </c>
      <c r="C13" s="1">
        <v>45297</v>
      </c>
      <c r="D13" s="1" t="str">
        <f>_xlfn.XLOOKUP(Table1[[#This Row],[customer_name]],Table11[customer_name],Table11[id_cust])</f>
        <v>CNA0112</v>
      </c>
      <c r="E13" t="s">
        <v>1025</v>
      </c>
      <c r="F13">
        <v>22</v>
      </c>
      <c r="G13" t="str">
        <f>_xlfn.XLOOKUP(Table1[[#This Row],[branch_name]],Table3[branch_name],Table3[id_branch])</f>
        <v>BRCH005</v>
      </c>
      <c r="H13" t="s">
        <v>1217</v>
      </c>
      <c r="I13" t="str">
        <f>_xlfn.XLOOKUP(Table1[[#This Row],[city]],Table4[city],Table4[id_city])</f>
        <v>KOA0106</v>
      </c>
      <c r="J13" t="s">
        <v>1222</v>
      </c>
      <c r="K13" t="str">
        <f>_xlfn.XLOOKUP(Table1[[#This Row],[menu_name]],Table5[menu_name],Table5[id_menu])</f>
        <v>MENU007</v>
      </c>
      <c r="L13" t="s">
        <v>1229</v>
      </c>
      <c r="M13" t="str">
        <f>_xlfn.XLOOKUP(Table1[[#This Row],[category]],Table6[category],Table6[id_category])</f>
        <v>KTG0207</v>
      </c>
      <c r="N13" t="s">
        <v>1235</v>
      </c>
      <c r="O13">
        <v>1</v>
      </c>
      <c r="P13">
        <v>27000</v>
      </c>
      <c r="Q13">
        <v>15</v>
      </c>
      <c r="R13">
        <v>4.2</v>
      </c>
      <c r="S13" t="str">
        <f>_xlfn.XLOOKUP(Table1[[#This Row],[method]],Table7[method],Table7[id_method])</f>
        <v>PAY0709</v>
      </c>
      <c r="T13" t="s">
        <v>1236</v>
      </c>
      <c r="U13">
        <v>22950</v>
      </c>
    </row>
    <row r="14" spans="1:21" x14ac:dyDescent="0.25">
      <c r="A14" t="s">
        <v>26</v>
      </c>
      <c r="B14" t="str">
        <f>_xlfn.XLOOKUP(Table1[[#This Row],[date]],Table8[date],Table8[id_date])</f>
        <v>TGL0507</v>
      </c>
      <c r="C14" s="1">
        <v>45298</v>
      </c>
      <c r="D14" s="1" t="str">
        <f>_xlfn.XLOOKUP(Table1[[#This Row],[customer_name]],Table11[customer_name],Table11[id_cust])</f>
        <v>CNA0113</v>
      </c>
      <c r="E14" t="s">
        <v>1026</v>
      </c>
      <c r="F14">
        <v>33</v>
      </c>
      <c r="G14" t="str">
        <f>_xlfn.XLOOKUP(Table1[[#This Row],[branch_name]],Table3[branch_name],Table3[id_branch])</f>
        <v>BRCH003</v>
      </c>
      <c r="H14" t="s">
        <v>1215</v>
      </c>
      <c r="I14" t="str">
        <f>_xlfn.XLOOKUP(Table1[[#This Row],[city]],Table4[city],Table4[id_city])</f>
        <v>KOA0104</v>
      </c>
      <c r="J14" t="s">
        <v>1220</v>
      </c>
      <c r="K14" t="str">
        <f>_xlfn.XLOOKUP(Table1[[#This Row],[menu_name]],Table5[menu_name],Table5[id_menu])</f>
        <v>MENU003</v>
      </c>
      <c r="L14" t="s">
        <v>1225</v>
      </c>
      <c r="M14" t="str">
        <f>_xlfn.XLOOKUP(Table1[[#This Row],[category]],Table6[category],Table6[id_category])</f>
        <v>KTG0205</v>
      </c>
      <c r="N14" t="s">
        <v>1233</v>
      </c>
      <c r="O14">
        <v>1</v>
      </c>
      <c r="P14">
        <v>22000</v>
      </c>
      <c r="Q14">
        <v>15</v>
      </c>
      <c r="R14">
        <v>2.4</v>
      </c>
      <c r="S14" t="str">
        <f>_xlfn.XLOOKUP(Table1[[#This Row],[method]],Table7[method],Table7[id_method])</f>
        <v>PAY0709</v>
      </c>
      <c r="T14" t="s">
        <v>1236</v>
      </c>
      <c r="U14">
        <v>18700</v>
      </c>
    </row>
    <row r="15" spans="1:21" x14ac:dyDescent="0.25">
      <c r="A15" t="s">
        <v>27</v>
      </c>
      <c r="B15" t="str">
        <f>_xlfn.XLOOKUP(Table1[[#This Row],[date]],Table8[date],Table8[id_date])</f>
        <v>TGL0507</v>
      </c>
      <c r="C15" s="1">
        <v>45298</v>
      </c>
      <c r="D15" s="1" t="str">
        <f>_xlfn.XLOOKUP(Table1[[#This Row],[customer_name]],Table11[customer_name],Table11[id_cust])</f>
        <v>CNA0114</v>
      </c>
      <c r="E15" t="s">
        <v>1027</v>
      </c>
      <c r="F15">
        <v>51</v>
      </c>
      <c r="G15" t="str">
        <f>_xlfn.XLOOKUP(Table1[[#This Row],[branch_name]],Table3[branch_name],Table3[id_branch])</f>
        <v>BRCH003</v>
      </c>
      <c r="H15" t="s">
        <v>1215</v>
      </c>
      <c r="I15" t="str">
        <f>_xlfn.XLOOKUP(Table1[[#This Row],[city]],Table4[city],Table4[id_city])</f>
        <v>KOA0104</v>
      </c>
      <c r="J15" t="s">
        <v>1220</v>
      </c>
      <c r="K15" t="str">
        <f>_xlfn.XLOOKUP(Table1[[#This Row],[menu_name]],Table5[menu_name],Table5[id_menu])</f>
        <v>MENU002</v>
      </c>
      <c r="L15" t="s">
        <v>1224</v>
      </c>
      <c r="M15" t="str">
        <f>_xlfn.XLOOKUP(Table1[[#This Row],[category]],Table6[category],Table6[id_category])</f>
        <v>KTG0206</v>
      </c>
      <c r="N15" t="s">
        <v>1234</v>
      </c>
      <c r="O15">
        <v>2</v>
      </c>
      <c r="P15">
        <v>30000</v>
      </c>
      <c r="Q15">
        <v>5</v>
      </c>
      <c r="R15">
        <v>3.8</v>
      </c>
      <c r="S15" t="str">
        <f>_xlfn.XLOOKUP(Table1[[#This Row],[method]],Table7[method],Table7[id_method])</f>
        <v>PAY0710</v>
      </c>
      <c r="T15" t="s">
        <v>1237</v>
      </c>
      <c r="U15">
        <v>57000</v>
      </c>
    </row>
    <row r="16" spans="1:21" x14ac:dyDescent="0.25">
      <c r="A16" t="s">
        <v>28</v>
      </c>
      <c r="B16" t="str">
        <f>_xlfn.XLOOKUP(Table1[[#This Row],[date]],Table8[date],Table8[id_date])</f>
        <v>TGL0508</v>
      </c>
      <c r="C16" s="1">
        <v>45299</v>
      </c>
      <c r="D16" s="1" t="str">
        <f>_xlfn.XLOOKUP(Table1[[#This Row],[customer_name]],Table11[customer_name],Table11[id_cust])</f>
        <v>CNA0115</v>
      </c>
      <c r="E16" t="s">
        <v>1028</v>
      </c>
      <c r="F16">
        <v>46</v>
      </c>
      <c r="G16" t="str">
        <f>_xlfn.XLOOKUP(Table1[[#This Row],[branch_name]],Table3[branch_name],Table3[id_branch])</f>
        <v>BRCH003</v>
      </c>
      <c r="H16" t="s">
        <v>1215</v>
      </c>
      <c r="I16" t="str">
        <f>_xlfn.XLOOKUP(Table1[[#This Row],[city]],Table4[city],Table4[id_city])</f>
        <v>KOA0104</v>
      </c>
      <c r="J16" t="s">
        <v>1220</v>
      </c>
      <c r="K16" t="str">
        <f>_xlfn.XLOOKUP(Table1[[#This Row],[menu_name]],Table5[menu_name],Table5[id_menu])</f>
        <v>MENU009</v>
      </c>
      <c r="L16" t="s">
        <v>1231</v>
      </c>
      <c r="M16" t="str">
        <f>_xlfn.XLOOKUP(Table1[[#This Row],[category]],Table6[category],Table6[id_category])</f>
        <v>KTG0206</v>
      </c>
      <c r="N16" t="s">
        <v>1234</v>
      </c>
      <c r="O16">
        <v>1</v>
      </c>
      <c r="P16">
        <v>18000</v>
      </c>
      <c r="Q16">
        <v>10</v>
      </c>
      <c r="R16">
        <v>4</v>
      </c>
      <c r="S16" t="str">
        <f>_xlfn.XLOOKUP(Table1[[#This Row],[method]],Table7[method],Table7[id_method])</f>
        <v>PAY0712</v>
      </c>
      <c r="T16" t="s">
        <v>1239</v>
      </c>
      <c r="U16">
        <v>16200</v>
      </c>
    </row>
    <row r="17" spans="1:21" x14ac:dyDescent="0.25">
      <c r="A17" t="s">
        <v>29</v>
      </c>
      <c r="B17" t="str">
        <f>_xlfn.XLOOKUP(Table1[[#This Row],[date]],Table8[date],Table8[id_date])</f>
        <v>TGL0508</v>
      </c>
      <c r="C17" s="1">
        <v>45299</v>
      </c>
      <c r="D17" s="1" t="str">
        <f>_xlfn.XLOOKUP(Table1[[#This Row],[customer_name]],Table11[customer_name],Table11[id_cust])</f>
        <v>CNA0116</v>
      </c>
      <c r="E17" t="s">
        <v>1029</v>
      </c>
      <c r="F17">
        <v>45</v>
      </c>
      <c r="G17" t="str">
        <f>_xlfn.XLOOKUP(Table1[[#This Row],[branch_name]],Table3[branch_name],Table3[id_branch])</f>
        <v>BRCH005</v>
      </c>
      <c r="H17" t="s">
        <v>1217</v>
      </c>
      <c r="I17" t="str">
        <f>_xlfn.XLOOKUP(Table1[[#This Row],[city]],Table4[city],Table4[id_city])</f>
        <v>KOA0106</v>
      </c>
      <c r="J17" t="s">
        <v>1222</v>
      </c>
      <c r="K17" t="str">
        <f>_xlfn.XLOOKUP(Table1[[#This Row],[menu_name]],Table5[menu_name],Table5[id_menu])</f>
        <v>MENU006</v>
      </c>
      <c r="L17" t="s">
        <v>1228</v>
      </c>
      <c r="M17" t="str">
        <f>_xlfn.XLOOKUP(Table1[[#This Row],[category]],Table6[category],Table6[id_category])</f>
        <v>KTG0206</v>
      </c>
      <c r="N17" t="s">
        <v>1234</v>
      </c>
      <c r="O17">
        <v>3</v>
      </c>
      <c r="P17">
        <v>32000</v>
      </c>
      <c r="Q17">
        <v>5</v>
      </c>
      <c r="R17">
        <v>1.4</v>
      </c>
      <c r="S17" t="str">
        <f>_xlfn.XLOOKUP(Table1[[#This Row],[method]],Table7[method],Table7[id_method])</f>
        <v>PAY0709</v>
      </c>
      <c r="T17" t="s">
        <v>1236</v>
      </c>
      <c r="U17">
        <v>91200</v>
      </c>
    </row>
    <row r="18" spans="1:21" x14ac:dyDescent="0.25">
      <c r="A18" t="s">
        <v>30</v>
      </c>
      <c r="B18" t="str">
        <f>_xlfn.XLOOKUP(Table1[[#This Row],[date]],Table8[date],Table8[id_date])</f>
        <v>TGL0508</v>
      </c>
      <c r="C18" s="1">
        <v>45299</v>
      </c>
      <c r="D18" s="1" t="str">
        <f>_xlfn.XLOOKUP(Table1[[#This Row],[customer_name]],Table11[customer_name],Table11[id_cust])</f>
        <v>CNA0117</v>
      </c>
      <c r="E18" t="s">
        <v>1030</v>
      </c>
      <c r="F18">
        <v>53</v>
      </c>
      <c r="G18" t="str">
        <f>_xlfn.XLOOKUP(Table1[[#This Row],[branch_name]],Table3[branch_name],Table3[id_branch])</f>
        <v>BRCH004</v>
      </c>
      <c r="H18" t="s">
        <v>1216</v>
      </c>
      <c r="I18" t="str">
        <f>_xlfn.XLOOKUP(Table1[[#This Row],[city]],Table4[city],Table4[id_city])</f>
        <v>KOA0105</v>
      </c>
      <c r="J18" t="s">
        <v>1221</v>
      </c>
      <c r="K18" t="str">
        <f>_xlfn.XLOOKUP(Table1[[#This Row],[menu_name]],Table5[menu_name],Table5[id_menu])</f>
        <v>MENU003</v>
      </c>
      <c r="L18" t="s">
        <v>1225</v>
      </c>
      <c r="M18" t="str">
        <f>_xlfn.XLOOKUP(Table1[[#This Row],[category]],Table6[category],Table6[id_category])</f>
        <v>KTG0205</v>
      </c>
      <c r="N18" t="s">
        <v>1233</v>
      </c>
      <c r="O18">
        <v>2</v>
      </c>
      <c r="P18">
        <v>22000</v>
      </c>
      <c r="Q18">
        <v>10</v>
      </c>
      <c r="R18">
        <v>1.7</v>
      </c>
      <c r="S18" t="str">
        <f>_xlfn.XLOOKUP(Table1[[#This Row],[method]],Table7[method],Table7[id_method])</f>
        <v>PAY0709</v>
      </c>
      <c r="T18" t="s">
        <v>1236</v>
      </c>
      <c r="U18">
        <v>39600</v>
      </c>
    </row>
    <row r="19" spans="1:21" x14ac:dyDescent="0.25">
      <c r="A19" t="s">
        <v>31</v>
      </c>
      <c r="B19" t="str">
        <f>_xlfn.XLOOKUP(Table1[[#This Row],[date]],Table8[date],Table8[id_date])</f>
        <v>TGL0509</v>
      </c>
      <c r="C19" s="1">
        <v>45300</v>
      </c>
      <c r="D19" s="1" t="str">
        <f>_xlfn.XLOOKUP(Table1[[#This Row],[customer_name]],Table11[customer_name],Table11[id_cust])</f>
        <v>CNA0118</v>
      </c>
      <c r="E19" t="s">
        <v>1031</v>
      </c>
      <c r="F19">
        <v>22</v>
      </c>
      <c r="G19" t="str">
        <f>_xlfn.XLOOKUP(Table1[[#This Row],[branch_name]],Table3[branch_name],Table3[id_branch])</f>
        <v>BRCH002</v>
      </c>
      <c r="H19" t="s">
        <v>1214</v>
      </c>
      <c r="I19" t="str">
        <f>_xlfn.XLOOKUP(Table1[[#This Row],[city]],Table4[city],Table4[id_city])</f>
        <v>KOA0103</v>
      </c>
      <c r="J19" t="s">
        <v>1219</v>
      </c>
      <c r="K19" t="str">
        <f>_xlfn.XLOOKUP(Table1[[#This Row],[menu_name]],Table5[menu_name],Table5[id_menu])</f>
        <v>MENU006</v>
      </c>
      <c r="L19" t="s">
        <v>1228</v>
      </c>
      <c r="M19" t="str">
        <f>_xlfn.XLOOKUP(Table1[[#This Row],[category]],Table6[category],Table6[id_category])</f>
        <v>KTG0206</v>
      </c>
      <c r="N19" t="s">
        <v>1234</v>
      </c>
      <c r="O19">
        <v>5</v>
      </c>
      <c r="P19">
        <v>32000</v>
      </c>
      <c r="Q19">
        <v>0</v>
      </c>
      <c r="R19">
        <v>1.2</v>
      </c>
      <c r="S19" t="str">
        <f>_xlfn.XLOOKUP(Table1[[#This Row],[method]],Table7[method],Table7[id_method])</f>
        <v>PAY0710</v>
      </c>
      <c r="T19" t="s">
        <v>1237</v>
      </c>
      <c r="U19">
        <v>160000</v>
      </c>
    </row>
    <row r="20" spans="1:21" x14ac:dyDescent="0.25">
      <c r="A20" t="s">
        <v>32</v>
      </c>
      <c r="B20" t="str">
        <f>_xlfn.XLOOKUP(Table1[[#This Row],[date]],Table8[date],Table8[id_date])</f>
        <v>TGL0509</v>
      </c>
      <c r="C20" s="1">
        <v>45300</v>
      </c>
      <c r="D20" s="1" t="str">
        <f>_xlfn.XLOOKUP(Table1[[#This Row],[customer_name]],Table11[customer_name],Table11[id_cust])</f>
        <v>CNA0119</v>
      </c>
      <c r="E20" t="s">
        <v>1032</v>
      </c>
      <c r="F20">
        <v>35</v>
      </c>
      <c r="G20" t="str">
        <f>_xlfn.XLOOKUP(Table1[[#This Row],[branch_name]],Table3[branch_name],Table3[id_branch])</f>
        <v>BRCH005</v>
      </c>
      <c r="H20" t="s">
        <v>1217</v>
      </c>
      <c r="I20" t="str">
        <f>_xlfn.XLOOKUP(Table1[[#This Row],[city]],Table4[city],Table4[id_city])</f>
        <v>KOA0106</v>
      </c>
      <c r="J20" t="s">
        <v>1222</v>
      </c>
      <c r="K20" t="str">
        <f>_xlfn.XLOOKUP(Table1[[#This Row],[menu_name]],Table5[menu_name],Table5[id_menu])</f>
        <v>MENU009</v>
      </c>
      <c r="L20" t="s">
        <v>1231</v>
      </c>
      <c r="M20" t="str">
        <f>_xlfn.XLOOKUP(Table1[[#This Row],[category]],Table6[category],Table6[id_category])</f>
        <v>KTG0206</v>
      </c>
      <c r="N20" t="s">
        <v>1234</v>
      </c>
      <c r="O20">
        <v>4</v>
      </c>
      <c r="P20">
        <v>18000</v>
      </c>
      <c r="Q20">
        <v>5</v>
      </c>
      <c r="R20">
        <v>2.2000000000000002</v>
      </c>
      <c r="S20" t="str">
        <f>_xlfn.XLOOKUP(Table1[[#This Row],[method]],Table7[method],Table7[id_method])</f>
        <v>PAY0711</v>
      </c>
      <c r="T20" t="s">
        <v>1238</v>
      </c>
      <c r="U20">
        <v>68400</v>
      </c>
    </row>
    <row r="21" spans="1:21" x14ac:dyDescent="0.25">
      <c r="A21" t="s">
        <v>33</v>
      </c>
      <c r="B21" t="str">
        <f>_xlfn.XLOOKUP(Table1[[#This Row],[date]],Table8[date],Table8[id_date])</f>
        <v>TGL0510</v>
      </c>
      <c r="C21" s="1">
        <v>45301</v>
      </c>
      <c r="D21" s="1" t="str">
        <f>_xlfn.XLOOKUP(Table1[[#This Row],[customer_name]],Table11[customer_name],Table11[id_cust])</f>
        <v>CNA0120</v>
      </c>
      <c r="E21" t="s">
        <v>1033</v>
      </c>
      <c r="F21">
        <v>44</v>
      </c>
      <c r="G21" t="str">
        <f>_xlfn.XLOOKUP(Table1[[#This Row],[branch_name]],Table3[branch_name],Table3[id_branch])</f>
        <v>BRCH005</v>
      </c>
      <c r="H21" t="s">
        <v>1217</v>
      </c>
      <c r="I21" t="str">
        <f>_xlfn.XLOOKUP(Table1[[#This Row],[city]],Table4[city],Table4[id_city])</f>
        <v>KOA0106</v>
      </c>
      <c r="J21" t="s">
        <v>1222</v>
      </c>
      <c r="K21" t="str">
        <f>_xlfn.XLOOKUP(Table1[[#This Row],[menu_name]],Table5[menu_name],Table5[id_menu])</f>
        <v>MENU005</v>
      </c>
      <c r="L21" t="s">
        <v>1227</v>
      </c>
      <c r="M21" t="str">
        <f>_xlfn.XLOOKUP(Table1[[#This Row],[category]],Table6[category],Table6[id_category])</f>
        <v>KTG0206</v>
      </c>
      <c r="N21" t="s">
        <v>1234</v>
      </c>
      <c r="O21">
        <v>1</v>
      </c>
      <c r="P21">
        <v>23000</v>
      </c>
      <c r="Q21">
        <v>10</v>
      </c>
      <c r="R21">
        <v>4.5</v>
      </c>
      <c r="S21" t="str">
        <f>_xlfn.XLOOKUP(Table1[[#This Row],[method]],Table7[method],Table7[id_method])</f>
        <v>PAY0709</v>
      </c>
      <c r="T21" t="s">
        <v>1236</v>
      </c>
      <c r="U21">
        <v>20700</v>
      </c>
    </row>
    <row r="22" spans="1:21" x14ac:dyDescent="0.25">
      <c r="A22" t="s">
        <v>34</v>
      </c>
      <c r="B22" t="str">
        <f>_xlfn.XLOOKUP(Table1[[#This Row],[date]],Table8[date],Table8[id_date])</f>
        <v>TGL0510</v>
      </c>
      <c r="C22" s="1">
        <v>45301</v>
      </c>
      <c r="D22" s="1" t="str">
        <f>_xlfn.XLOOKUP(Table1[[#This Row],[customer_name]],Table11[customer_name],Table11[id_cust])</f>
        <v>CNA0121</v>
      </c>
      <c r="E22" t="s">
        <v>1034</v>
      </c>
      <c r="F22">
        <v>25</v>
      </c>
      <c r="G22" t="str">
        <f>_xlfn.XLOOKUP(Table1[[#This Row],[branch_name]],Table3[branch_name],Table3[id_branch])</f>
        <v>BRCH004</v>
      </c>
      <c r="H22" t="s">
        <v>1216</v>
      </c>
      <c r="I22" t="str">
        <f>_xlfn.XLOOKUP(Table1[[#This Row],[city]],Table4[city],Table4[id_city])</f>
        <v>KOA0105</v>
      </c>
      <c r="J22" t="s">
        <v>1221</v>
      </c>
      <c r="K22" t="str">
        <f>_xlfn.XLOOKUP(Table1[[#This Row],[menu_name]],Table5[menu_name],Table5[id_menu])</f>
        <v>MENU009</v>
      </c>
      <c r="L22" t="s">
        <v>1231</v>
      </c>
      <c r="M22" t="str">
        <f>_xlfn.XLOOKUP(Table1[[#This Row],[category]],Table6[category],Table6[id_category])</f>
        <v>KTG0206</v>
      </c>
      <c r="N22" t="s">
        <v>1234</v>
      </c>
      <c r="O22">
        <v>3</v>
      </c>
      <c r="P22">
        <v>18000</v>
      </c>
      <c r="Q22">
        <v>0</v>
      </c>
      <c r="R22">
        <v>4.9000000000000004</v>
      </c>
      <c r="S22" t="str">
        <f>_xlfn.XLOOKUP(Table1[[#This Row],[method]],Table7[method],Table7[id_method])</f>
        <v>PAY0710</v>
      </c>
      <c r="T22" t="s">
        <v>1237</v>
      </c>
      <c r="U22">
        <v>54000</v>
      </c>
    </row>
    <row r="23" spans="1:21" x14ac:dyDescent="0.25">
      <c r="A23" t="s">
        <v>35</v>
      </c>
      <c r="B23" t="str">
        <f>_xlfn.XLOOKUP(Table1[[#This Row],[date]],Table8[date],Table8[id_date])</f>
        <v>TGL0511</v>
      </c>
      <c r="C23" s="1">
        <v>45302</v>
      </c>
      <c r="D23" s="1" t="str">
        <f>_xlfn.XLOOKUP(Table1[[#This Row],[customer_name]],Table11[customer_name],Table11[id_cust])</f>
        <v>CNA0122</v>
      </c>
      <c r="E23" t="s">
        <v>1035</v>
      </c>
      <c r="F23">
        <v>20</v>
      </c>
      <c r="G23" t="str">
        <f>_xlfn.XLOOKUP(Table1[[#This Row],[branch_name]],Table3[branch_name],Table3[id_branch])</f>
        <v>BRCH002</v>
      </c>
      <c r="H23" t="s">
        <v>1214</v>
      </c>
      <c r="I23" t="str">
        <f>_xlfn.XLOOKUP(Table1[[#This Row],[city]],Table4[city],Table4[id_city])</f>
        <v>KOA0103</v>
      </c>
      <c r="J23" t="s">
        <v>1219</v>
      </c>
      <c r="K23" t="str">
        <f>_xlfn.XLOOKUP(Table1[[#This Row],[menu_name]],Table5[menu_name],Table5[id_menu])</f>
        <v>MENU001</v>
      </c>
      <c r="L23" t="s">
        <v>1223</v>
      </c>
      <c r="M23" t="str">
        <f>_xlfn.XLOOKUP(Table1[[#This Row],[category]],Table6[category],Table6[id_category])</f>
        <v>KTG0205</v>
      </c>
      <c r="N23" t="s">
        <v>1233</v>
      </c>
      <c r="O23">
        <v>1</v>
      </c>
      <c r="P23">
        <v>25000</v>
      </c>
      <c r="Q23">
        <v>15</v>
      </c>
      <c r="R23">
        <v>3.6</v>
      </c>
      <c r="S23" t="str">
        <f>_xlfn.XLOOKUP(Table1[[#This Row],[method]],Table7[method],Table7[id_method])</f>
        <v>PAY0711</v>
      </c>
      <c r="T23" t="s">
        <v>1238</v>
      </c>
      <c r="U23">
        <v>21250</v>
      </c>
    </row>
    <row r="24" spans="1:21" x14ac:dyDescent="0.25">
      <c r="A24" t="s">
        <v>36</v>
      </c>
      <c r="B24" t="str">
        <f>_xlfn.XLOOKUP(Table1[[#This Row],[date]],Table8[date],Table8[id_date])</f>
        <v>TGL0512</v>
      </c>
      <c r="C24" s="1">
        <v>45303</v>
      </c>
      <c r="D24" s="1" t="str">
        <f>_xlfn.XLOOKUP(Table1[[#This Row],[customer_name]],Table11[customer_name],Table11[id_cust])</f>
        <v>CNA0123</v>
      </c>
      <c r="E24" t="s">
        <v>1036</v>
      </c>
      <c r="F24">
        <v>31</v>
      </c>
      <c r="G24" t="str">
        <f>_xlfn.XLOOKUP(Table1[[#This Row],[branch_name]],Table3[branch_name],Table3[id_branch])</f>
        <v>BRCH002</v>
      </c>
      <c r="H24" t="s">
        <v>1214</v>
      </c>
      <c r="I24" t="str">
        <f>_xlfn.XLOOKUP(Table1[[#This Row],[city]],Table4[city],Table4[id_city])</f>
        <v>KOA0103</v>
      </c>
      <c r="J24" t="s">
        <v>1219</v>
      </c>
      <c r="K24" t="str">
        <f>_xlfn.XLOOKUP(Table1[[#This Row],[menu_name]],Table5[menu_name],Table5[id_menu])</f>
        <v>MENU005</v>
      </c>
      <c r="L24" t="s">
        <v>1227</v>
      </c>
      <c r="M24" t="str">
        <f>_xlfn.XLOOKUP(Table1[[#This Row],[category]],Table6[category],Table6[id_category])</f>
        <v>KTG0206</v>
      </c>
      <c r="N24" t="s">
        <v>1234</v>
      </c>
      <c r="O24">
        <v>3</v>
      </c>
      <c r="P24">
        <v>23000</v>
      </c>
      <c r="Q24">
        <v>15</v>
      </c>
      <c r="R24">
        <v>3.1</v>
      </c>
      <c r="S24" t="str">
        <f>_xlfn.XLOOKUP(Table1[[#This Row],[method]],Table7[method],Table7[id_method])</f>
        <v>PAY0711</v>
      </c>
      <c r="T24" t="s">
        <v>1238</v>
      </c>
      <c r="U24">
        <v>58650</v>
      </c>
    </row>
    <row r="25" spans="1:21" x14ac:dyDescent="0.25">
      <c r="A25" t="s">
        <v>37</v>
      </c>
      <c r="B25" t="str">
        <f>_xlfn.XLOOKUP(Table1[[#This Row],[date]],Table8[date],Table8[id_date])</f>
        <v>TGL0512</v>
      </c>
      <c r="C25" s="1">
        <v>45303</v>
      </c>
      <c r="D25" s="1" t="str">
        <f>_xlfn.XLOOKUP(Table1[[#This Row],[customer_name]],Table11[customer_name],Table11[id_cust])</f>
        <v>CNA0124</v>
      </c>
      <c r="E25" t="s">
        <v>1037</v>
      </c>
      <c r="F25">
        <v>33</v>
      </c>
      <c r="G25" t="str">
        <f>_xlfn.XLOOKUP(Table1[[#This Row],[branch_name]],Table3[branch_name],Table3[id_branch])</f>
        <v>BRCH005</v>
      </c>
      <c r="H25" t="s">
        <v>1217</v>
      </c>
      <c r="I25" t="str">
        <f>_xlfn.XLOOKUP(Table1[[#This Row],[city]],Table4[city],Table4[id_city])</f>
        <v>KOA0106</v>
      </c>
      <c r="J25" t="s">
        <v>1222</v>
      </c>
      <c r="K25" t="str">
        <f>_xlfn.XLOOKUP(Table1[[#This Row],[menu_name]],Table5[menu_name],Table5[id_menu])</f>
        <v>MENU005</v>
      </c>
      <c r="L25" t="s">
        <v>1227</v>
      </c>
      <c r="M25" t="str">
        <f>_xlfn.XLOOKUP(Table1[[#This Row],[category]],Table6[category],Table6[id_category])</f>
        <v>KTG0206</v>
      </c>
      <c r="N25" t="s">
        <v>1234</v>
      </c>
      <c r="O25">
        <v>4</v>
      </c>
      <c r="P25">
        <v>23000</v>
      </c>
      <c r="Q25">
        <v>20</v>
      </c>
      <c r="R25">
        <v>1.1000000000000001</v>
      </c>
      <c r="S25" t="str">
        <f>_xlfn.XLOOKUP(Table1[[#This Row],[method]],Table7[method],Table7[id_method])</f>
        <v>PAY0711</v>
      </c>
      <c r="T25" t="s">
        <v>1238</v>
      </c>
      <c r="U25">
        <v>73600</v>
      </c>
    </row>
    <row r="26" spans="1:21" x14ac:dyDescent="0.25">
      <c r="A26" t="s">
        <v>38</v>
      </c>
      <c r="B26" t="str">
        <f>_xlfn.XLOOKUP(Table1[[#This Row],[date]],Table8[date],Table8[id_date])</f>
        <v>TGL0513</v>
      </c>
      <c r="C26" s="1">
        <v>45304</v>
      </c>
      <c r="D26" s="1" t="str">
        <f>_xlfn.XLOOKUP(Table1[[#This Row],[customer_name]],Table11[customer_name],Table11[id_cust])</f>
        <v>CNA0121</v>
      </c>
      <c r="E26" t="s">
        <v>1034</v>
      </c>
      <c r="F26">
        <v>25</v>
      </c>
      <c r="G26" t="str">
        <f>_xlfn.XLOOKUP(Table1[[#This Row],[branch_name]],Table3[branch_name],Table3[id_branch])</f>
        <v>BRCH004</v>
      </c>
      <c r="H26" t="s">
        <v>1216</v>
      </c>
      <c r="I26" t="str">
        <f>_xlfn.XLOOKUP(Table1[[#This Row],[city]],Table4[city],Table4[id_city])</f>
        <v>KOA0105</v>
      </c>
      <c r="J26" t="s">
        <v>1221</v>
      </c>
      <c r="K26" t="str">
        <f>_xlfn.XLOOKUP(Table1[[#This Row],[menu_name]],Table5[menu_name],Table5[id_menu])</f>
        <v>MENU002</v>
      </c>
      <c r="L26" t="s">
        <v>1224</v>
      </c>
      <c r="M26" t="str">
        <f>_xlfn.XLOOKUP(Table1[[#This Row],[category]],Table6[category],Table6[id_category])</f>
        <v>KTG0206</v>
      </c>
      <c r="N26" t="s">
        <v>1234</v>
      </c>
      <c r="O26">
        <v>3</v>
      </c>
      <c r="P26">
        <v>30000</v>
      </c>
      <c r="Q26">
        <v>0</v>
      </c>
      <c r="R26">
        <v>3.5</v>
      </c>
      <c r="S26" t="str">
        <f>_xlfn.XLOOKUP(Table1[[#This Row],[method]],Table7[method],Table7[id_method])</f>
        <v>PAY0709</v>
      </c>
      <c r="T26" t="s">
        <v>1236</v>
      </c>
      <c r="U26">
        <v>90000</v>
      </c>
    </row>
    <row r="27" spans="1:21" x14ac:dyDescent="0.25">
      <c r="A27" t="s">
        <v>39</v>
      </c>
      <c r="B27" t="str">
        <f>_xlfn.XLOOKUP(Table1[[#This Row],[date]],Table8[date],Table8[id_date])</f>
        <v>TGL0514</v>
      </c>
      <c r="C27" s="1">
        <v>45306</v>
      </c>
      <c r="D27" s="1" t="str">
        <f>_xlfn.XLOOKUP(Table1[[#This Row],[customer_name]],Table11[customer_name],Table11[id_cust])</f>
        <v>CNA0126</v>
      </c>
      <c r="E27" t="s">
        <v>1038</v>
      </c>
      <c r="F27">
        <v>30</v>
      </c>
      <c r="G27" t="str">
        <f>_xlfn.XLOOKUP(Table1[[#This Row],[branch_name]],Table3[branch_name],Table3[id_branch])</f>
        <v>BRCH003</v>
      </c>
      <c r="H27" t="s">
        <v>1215</v>
      </c>
      <c r="I27" t="str">
        <f>_xlfn.XLOOKUP(Table1[[#This Row],[city]],Table4[city],Table4[id_city])</f>
        <v>KOA0104</v>
      </c>
      <c r="J27" t="s">
        <v>1220</v>
      </c>
      <c r="K27" t="str">
        <f>_xlfn.XLOOKUP(Table1[[#This Row],[menu_name]],Table5[menu_name],Table5[id_menu])</f>
        <v>MENU003</v>
      </c>
      <c r="L27" t="s">
        <v>1225</v>
      </c>
      <c r="M27" t="str">
        <f>_xlfn.XLOOKUP(Table1[[#This Row],[category]],Table6[category],Table6[id_category])</f>
        <v>KTG0205</v>
      </c>
      <c r="N27" t="s">
        <v>1233</v>
      </c>
      <c r="O27">
        <v>4</v>
      </c>
      <c r="P27">
        <v>22000</v>
      </c>
      <c r="Q27">
        <v>5</v>
      </c>
      <c r="R27">
        <v>3.9</v>
      </c>
      <c r="S27" t="str">
        <f>_xlfn.XLOOKUP(Table1[[#This Row],[method]],Table7[method],Table7[id_method])</f>
        <v>PAY0710</v>
      </c>
      <c r="T27" t="s">
        <v>1237</v>
      </c>
      <c r="U27">
        <v>83600</v>
      </c>
    </row>
    <row r="28" spans="1:21" x14ac:dyDescent="0.25">
      <c r="A28" t="s">
        <v>40</v>
      </c>
      <c r="B28" t="str">
        <f>_xlfn.XLOOKUP(Table1[[#This Row],[date]],Table8[date],Table8[id_date])</f>
        <v>TGL0514</v>
      </c>
      <c r="C28" s="1">
        <v>45306</v>
      </c>
      <c r="D28" s="1" t="str">
        <f>_xlfn.XLOOKUP(Table1[[#This Row],[customer_name]],Table11[customer_name],Table11[id_cust])</f>
        <v>CNA0127</v>
      </c>
      <c r="E28" t="s">
        <v>1039</v>
      </c>
      <c r="F28">
        <v>48</v>
      </c>
      <c r="G28" t="str">
        <f>_xlfn.XLOOKUP(Table1[[#This Row],[branch_name]],Table3[branch_name],Table3[id_branch])</f>
        <v>BRCH001</v>
      </c>
      <c r="H28" t="s">
        <v>1213</v>
      </c>
      <c r="I28" t="str">
        <f>_xlfn.XLOOKUP(Table1[[#This Row],[city]],Table4[city],Table4[id_city])</f>
        <v>KOA0102</v>
      </c>
      <c r="J28" t="s">
        <v>1218</v>
      </c>
      <c r="K28" t="str">
        <f>_xlfn.XLOOKUP(Table1[[#This Row],[menu_name]],Table5[menu_name],Table5[id_menu])</f>
        <v>MENU003</v>
      </c>
      <c r="L28" t="s">
        <v>1225</v>
      </c>
      <c r="M28" t="str">
        <f>_xlfn.XLOOKUP(Table1[[#This Row],[category]],Table6[category],Table6[id_category])</f>
        <v>KTG0205</v>
      </c>
      <c r="N28" t="s">
        <v>1233</v>
      </c>
      <c r="O28">
        <v>1</v>
      </c>
      <c r="P28">
        <v>22000</v>
      </c>
      <c r="Q28">
        <v>0</v>
      </c>
      <c r="R28">
        <v>2.2000000000000002</v>
      </c>
      <c r="S28" t="str">
        <f>_xlfn.XLOOKUP(Table1[[#This Row],[method]],Table7[method],Table7[id_method])</f>
        <v>PAY0712</v>
      </c>
      <c r="T28" t="s">
        <v>1239</v>
      </c>
      <c r="U28">
        <v>22000</v>
      </c>
    </row>
    <row r="29" spans="1:21" x14ac:dyDescent="0.25">
      <c r="A29" t="s">
        <v>41</v>
      </c>
      <c r="B29" t="str">
        <f>_xlfn.XLOOKUP(Table1[[#This Row],[date]],Table8[date],Table8[id_date])</f>
        <v>TGL0514</v>
      </c>
      <c r="C29" s="1">
        <v>45306</v>
      </c>
      <c r="D29" s="1" t="str">
        <f>_xlfn.XLOOKUP(Table1[[#This Row],[customer_name]],Table11[customer_name],Table11[id_cust])</f>
        <v>CNA0128</v>
      </c>
      <c r="E29" t="s">
        <v>1040</v>
      </c>
      <c r="F29">
        <v>36</v>
      </c>
      <c r="G29" t="str">
        <f>_xlfn.XLOOKUP(Table1[[#This Row],[branch_name]],Table3[branch_name],Table3[id_branch])</f>
        <v>BRCH003</v>
      </c>
      <c r="H29" t="s">
        <v>1215</v>
      </c>
      <c r="I29" t="str">
        <f>_xlfn.XLOOKUP(Table1[[#This Row],[city]],Table4[city],Table4[id_city])</f>
        <v>KOA0104</v>
      </c>
      <c r="J29" t="s">
        <v>1220</v>
      </c>
      <c r="K29" t="str">
        <f>_xlfn.XLOOKUP(Table1[[#This Row],[menu_name]],Table5[menu_name],Table5[id_menu])</f>
        <v>MENU004</v>
      </c>
      <c r="L29" t="s">
        <v>1226</v>
      </c>
      <c r="M29" t="str">
        <f>_xlfn.XLOOKUP(Table1[[#This Row],[category]],Table6[category],Table6[id_category])</f>
        <v>KTG0207</v>
      </c>
      <c r="N29" t="s">
        <v>1235</v>
      </c>
      <c r="O29">
        <v>1</v>
      </c>
      <c r="P29">
        <v>28000</v>
      </c>
      <c r="Q29">
        <v>15</v>
      </c>
      <c r="R29">
        <v>1.6</v>
      </c>
      <c r="S29" t="str">
        <f>_xlfn.XLOOKUP(Table1[[#This Row],[method]],Table7[method],Table7[id_method])</f>
        <v>PAY0711</v>
      </c>
      <c r="T29" t="s">
        <v>1238</v>
      </c>
      <c r="U29">
        <v>23800</v>
      </c>
    </row>
    <row r="30" spans="1:21" x14ac:dyDescent="0.25">
      <c r="A30" t="s">
        <v>42</v>
      </c>
      <c r="B30" t="str">
        <f>_xlfn.XLOOKUP(Table1[[#This Row],[date]],Table8[date],Table8[id_date])</f>
        <v>TGL0515</v>
      </c>
      <c r="C30" s="1">
        <v>45307</v>
      </c>
      <c r="D30" s="1" t="str">
        <f>_xlfn.XLOOKUP(Table1[[#This Row],[customer_name]],Table11[customer_name],Table11[id_cust])</f>
        <v>CNA0129</v>
      </c>
      <c r="E30" t="s">
        <v>1041</v>
      </c>
      <c r="F30">
        <v>49</v>
      </c>
      <c r="G30" t="str">
        <f>_xlfn.XLOOKUP(Table1[[#This Row],[branch_name]],Table3[branch_name],Table3[id_branch])</f>
        <v>BRCH003</v>
      </c>
      <c r="H30" t="s">
        <v>1215</v>
      </c>
      <c r="I30" t="str">
        <f>_xlfn.XLOOKUP(Table1[[#This Row],[city]],Table4[city],Table4[id_city])</f>
        <v>KOA0104</v>
      </c>
      <c r="J30" t="s">
        <v>1220</v>
      </c>
      <c r="K30" t="str">
        <f>_xlfn.XLOOKUP(Table1[[#This Row],[menu_name]],Table5[menu_name],Table5[id_menu])</f>
        <v>MENU006</v>
      </c>
      <c r="L30" t="s">
        <v>1228</v>
      </c>
      <c r="M30" t="str">
        <f>_xlfn.XLOOKUP(Table1[[#This Row],[category]],Table6[category],Table6[id_category])</f>
        <v>KTG0206</v>
      </c>
      <c r="N30" t="s">
        <v>1234</v>
      </c>
      <c r="O30">
        <v>4</v>
      </c>
      <c r="P30">
        <v>32000</v>
      </c>
      <c r="Q30">
        <v>0</v>
      </c>
      <c r="R30">
        <v>3.5</v>
      </c>
      <c r="S30" t="str">
        <f>_xlfn.XLOOKUP(Table1[[#This Row],[method]],Table7[method],Table7[id_method])</f>
        <v>PAY0710</v>
      </c>
      <c r="T30" t="s">
        <v>1237</v>
      </c>
      <c r="U30">
        <v>128000</v>
      </c>
    </row>
    <row r="31" spans="1:21" x14ac:dyDescent="0.25">
      <c r="A31" t="s">
        <v>43</v>
      </c>
      <c r="B31" t="str">
        <f>_xlfn.XLOOKUP(Table1[[#This Row],[date]],Table8[date],Table8[id_date])</f>
        <v>TGL0516</v>
      </c>
      <c r="C31" s="1">
        <v>45308</v>
      </c>
      <c r="D31" s="1" t="str">
        <f>_xlfn.XLOOKUP(Table1[[#This Row],[customer_name]],Table11[customer_name],Table11[id_cust])</f>
        <v>CNA0130</v>
      </c>
      <c r="E31" t="s">
        <v>1042</v>
      </c>
      <c r="F31">
        <v>33</v>
      </c>
      <c r="G31" t="str">
        <f>_xlfn.XLOOKUP(Table1[[#This Row],[branch_name]],Table3[branch_name],Table3[id_branch])</f>
        <v>BRCH002</v>
      </c>
      <c r="H31" t="s">
        <v>1214</v>
      </c>
      <c r="I31" t="str">
        <f>_xlfn.XLOOKUP(Table1[[#This Row],[city]],Table4[city],Table4[id_city])</f>
        <v>KOA0103</v>
      </c>
      <c r="J31" t="s">
        <v>1219</v>
      </c>
      <c r="K31" t="str">
        <f>_xlfn.XLOOKUP(Table1[[#This Row],[menu_name]],Table5[menu_name],Table5[id_menu])</f>
        <v>MENU008</v>
      </c>
      <c r="L31" t="s">
        <v>1230</v>
      </c>
      <c r="M31" t="str">
        <f>_xlfn.XLOOKUP(Table1[[#This Row],[category]],Table6[category],Table6[id_category])</f>
        <v>KTG0205</v>
      </c>
      <c r="N31" t="s">
        <v>1233</v>
      </c>
      <c r="O31">
        <v>2</v>
      </c>
      <c r="P31">
        <v>20000</v>
      </c>
      <c r="Q31">
        <v>0</v>
      </c>
      <c r="R31">
        <v>4</v>
      </c>
      <c r="S31" t="str">
        <f>_xlfn.XLOOKUP(Table1[[#This Row],[method]],Table7[method],Table7[id_method])</f>
        <v>PAY0712</v>
      </c>
      <c r="T31" t="s">
        <v>1239</v>
      </c>
      <c r="U31">
        <v>40000</v>
      </c>
    </row>
    <row r="32" spans="1:21" x14ac:dyDescent="0.25">
      <c r="A32" t="s">
        <v>44</v>
      </c>
      <c r="B32" t="str">
        <f>_xlfn.XLOOKUP(Table1[[#This Row],[date]],Table8[date],Table8[id_date])</f>
        <v>TGL0517</v>
      </c>
      <c r="C32" s="1">
        <v>45309</v>
      </c>
      <c r="D32" s="1" t="str">
        <f>_xlfn.XLOOKUP(Table1[[#This Row],[customer_name]],Table11[customer_name],Table11[id_cust])</f>
        <v>CNA0131</v>
      </c>
      <c r="E32" t="s">
        <v>1043</v>
      </c>
      <c r="F32">
        <v>45</v>
      </c>
      <c r="G32" t="str">
        <f>_xlfn.XLOOKUP(Table1[[#This Row],[branch_name]],Table3[branch_name],Table3[id_branch])</f>
        <v>BRCH004</v>
      </c>
      <c r="H32" t="s">
        <v>1216</v>
      </c>
      <c r="I32" t="str">
        <f>_xlfn.XLOOKUP(Table1[[#This Row],[city]],Table4[city],Table4[id_city])</f>
        <v>KOA0105</v>
      </c>
      <c r="J32" t="s">
        <v>1221</v>
      </c>
      <c r="K32" t="str">
        <f>_xlfn.XLOOKUP(Table1[[#This Row],[menu_name]],Table5[menu_name],Table5[id_menu])</f>
        <v>MENU005</v>
      </c>
      <c r="L32" t="s">
        <v>1227</v>
      </c>
      <c r="M32" t="str">
        <f>_xlfn.XLOOKUP(Table1[[#This Row],[category]],Table6[category],Table6[id_category])</f>
        <v>KTG0206</v>
      </c>
      <c r="N32" t="s">
        <v>1234</v>
      </c>
      <c r="O32">
        <v>1</v>
      </c>
      <c r="P32">
        <v>23000</v>
      </c>
      <c r="Q32">
        <v>0</v>
      </c>
      <c r="R32">
        <v>2.7</v>
      </c>
      <c r="S32" t="str">
        <f>_xlfn.XLOOKUP(Table1[[#This Row],[method]],Table7[method],Table7[id_method])</f>
        <v>PAY0709</v>
      </c>
      <c r="T32" t="s">
        <v>1236</v>
      </c>
      <c r="U32">
        <v>23000</v>
      </c>
    </row>
    <row r="33" spans="1:21" x14ac:dyDescent="0.25">
      <c r="A33" t="s">
        <v>45</v>
      </c>
      <c r="B33" t="str">
        <f>_xlfn.XLOOKUP(Table1[[#This Row],[date]],Table8[date],Table8[id_date])</f>
        <v>TGL0517</v>
      </c>
      <c r="C33" s="1">
        <v>45309</v>
      </c>
      <c r="D33" s="1" t="str">
        <f>_xlfn.XLOOKUP(Table1[[#This Row],[customer_name]],Table11[customer_name],Table11[id_cust])</f>
        <v>CNA0132</v>
      </c>
      <c r="E33" t="s">
        <v>1044</v>
      </c>
      <c r="F33">
        <v>40</v>
      </c>
      <c r="G33" t="str">
        <f>_xlfn.XLOOKUP(Table1[[#This Row],[branch_name]],Table3[branch_name],Table3[id_branch])</f>
        <v>BRCH004</v>
      </c>
      <c r="H33" t="s">
        <v>1216</v>
      </c>
      <c r="I33" t="str">
        <f>_xlfn.XLOOKUP(Table1[[#This Row],[city]],Table4[city],Table4[id_city])</f>
        <v>KOA0105</v>
      </c>
      <c r="J33" t="s">
        <v>1221</v>
      </c>
      <c r="K33" t="str">
        <f>_xlfn.XLOOKUP(Table1[[#This Row],[menu_name]],Table5[menu_name],Table5[id_menu])</f>
        <v>MENU001</v>
      </c>
      <c r="L33" t="s">
        <v>1223</v>
      </c>
      <c r="M33" t="str">
        <f>_xlfn.XLOOKUP(Table1[[#This Row],[category]],Table6[category],Table6[id_category])</f>
        <v>KTG0205</v>
      </c>
      <c r="N33" t="s">
        <v>1233</v>
      </c>
      <c r="O33">
        <v>3</v>
      </c>
      <c r="P33">
        <v>25000</v>
      </c>
      <c r="Q33">
        <v>20</v>
      </c>
      <c r="R33">
        <v>4</v>
      </c>
      <c r="S33" t="str">
        <f>_xlfn.XLOOKUP(Table1[[#This Row],[method]],Table7[method],Table7[id_method])</f>
        <v>PAY0712</v>
      </c>
      <c r="T33" t="s">
        <v>1239</v>
      </c>
      <c r="U33">
        <v>60000</v>
      </c>
    </row>
    <row r="34" spans="1:21" x14ac:dyDescent="0.25">
      <c r="A34" t="s">
        <v>46</v>
      </c>
      <c r="B34" t="str">
        <f>_xlfn.XLOOKUP(Table1[[#This Row],[date]],Table8[date],Table8[id_date])</f>
        <v>TGL0518</v>
      </c>
      <c r="C34" s="1">
        <v>45310</v>
      </c>
      <c r="D34" s="1" t="str">
        <f>_xlfn.XLOOKUP(Table1[[#This Row],[customer_name]],Table11[customer_name],Table11[id_cust])</f>
        <v>CNA0133</v>
      </c>
      <c r="E34" t="s">
        <v>1045</v>
      </c>
      <c r="F34">
        <v>42</v>
      </c>
      <c r="G34" t="str">
        <f>_xlfn.XLOOKUP(Table1[[#This Row],[branch_name]],Table3[branch_name],Table3[id_branch])</f>
        <v>BRCH002</v>
      </c>
      <c r="H34" t="s">
        <v>1214</v>
      </c>
      <c r="I34" t="str">
        <f>_xlfn.XLOOKUP(Table1[[#This Row],[city]],Table4[city],Table4[id_city])</f>
        <v>KOA0103</v>
      </c>
      <c r="J34" t="s">
        <v>1219</v>
      </c>
      <c r="K34" t="str">
        <f>_xlfn.XLOOKUP(Table1[[#This Row],[menu_name]],Table5[menu_name],Table5[id_menu])</f>
        <v>MENU001</v>
      </c>
      <c r="L34" t="s">
        <v>1223</v>
      </c>
      <c r="M34" t="str">
        <f>_xlfn.XLOOKUP(Table1[[#This Row],[category]],Table6[category],Table6[id_category])</f>
        <v>KTG0205</v>
      </c>
      <c r="N34" t="s">
        <v>1233</v>
      </c>
      <c r="O34">
        <v>1</v>
      </c>
      <c r="P34">
        <v>25000</v>
      </c>
      <c r="Q34">
        <v>0</v>
      </c>
      <c r="R34">
        <v>3.9</v>
      </c>
      <c r="S34" t="str">
        <f>_xlfn.XLOOKUP(Table1[[#This Row],[method]],Table7[method],Table7[id_method])</f>
        <v>PAY0709</v>
      </c>
      <c r="T34" t="s">
        <v>1236</v>
      </c>
      <c r="U34">
        <v>25000</v>
      </c>
    </row>
    <row r="35" spans="1:21" x14ac:dyDescent="0.25">
      <c r="A35" t="s">
        <v>47</v>
      </c>
      <c r="B35" t="str">
        <f>_xlfn.XLOOKUP(Table1[[#This Row],[date]],Table8[date],Table8[id_date])</f>
        <v>TGL0518</v>
      </c>
      <c r="C35" s="1">
        <v>45310</v>
      </c>
      <c r="D35" s="1" t="str">
        <f>_xlfn.XLOOKUP(Table1[[#This Row],[customer_name]],Table11[customer_name],Table11[id_cust])</f>
        <v>CNA0134</v>
      </c>
      <c r="E35" t="s">
        <v>1046</v>
      </c>
      <c r="F35">
        <v>54</v>
      </c>
      <c r="G35" t="str">
        <f>_xlfn.XLOOKUP(Table1[[#This Row],[branch_name]],Table3[branch_name],Table3[id_branch])</f>
        <v>BRCH002</v>
      </c>
      <c r="H35" t="s">
        <v>1214</v>
      </c>
      <c r="I35" t="str">
        <f>_xlfn.XLOOKUP(Table1[[#This Row],[city]],Table4[city],Table4[id_city])</f>
        <v>KOA0103</v>
      </c>
      <c r="J35" t="s">
        <v>1219</v>
      </c>
      <c r="K35" t="str">
        <f>_xlfn.XLOOKUP(Table1[[#This Row],[menu_name]],Table5[menu_name],Table5[id_menu])</f>
        <v>MENU008</v>
      </c>
      <c r="L35" t="s">
        <v>1230</v>
      </c>
      <c r="M35" t="str">
        <f>_xlfn.XLOOKUP(Table1[[#This Row],[category]],Table6[category],Table6[id_category])</f>
        <v>KTG0205</v>
      </c>
      <c r="N35" t="s">
        <v>1233</v>
      </c>
      <c r="O35">
        <v>2</v>
      </c>
      <c r="P35">
        <v>20000</v>
      </c>
      <c r="Q35">
        <v>0</v>
      </c>
      <c r="R35">
        <v>1</v>
      </c>
      <c r="S35" t="str">
        <f>_xlfn.XLOOKUP(Table1[[#This Row],[method]],Table7[method],Table7[id_method])</f>
        <v>PAY0711</v>
      </c>
      <c r="T35" t="s">
        <v>1238</v>
      </c>
      <c r="U35">
        <v>40000</v>
      </c>
    </row>
    <row r="36" spans="1:21" x14ac:dyDescent="0.25">
      <c r="A36" t="s">
        <v>48</v>
      </c>
      <c r="B36" t="str">
        <f>_xlfn.XLOOKUP(Table1[[#This Row],[date]],Table8[date],Table8[id_date])</f>
        <v>TGL0519</v>
      </c>
      <c r="C36" s="1">
        <v>45311</v>
      </c>
      <c r="D36" s="1" t="str">
        <f>_xlfn.XLOOKUP(Table1[[#This Row],[customer_name]],Table11[customer_name],Table11[id_cust])</f>
        <v>CNA0108</v>
      </c>
      <c r="E36" t="s">
        <v>1021</v>
      </c>
      <c r="F36">
        <v>21</v>
      </c>
      <c r="G36" t="str">
        <f>_xlfn.XLOOKUP(Table1[[#This Row],[branch_name]],Table3[branch_name],Table3[id_branch])</f>
        <v>BRCH003</v>
      </c>
      <c r="H36" t="s">
        <v>1215</v>
      </c>
      <c r="I36" t="str">
        <f>_xlfn.XLOOKUP(Table1[[#This Row],[city]],Table4[city],Table4[id_city])</f>
        <v>KOA0104</v>
      </c>
      <c r="J36" t="s">
        <v>1220</v>
      </c>
      <c r="K36" t="str">
        <f>_xlfn.XLOOKUP(Table1[[#This Row],[menu_name]],Table5[menu_name],Table5[id_menu])</f>
        <v>MENU004</v>
      </c>
      <c r="L36" t="s">
        <v>1226</v>
      </c>
      <c r="M36" t="str">
        <f>_xlfn.XLOOKUP(Table1[[#This Row],[category]],Table6[category],Table6[id_category])</f>
        <v>KTG0207</v>
      </c>
      <c r="N36" t="s">
        <v>1235</v>
      </c>
      <c r="O36">
        <v>3</v>
      </c>
      <c r="P36">
        <v>28000</v>
      </c>
      <c r="Q36">
        <v>20</v>
      </c>
      <c r="R36">
        <v>1.9</v>
      </c>
      <c r="S36" t="str">
        <f>_xlfn.XLOOKUP(Table1[[#This Row],[method]],Table7[method],Table7[id_method])</f>
        <v>PAY0712</v>
      </c>
      <c r="T36" t="s">
        <v>1239</v>
      </c>
      <c r="U36">
        <v>67200</v>
      </c>
    </row>
    <row r="37" spans="1:21" x14ac:dyDescent="0.25">
      <c r="A37" t="s">
        <v>49</v>
      </c>
      <c r="B37" t="str">
        <f>_xlfn.XLOOKUP(Table1[[#This Row],[date]],Table8[date],Table8[id_date])</f>
        <v>TGL0520</v>
      </c>
      <c r="C37" s="1">
        <v>45313</v>
      </c>
      <c r="D37" s="1" t="str">
        <f>_xlfn.XLOOKUP(Table1[[#This Row],[customer_name]],Table11[customer_name],Table11[id_cust])</f>
        <v>CNA0136</v>
      </c>
      <c r="E37" t="s">
        <v>1047</v>
      </c>
      <c r="F37">
        <v>31</v>
      </c>
      <c r="G37" t="str">
        <f>_xlfn.XLOOKUP(Table1[[#This Row],[branch_name]],Table3[branch_name],Table3[id_branch])</f>
        <v>BRCH001</v>
      </c>
      <c r="H37" t="s">
        <v>1213</v>
      </c>
      <c r="I37" t="str">
        <f>_xlfn.XLOOKUP(Table1[[#This Row],[city]],Table4[city],Table4[id_city])</f>
        <v>KOA0102</v>
      </c>
      <c r="J37" t="s">
        <v>1218</v>
      </c>
      <c r="K37" t="str">
        <f>_xlfn.XLOOKUP(Table1[[#This Row],[menu_name]],Table5[menu_name],Table5[id_menu])</f>
        <v>MENU005</v>
      </c>
      <c r="L37" t="s">
        <v>1227</v>
      </c>
      <c r="M37" t="str">
        <f>_xlfn.XLOOKUP(Table1[[#This Row],[category]],Table6[category],Table6[id_category])</f>
        <v>KTG0206</v>
      </c>
      <c r="N37" t="s">
        <v>1234</v>
      </c>
      <c r="O37">
        <v>5</v>
      </c>
      <c r="P37">
        <v>23000</v>
      </c>
      <c r="Q37">
        <v>0</v>
      </c>
      <c r="R37">
        <v>3.8</v>
      </c>
      <c r="S37" t="str">
        <f>_xlfn.XLOOKUP(Table1[[#This Row],[method]],Table7[method],Table7[id_method])</f>
        <v>PAY0709</v>
      </c>
      <c r="T37" t="s">
        <v>1236</v>
      </c>
      <c r="U37">
        <v>115000</v>
      </c>
    </row>
    <row r="38" spans="1:21" x14ac:dyDescent="0.25">
      <c r="A38" t="s">
        <v>50</v>
      </c>
      <c r="B38" t="str">
        <f>_xlfn.XLOOKUP(Table1[[#This Row],[date]],Table8[date],Table8[id_date])</f>
        <v>TGL0521</v>
      </c>
      <c r="C38" s="1">
        <v>45314</v>
      </c>
      <c r="D38" s="1" t="str">
        <f>_xlfn.XLOOKUP(Table1[[#This Row],[customer_name]],Table11[customer_name],Table11[id_cust])</f>
        <v>CNA0137</v>
      </c>
      <c r="E38" t="s">
        <v>1048</v>
      </c>
      <c r="F38">
        <v>32</v>
      </c>
      <c r="G38" t="str">
        <f>_xlfn.XLOOKUP(Table1[[#This Row],[branch_name]],Table3[branch_name],Table3[id_branch])</f>
        <v>BRCH005</v>
      </c>
      <c r="H38" t="s">
        <v>1217</v>
      </c>
      <c r="I38" t="str">
        <f>_xlfn.XLOOKUP(Table1[[#This Row],[city]],Table4[city],Table4[id_city])</f>
        <v>KOA0106</v>
      </c>
      <c r="J38" t="s">
        <v>1222</v>
      </c>
      <c r="K38" t="str">
        <f>_xlfn.XLOOKUP(Table1[[#This Row],[menu_name]],Table5[menu_name],Table5[id_menu])</f>
        <v>MENU007</v>
      </c>
      <c r="L38" t="s">
        <v>1229</v>
      </c>
      <c r="M38" t="str">
        <f>_xlfn.XLOOKUP(Table1[[#This Row],[category]],Table6[category],Table6[id_category])</f>
        <v>KTG0207</v>
      </c>
      <c r="N38" t="s">
        <v>1235</v>
      </c>
      <c r="O38">
        <v>4</v>
      </c>
      <c r="P38">
        <v>27000</v>
      </c>
      <c r="Q38">
        <v>5</v>
      </c>
      <c r="R38">
        <v>2.2000000000000002</v>
      </c>
      <c r="S38" t="str">
        <f>_xlfn.XLOOKUP(Table1[[#This Row],[method]],Table7[method],Table7[id_method])</f>
        <v>PAY0711</v>
      </c>
      <c r="T38" t="s">
        <v>1238</v>
      </c>
      <c r="U38">
        <v>102600</v>
      </c>
    </row>
    <row r="39" spans="1:21" x14ac:dyDescent="0.25">
      <c r="A39" t="s">
        <v>51</v>
      </c>
      <c r="B39" t="str">
        <f>_xlfn.XLOOKUP(Table1[[#This Row],[date]],Table8[date],Table8[id_date])</f>
        <v>TGL0521</v>
      </c>
      <c r="C39" s="1">
        <v>45314</v>
      </c>
      <c r="D39" s="1" t="str">
        <f>_xlfn.XLOOKUP(Table1[[#This Row],[customer_name]],Table11[customer_name],Table11[id_cust])</f>
        <v>CNA0138</v>
      </c>
      <c r="E39" t="s">
        <v>1049</v>
      </c>
      <c r="F39">
        <v>53</v>
      </c>
      <c r="G39" t="str">
        <f>_xlfn.XLOOKUP(Table1[[#This Row],[branch_name]],Table3[branch_name],Table3[id_branch])</f>
        <v>BRCH002</v>
      </c>
      <c r="H39" t="s">
        <v>1214</v>
      </c>
      <c r="I39" t="str">
        <f>_xlfn.XLOOKUP(Table1[[#This Row],[city]],Table4[city],Table4[id_city])</f>
        <v>KOA0103</v>
      </c>
      <c r="J39" t="s">
        <v>1219</v>
      </c>
      <c r="K39" t="str">
        <f>_xlfn.XLOOKUP(Table1[[#This Row],[menu_name]],Table5[menu_name],Table5[id_menu])</f>
        <v>MENU001</v>
      </c>
      <c r="L39" t="s">
        <v>1223</v>
      </c>
      <c r="M39" t="str">
        <f>_xlfn.XLOOKUP(Table1[[#This Row],[category]],Table6[category],Table6[id_category])</f>
        <v>KTG0205</v>
      </c>
      <c r="N39" t="s">
        <v>1233</v>
      </c>
      <c r="O39">
        <v>4</v>
      </c>
      <c r="P39">
        <v>25000</v>
      </c>
      <c r="Q39">
        <v>20</v>
      </c>
      <c r="R39">
        <v>2.9</v>
      </c>
      <c r="S39" t="str">
        <f>_xlfn.XLOOKUP(Table1[[#This Row],[method]],Table7[method],Table7[id_method])</f>
        <v>PAY0712</v>
      </c>
      <c r="T39" t="s">
        <v>1239</v>
      </c>
      <c r="U39">
        <v>80000</v>
      </c>
    </row>
    <row r="40" spans="1:21" x14ac:dyDescent="0.25">
      <c r="A40" t="s">
        <v>52</v>
      </c>
      <c r="B40" t="str">
        <f>_xlfn.XLOOKUP(Table1[[#This Row],[date]],Table8[date],Table8[id_date])</f>
        <v>TGL0521</v>
      </c>
      <c r="C40" s="1">
        <v>45314</v>
      </c>
      <c r="D40" s="1" t="str">
        <f>_xlfn.XLOOKUP(Table1[[#This Row],[customer_name]],Table11[customer_name],Table11[id_cust])</f>
        <v>CNA0139</v>
      </c>
      <c r="E40" t="s">
        <v>1050</v>
      </c>
      <c r="F40">
        <v>51</v>
      </c>
      <c r="G40" t="str">
        <f>_xlfn.XLOOKUP(Table1[[#This Row],[branch_name]],Table3[branch_name],Table3[id_branch])</f>
        <v>BRCH003</v>
      </c>
      <c r="H40" t="s">
        <v>1215</v>
      </c>
      <c r="I40" t="str">
        <f>_xlfn.XLOOKUP(Table1[[#This Row],[city]],Table4[city],Table4[id_city])</f>
        <v>KOA0104</v>
      </c>
      <c r="J40" t="s">
        <v>1220</v>
      </c>
      <c r="K40" t="str">
        <f>_xlfn.XLOOKUP(Table1[[#This Row],[menu_name]],Table5[menu_name],Table5[id_menu])</f>
        <v>MENU009</v>
      </c>
      <c r="L40" t="s">
        <v>1231</v>
      </c>
      <c r="M40" t="str">
        <f>_xlfn.XLOOKUP(Table1[[#This Row],[category]],Table6[category],Table6[id_category])</f>
        <v>KTG0206</v>
      </c>
      <c r="N40" t="s">
        <v>1234</v>
      </c>
      <c r="O40">
        <v>4</v>
      </c>
      <c r="P40">
        <v>18000</v>
      </c>
      <c r="Q40">
        <v>0</v>
      </c>
      <c r="R40">
        <v>1.9</v>
      </c>
      <c r="S40" t="str">
        <f>_xlfn.XLOOKUP(Table1[[#This Row],[method]],Table7[method],Table7[id_method])</f>
        <v>PAY0711</v>
      </c>
      <c r="T40" t="s">
        <v>1238</v>
      </c>
      <c r="U40">
        <v>72000</v>
      </c>
    </row>
    <row r="41" spans="1:21" x14ac:dyDescent="0.25">
      <c r="A41" t="s">
        <v>53</v>
      </c>
      <c r="B41" t="str">
        <f>_xlfn.XLOOKUP(Table1[[#This Row],[date]],Table8[date],Table8[id_date])</f>
        <v>TGL0521</v>
      </c>
      <c r="C41" s="1">
        <v>45314</v>
      </c>
      <c r="D41" s="1" t="str">
        <f>_xlfn.XLOOKUP(Table1[[#This Row],[customer_name]],Table11[customer_name],Table11[id_cust])</f>
        <v>CNA0140</v>
      </c>
      <c r="E41" t="s">
        <v>1051</v>
      </c>
      <c r="F41">
        <v>43</v>
      </c>
      <c r="G41" t="str">
        <f>_xlfn.XLOOKUP(Table1[[#This Row],[branch_name]],Table3[branch_name],Table3[id_branch])</f>
        <v>BRCH003</v>
      </c>
      <c r="H41" t="s">
        <v>1215</v>
      </c>
      <c r="I41" t="str">
        <f>_xlfn.XLOOKUP(Table1[[#This Row],[city]],Table4[city],Table4[id_city])</f>
        <v>KOA0104</v>
      </c>
      <c r="J41" t="s">
        <v>1220</v>
      </c>
      <c r="K41" t="str">
        <f>_xlfn.XLOOKUP(Table1[[#This Row],[menu_name]],Table5[menu_name],Table5[id_menu])</f>
        <v>MENU005</v>
      </c>
      <c r="L41" t="s">
        <v>1227</v>
      </c>
      <c r="M41" t="str">
        <f>_xlfn.XLOOKUP(Table1[[#This Row],[category]],Table6[category],Table6[id_category])</f>
        <v>KTG0206</v>
      </c>
      <c r="N41" t="s">
        <v>1234</v>
      </c>
      <c r="O41">
        <v>4</v>
      </c>
      <c r="P41">
        <v>23000</v>
      </c>
      <c r="Q41">
        <v>0</v>
      </c>
      <c r="R41">
        <v>2.2000000000000002</v>
      </c>
      <c r="S41" t="str">
        <f>_xlfn.XLOOKUP(Table1[[#This Row],[method]],Table7[method],Table7[id_method])</f>
        <v>PAY0710</v>
      </c>
      <c r="T41" t="s">
        <v>1237</v>
      </c>
      <c r="U41">
        <v>92000</v>
      </c>
    </row>
    <row r="42" spans="1:21" x14ac:dyDescent="0.25">
      <c r="A42" t="s">
        <v>54</v>
      </c>
      <c r="B42" t="str">
        <f>_xlfn.XLOOKUP(Table1[[#This Row],[date]],Table8[date],Table8[id_date])</f>
        <v>TGL0522</v>
      </c>
      <c r="C42" s="1">
        <v>45316</v>
      </c>
      <c r="D42" s="1" t="str">
        <f>_xlfn.XLOOKUP(Table1[[#This Row],[customer_name]],Table11[customer_name],Table11[id_cust])</f>
        <v>CNA0126</v>
      </c>
      <c r="E42" t="s">
        <v>1038</v>
      </c>
      <c r="F42">
        <v>30</v>
      </c>
      <c r="G42" t="str">
        <f>_xlfn.XLOOKUP(Table1[[#This Row],[branch_name]],Table3[branch_name],Table3[id_branch])</f>
        <v>BRCH005</v>
      </c>
      <c r="H42" t="s">
        <v>1217</v>
      </c>
      <c r="I42" t="str">
        <f>_xlfn.XLOOKUP(Table1[[#This Row],[city]],Table4[city],Table4[id_city])</f>
        <v>KOA0106</v>
      </c>
      <c r="J42" t="s">
        <v>1222</v>
      </c>
      <c r="K42" t="str">
        <f>_xlfn.XLOOKUP(Table1[[#This Row],[menu_name]],Table5[menu_name],Table5[id_menu])</f>
        <v>MENU008</v>
      </c>
      <c r="L42" t="s">
        <v>1230</v>
      </c>
      <c r="M42" t="str">
        <f>_xlfn.XLOOKUP(Table1[[#This Row],[category]],Table6[category],Table6[id_category])</f>
        <v>KTG0205</v>
      </c>
      <c r="N42" t="s">
        <v>1233</v>
      </c>
      <c r="O42">
        <v>5</v>
      </c>
      <c r="P42">
        <v>20000</v>
      </c>
      <c r="Q42">
        <v>5</v>
      </c>
      <c r="R42">
        <v>3.5</v>
      </c>
      <c r="S42" t="str">
        <f>_xlfn.XLOOKUP(Table1[[#This Row],[method]],Table7[method],Table7[id_method])</f>
        <v>PAY0710</v>
      </c>
      <c r="T42" t="s">
        <v>1237</v>
      </c>
      <c r="U42">
        <v>95000</v>
      </c>
    </row>
    <row r="43" spans="1:21" x14ac:dyDescent="0.25">
      <c r="A43" t="s">
        <v>55</v>
      </c>
      <c r="B43" t="str">
        <f>_xlfn.XLOOKUP(Table1[[#This Row],[date]],Table8[date],Table8[id_date])</f>
        <v>TGL0522</v>
      </c>
      <c r="C43" s="1">
        <v>45316</v>
      </c>
      <c r="D43" s="1" t="str">
        <f>_xlfn.XLOOKUP(Table1[[#This Row],[customer_name]],Table11[customer_name],Table11[id_cust])</f>
        <v>CNA0104</v>
      </c>
      <c r="E43" t="s">
        <v>1017</v>
      </c>
      <c r="F43">
        <v>41</v>
      </c>
      <c r="G43" t="str">
        <f>_xlfn.XLOOKUP(Table1[[#This Row],[branch_name]],Table3[branch_name],Table3[id_branch])</f>
        <v>BRCH004</v>
      </c>
      <c r="H43" t="s">
        <v>1216</v>
      </c>
      <c r="I43" t="str">
        <f>_xlfn.XLOOKUP(Table1[[#This Row],[city]],Table4[city],Table4[id_city])</f>
        <v>KOA0105</v>
      </c>
      <c r="J43" t="s">
        <v>1221</v>
      </c>
      <c r="K43" t="str">
        <f>_xlfn.XLOOKUP(Table1[[#This Row],[menu_name]],Table5[menu_name],Table5[id_menu])</f>
        <v>MENU004</v>
      </c>
      <c r="L43" t="s">
        <v>1226</v>
      </c>
      <c r="M43" t="str">
        <f>_xlfn.XLOOKUP(Table1[[#This Row],[category]],Table6[category],Table6[id_category])</f>
        <v>KTG0207</v>
      </c>
      <c r="N43" t="s">
        <v>1235</v>
      </c>
      <c r="O43">
        <v>3</v>
      </c>
      <c r="P43">
        <v>28000</v>
      </c>
      <c r="Q43">
        <v>20</v>
      </c>
      <c r="R43">
        <v>1.2</v>
      </c>
      <c r="S43" t="str">
        <f>_xlfn.XLOOKUP(Table1[[#This Row],[method]],Table7[method],Table7[id_method])</f>
        <v>PAY0712</v>
      </c>
      <c r="T43" t="s">
        <v>1239</v>
      </c>
      <c r="U43">
        <v>67200</v>
      </c>
    </row>
    <row r="44" spans="1:21" x14ac:dyDescent="0.25">
      <c r="A44" t="s">
        <v>56</v>
      </c>
      <c r="B44" t="str">
        <f>_xlfn.XLOOKUP(Table1[[#This Row],[date]],Table8[date],Table8[id_date])</f>
        <v>TGL0522</v>
      </c>
      <c r="C44" s="1">
        <v>45316</v>
      </c>
      <c r="D44" s="1" t="str">
        <f>_xlfn.XLOOKUP(Table1[[#This Row],[customer_name]],Table11[customer_name],Table11[id_cust])</f>
        <v>CNA0143</v>
      </c>
      <c r="E44" t="s">
        <v>1052</v>
      </c>
      <c r="F44">
        <v>49</v>
      </c>
      <c r="G44" t="str">
        <f>_xlfn.XLOOKUP(Table1[[#This Row],[branch_name]],Table3[branch_name],Table3[id_branch])</f>
        <v>BRCH002</v>
      </c>
      <c r="H44" t="s">
        <v>1214</v>
      </c>
      <c r="I44" t="str">
        <f>_xlfn.XLOOKUP(Table1[[#This Row],[city]],Table4[city],Table4[id_city])</f>
        <v>KOA0103</v>
      </c>
      <c r="J44" t="s">
        <v>1219</v>
      </c>
      <c r="K44" t="str">
        <f>_xlfn.XLOOKUP(Table1[[#This Row],[menu_name]],Table5[menu_name],Table5[id_menu])</f>
        <v>MENU004</v>
      </c>
      <c r="L44" t="s">
        <v>1226</v>
      </c>
      <c r="M44" t="str">
        <f>_xlfn.XLOOKUP(Table1[[#This Row],[category]],Table6[category],Table6[id_category])</f>
        <v>KTG0207</v>
      </c>
      <c r="N44" t="s">
        <v>1235</v>
      </c>
      <c r="O44">
        <v>5</v>
      </c>
      <c r="P44">
        <v>28000</v>
      </c>
      <c r="Q44">
        <v>5</v>
      </c>
      <c r="R44">
        <v>1.2</v>
      </c>
      <c r="S44" t="str">
        <f>_xlfn.XLOOKUP(Table1[[#This Row],[method]],Table7[method],Table7[id_method])</f>
        <v>PAY0711</v>
      </c>
      <c r="T44" t="s">
        <v>1238</v>
      </c>
      <c r="U44">
        <v>133000</v>
      </c>
    </row>
    <row r="45" spans="1:21" x14ac:dyDescent="0.25">
      <c r="A45" t="s">
        <v>57</v>
      </c>
      <c r="B45" t="str">
        <f>_xlfn.XLOOKUP(Table1[[#This Row],[date]],Table8[date],Table8[id_date])</f>
        <v>TGL0523</v>
      </c>
      <c r="C45" s="1">
        <v>45317</v>
      </c>
      <c r="D45" s="1" t="str">
        <f>_xlfn.XLOOKUP(Table1[[#This Row],[customer_name]],Table11[customer_name],Table11[id_cust])</f>
        <v>CNA0144</v>
      </c>
      <c r="E45" t="s">
        <v>1053</v>
      </c>
      <c r="F45">
        <v>42</v>
      </c>
      <c r="G45" t="str">
        <f>_xlfn.XLOOKUP(Table1[[#This Row],[branch_name]],Table3[branch_name],Table3[id_branch])</f>
        <v>BRCH003</v>
      </c>
      <c r="H45" t="s">
        <v>1215</v>
      </c>
      <c r="I45" t="str">
        <f>_xlfn.XLOOKUP(Table1[[#This Row],[city]],Table4[city],Table4[id_city])</f>
        <v>KOA0104</v>
      </c>
      <c r="J45" t="s">
        <v>1220</v>
      </c>
      <c r="K45" t="str">
        <f>_xlfn.XLOOKUP(Table1[[#This Row],[menu_name]],Table5[menu_name],Table5[id_menu])</f>
        <v>MENU003</v>
      </c>
      <c r="L45" t="s">
        <v>1225</v>
      </c>
      <c r="M45" t="str">
        <f>_xlfn.XLOOKUP(Table1[[#This Row],[category]],Table6[category],Table6[id_category])</f>
        <v>KTG0205</v>
      </c>
      <c r="N45" t="s">
        <v>1233</v>
      </c>
      <c r="O45">
        <v>3</v>
      </c>
      <c r="P45">
        <v>22000</v>
      </c>
      <c r="Q45">
        <v>15</v>
      </c>
      <c r="R45">
        <v>1.2</v>
      </c>
      <c r="S45" t="str">
        <f>_xlfn.XLOOKUP(Table1[[#This Row],[method]],Table7[method],Table7[id_method])</f>
        <v>PAY0709</v>
      </c>
      <c r="T45" t="s">
        <v>1236</v>
      </c>
      <c r="U45">
        <v>56100</v>
      </c>
    </row>
    <row r="46" spans="1:21" x14ac:dyDescent="0.25">
      <c r="A46" t="s">
        <v>58</v>
      </c>
      <c r="B46" t="str">
        <f>_xlfn.XLOOKUP(Table1[[#This Row],[date]],Table8[date],Table8[id_date])</f>
        <v>TGL0523</v>
      </c>
      <c r="C46" s="1">
        <v>45317</v>
      </c>
      <c r="D46" s="1" t="str">
        <f>_xlfn.XLOOKUP(Table1[[#This Row],[customer_name]],Table11[customer_name],Table11[id_cust])</f>
        <v>CNA0145</v>
      </c>
      <c r="E46" t="s">
        <v>1054</v>
      </c>
      <c r="F46">
        <v>19</v>
      </c>
      <c r="G46" t="str">
        <f>_xlfn.XLOOKUP(Table1[[#This Row],[branch_name]],Table3[branch_name],Table3[id_branch])</f>
        <v>BRCH005</v>
      </c>
      <c r="H46" t="s">
        <v>1217</v>
      </c>
      <c r="I46" t="str">
        <f>_xlfn.XLOOKUP(Table1[[#This Row],[city]],Table4[city],Table4[id_city])</f>
        <v>KOA0106</v>
      </c>
      <c r="J46" t="s">
        <v>1222</v>
      </c>
      <c r="K46" t="str">
        <f>_xlfn.XLOOKUP(Table1[[#This Row],[menu_name]],Table5[menu_name],Table5[id_menu])</f>
        <v>MENU009</v>
      </c>
      <c r="L46" t="s">
        <v>1231</v>
      </c>
      <c r="M46" t="str">
        <f>_xlfn.XLOOKUP(Table1[[#This Row],[category]],Table6[category],Table6[id_category])</f>
        <v>KTG0206</v>
      </c>
      <c r="N46" t="s">
        <v>1234</v>
      </c>
      <c r="O46">
        <v>5</v>
      </c>
      <c r="P46">
        <v>18000</v>
      </c>
      <c r="Q46">
        <v>0</v>
      </c>
      <c r="R46">
        <v>2</v>
      </c>
      <c r="S46" t="str">
        <f>_xlfn.XLOOKUP(Table1[[#This Row],[method]],Table7[method],Table7[id_method])</f>
        <v>PAY0711</v>
      </c>
      <c r="T46" t="s">
        <v>1238</v>
      </c>
      <c r="U46">
        <v>90000</v>
      </c>
    </row>
    <row r="47" spans="1:21" x14ac:dyDescent="0.25">
      <c r="A47" t="s">
        <v>59</v>
      </c>
      <c r="B47" t="str">
        <f>_xlfn.XLOOKUP(Table1[[#This Row],[date]],Table8[date],Table8[id_date])</f>
        <v>TGL0524</v>
      </c>
      <c r="C47" s="1">
        <v>45318</v>
      </c>
      <c r="D47" s="1" t="str">
        <f>_xlfn.XLOOKUP(Table1[[#This Row],[customer_name]],Table11[customer_name],Table11[id_cust])</f>
        <v>CNA0146</v>
      </c>
      <c r="E47" t="s">
        <v>1055</v>
      </c>
      <c r="F47">
        <v>37</v>
      </c>
      <c r="G47" t="str">
        <f>_xlfn.XLOOKUP(Table1[[#This Row],[branch_name]],Table3[branch_name],Table3[id_branch])</f>
        <v>BRCH001</v>
      </c>
      <c r="H47" t="s">
        <v>1213</v>
      </c>
      <c r="I47" t="str">
        <f>_xlfn.XLOOKUP(Table1[[#This Row],[city]],Table4[city],Table4[id_city])</f>
        <v>KOA0102</v>
      </c>
      <c r="J47" t="s">
        <v>1218</v>
      </c>
      <c r="K47" t="str">
        <f>_xlfn.XLOOKUP(Table1[[#This Row],[menu_name]],Table5[menu_name],Table5[id_menu])</f>
        <v>MENU010</v>
      </c>
      <c r="L47" t="s">
        <v>1232</v>
      </c>
      <c r="M47" t="str">
        <f>_xlfn.XLOOKUP(Table1[[#This Row],[category]],Table6[category],Table6[id_category])</f>
        <v>KTG0205</v>
      </c>
      <c r="N47" t="s">
        <v>1233</v>
      </c>
      <c r="O47">
        <v>5</v>
      </c>
      <c r="P47">
        <v>18000</v>
      </c>
      <c r="Q47">
        <v>15</v>
      </c>
      <c r="R47">
        <v>2.9</v>
      </c>
      <c r="S47" t="str">
        <f>_xlfn.XLOOKUP(Table1[[#This Row],[method]],Table7[method],Table7[id_method])</f>
        <v>PAY0711</v>
      </c>
      <c r="T47" t="s">
        <v>1238</v>
      </c>
      <c r="U47">
        <v>76500</v>
      </c>
    </row>
    <row r="48" spans="1:21" x14ac:dyDescent="0.25">
      <c r="A48" t="s">
        <v>60</v>
      </c>
      <c r="B48" t="str">
        <f>_xlfn.XLOOKUP(Table1[[#This Row],[date]],Table8[date],Table8[id_date])</f>
        <v>TGL0525</v>
      </c>
      <c r="C48" s="1">
        <v>45319</v>
      </c>
      <c r="D48" s="1" t="str">
        <f>_xlfn.XLOOKUP(Table1[[#This Row],[customer_name]],Table11[customer_name],Table11[id_cust])</f>
        <v>CNA0147</v>
      </c>
      <c r="E48" t="s">
        <v>1056</v>
      </c>
      <c r="F48">
        <v>23</v>
      </c>
      <c r="G48" t="str">
        <f>_xlfn.XLOOKUP(Table1[[#This Row],[branch_name]],Table3[branch_name],Table3[id_branch])</f>
        <v>BRCH005</v>
      </c>
      <c r="H48" t="s">
        <v>1217</v>
      </c>
      <c r="I48" t="str">
        <f>_xlfn.XLOOKUP(Table1[[#This Row],[city]],Table4[city],Table4[id_city])</f>
        <v>KOA0106</v>
      </c>
      <c r="J48" t="s">
        <v>1222</v>
      </c>
      <c r="K48" t="str">
        <f>_xlfn.XLOOKUP(Table1[[#This Row],[menu_name]],Table5[menu_name],Table5[id_menu])</f>
        <v>MENU004</v>
      </c>
      <c r="L48" t="s">
        <v>1226</v>
      </c>
      <c r="M48" t="str">
        <f>_xlfn.XLOOKUP(Table1[[#This Row],[category]],Table6[category],Table6[id_category])</f>
        <v>KTG0207</v>
      </c>
      <c r="N48" t="s">
        <v>1235</v>
      </c>
      <c r="O48">
        <v>5</v>
      </c>
      <c r="P48">
        <v>28000</v>
      </c>
      <c r="Q48">
        <v>15</v>
      </c>
      <c r="R48">
        <v>3</v>
      </c>
      <c r="S48" t="str">
        <f>_xlfn.XLOOKUP(Table1[[#This Row],[method]],Table7[method],Table7[id_method])</f>
        <v>PAY0709</v>
      </c>
      <c r="T48" t="s">
        <v>1236</v>
      </c>
      <c r="U48">
        <v>119000</v>
      </c>
    </row>
    <row r="49" spans="1:21" x14ac:dyDescent="0.25">
      <c r="A49" t="s">
        <v>61</v>
      </c>
      <c r="B49" t="str">
        <f>_xlfn.XLOOKUP(Table1[[#This Row],[date]],Table8[date],Table8[id_date])</f>
        <v>TGL0525</v>
      </c>
      <c r="C49" s="1">
        <v>45319</v>
      </c>
      <c r="D49" s="1" t="str">
        <f>_xlfn.XLOOKUP(Table1[[#This Row],[customer_name]],Table11[customer_name],Table11[id_cust])</f>
        <v>CNA0148</v>
      </c>
      <c r="E49" t="s">
        <v>1057</v>
      </c>
      <c r="F49">
        <v>53</v>
      </c>
      <c r="G49" t="str">
        <f>_xlfn.XLOOKUP(Table1[[#This Row],[branch_name]],Table3[branch_name],Table3[id_branch])</f>
        <v>BRCH003</v>
      </c>
      <c r="H49" t="s">
        <v>1215</v>
      </c>
      <c r="I49" t="str">
        <f>_xlfn.XLOOKUP(Table1[[#This Row],[city]],Table4[city],Table4[id_city])</f>
        <v>KOA0104</v>
      </c>
      <c r="J49" t="s">
        <v>1220</v>
      </c>
      <c r="K49" t="str">
        <f>_xlfn.XLOOKUP(Table1[[#This Row],[menu_name]],Table5[menu_name],Table5[id_menu])</f>
        <v>MENU005</v>
      </c>
      <c r="L49" t="s">
        <v>1227</v>
      </c>
      <c r="M49" t="str">
        <f>_xlfn.XLOOKUP(Table1[[#This Row],[category]],Table6[category],Table6[id_category])</f>
        <v>KTG0206</v>
      </c>
      <c r="N49" t="s">
        <v>1234</v>
      </c>
      <c r="O49">
        <v>1</v>
      </c>
      <c r="P49">
        <v>23000</v>
      </c>
      <c r="Q49">
        <v>20</v>
      </c>
      <c r="R49">
        <v>2.1</v>
      </c>
      <c r="S49" t="str">
        <f>_xlfn.XLOOKUP(Table1[[#This Row],[method]],Table7[method],Table7[id_method])</f>
        <v>PAY0710</v>
      </c>
      <c r="T49" t="s">
        <v>1237</v>
      </c>
      <c r="U49">
        <v>18400</v>
      </c>
    </row>
    <row r="50" spans="1:21" x14ac:dyDescent="0.25">
      <c r="A50" t="s">
        <v>62</v>
      </c>
      <c r="B50" t="str">
        <f>_xlfn.XLOOKUP(Table1[[#This Row],[date]],Table8[date],Table8[id_date])</f>
        <v>TGL0526</v>
      </c>
      <c r="C50" s="1">
        <v>45320</v>
      </c>
      <c r="D50" s="1" t="str">
        <f>_xlfn.XLOOKUP(Table1[[#This Row],[customer_name]],Table11[customer_name],Table11[id_cust])</f>
        <v>CNA0149</v>
      </c>
      <c r="E50" t="s">
        <v>1058</v>
      </c>
      <c r="F50">
        <v>33</v>
      </c>
      <c r="G50" t="str">
        <f>_xlfn.XLOOKUP(Table1[[#This Row],[branch_name]],Table3[branch_name],Table3[id_branch])</f>
        <v>BRCH005</v>
      </c>
      <c r="H50" t="s">
        <v>1217</v>
      </c>
      <c r="I50" t="str">
        <f>_xlfn.XLOOKUP(Table1[[#This Row],[city]],Table4[city],Table4[id_city])</f>
        <v>KOA0106</v>
      </c>
      <c r="J50" t="s">
        <v>1222</v>
      </c>
      <c r="K50" t="str">
        <f>_xlfn.XLOOKUP(Table1[[#This Row],[menu_name]],Table5[menu_name],Table5[id_menu])</f>
        <v>MENU003</v>
      </c>
      <c r="L50" t="s">
        <v>1225</v>
      </c>
      <c r="M50" t="str">
        <f>_xlfn.XLOOKUP(Table1[[#This Row],[category]],Table6[category],Table6[id_category])</f>
        <v>KTG0205</v>
      </c>
      <c r="N50" t="s">
        <v>1233</v>
      </c>
      <c r="O50">
        <v>1</v>
      </c>
      <c r="P50">
        <v>22000</v>
      </c>
      <c r="Q50">
        <v>0</v>
      </c>
      <c r="R50">
        <v>2.4</v>
      </c>
      <c r="S50" t="str">
        <f>_xlfn.XLOOKUP(Table1[[#This Row],[method]],Table7[method],Table7[id_method])</f>
        <v>PAY0712</v>
      </c>
      <c r="T50" t="s">
        <v>1239</v>
      </c>
      <c r="U50">
        <v>22000</v>
      </c>
    </row>
    <row r="51" spans="1:21" x14ac:dyDescent="0.25">
      <c r="A51" t="s">
        <v>63</v>
      </c>
      <c r="B51" t="str">
        <f>_xlfn.XLOOKUP(Table1[[#This Row],[date]],Table8[date],Table8[id_date])</f>
        <v>TGL0526</v>
      </c>
      <c r="C51" s="1">
        <v>45320</v>
      </c>
      <c r="D51" s="1" t="str">
        <f>_xlfn.XLOOKUP(Table1[[#This Row],[customer_name]],Table11[customer_name],Table11[id_cust])</f>
        <v>CNA0150</v>
      </c>
      <c r="E51" t="s">
        <v>1059</v>
      </c>
      <c r="F51">
        <v>24</v>
      </c>
      <c r="G51" t="str">
        <f>_xlfn.XLOOKUP(Table1[[#This Row],[branch_name]],Table3[branch_name],Table3[id_branch])</f>
        <v>BRCH002</v>
      </c>
      <c r="H51" t="s">
        <v>1214</v>
      </c>
      <c r="I51" t="str">
        <f>_xlfn.XLOOKUP(Table1[[#This Row],[city]],Table4[city],Table4[id_city])</f>
        <v>KOA0103</v>
      </c>
      <c r="J51" t="s">
        <v>1219</v>
      </c>
      <c r="K51" t="str">
        <f>_xlfn.XLOOKUP(Table1[[#This Row],[menu_name]],Table5[menu_name],Table5[id_menu])</f>
        <v>MENU002</v>
      </c>
      <c r="L51" t="s">
        <v>1224</v>
      </c>
      <c r="M51" t="str">
        <f>_xlfn.XLOOKUP(Table1[[#This Row],[category]],Table6[category],Table6[id_category])</f>
        <v>KTG0206</v>
      </c>
      <c r="N51" t="s">
        <v>1234</v>
      </c>
      <c r="O51">
        <v>4</v>
      </c>
      <c r="P51">
        <v>30000</v>
      </c>
      <c r="Q51">
        <v>10</v>
      </c>
      <c r="R51">
        <v>3.5</v>
      </c>
      <c r="S51" t="str">
        <f>_xlfn.XLOOKUP(Table1[[#This Row],[method]],Table7[method],Table7[id_method])</f>
        <v>PAY0712</v>
      </c>
      <c r="T51" t="s">
        <v>1239</v>
      </c>
      <c r="U51">
        <v>108000</v>
      </c>
    </row>
    <row r="52" spans="1:21" x14ac:dyDescent="0.25">
      <c r="A52" t="s">
        <v>64</v>
      </c>
      <c r="B52" t="str">
        <f>_xlfn.XLOOKUP(Table1[[#This Row],[date]],Table8[date],Table8[id_date])</f>
        <v>TGL0527</v>
      </c>
      <c r="C52" s="1">
        <v>45323</v>
      </c>
      <c r="D52" s="1" t="str">
        <f>_xlfn.XLOOKUP(Table1[[#This Row],[customer_name]],Table11[customer_name],Table11[id_cust])</f>
        <v>CNA0151</v>
      </c>
      <c r="E52" t="s">
        <v>1060</v>
      </c>
      <c r="F52">
        <v>20</v>
      </c>
      <c r="G52" t="str">
        <f>_xlfn.XLOOKUP(Table1[[#This Row],[branch_name]],Table3[branch_name],Table3[id_branch])</f>
        <v>BRCH004</v>
      </c>
      <c r="H52" t="s">
        <v>1216</v>
      </c>
      <c r="I52" t="str">
        <f>_xlfn.XLOOKUP(Table1[[#This Row],[city]],Table4[city],Table4[id_city])</f>
        <v>KOA0105</v>
      </c>
      <c r="J52" t="s">
        <v>1221</v>
      </c>
      <c r="K52" t="str">
        <f>_xlfn.XLOOKUP(Table1[[#This Row],[menu_name]],Table5[menu_name],Table5[id_menu])</f>
        <v>MENU008</v>
      </c>
      <c r="L52" t="s">
        <v>1230</v>
      </c>
      <c r="M52" t="str">
        <f>_xlfn.XLOOKUP(Table1[[#This Row],[category]],Table6[category],Table6[id_category])</f>
        <v>KTG0205</v>
      </c>
      <c r="N52" t="s">
        <v>1233</v>
      </c>
      <c r="O52">
        <v>4</v>
      </c>
      <c r="P52">
        <v>20000</v>
      </c>
      <c r="Q52">
        <v>0</v>
      </c>
      <c r="R52">
        <v>4.4000000000000004</v>
      </c>
      <c r="S52" t="str">
        <f>_xlfn.XLOOKUP(Table1[[#This Row],[method]],Table7[method],Table7[id_method])</f>
        <v>PAY0711</v>
      </c>
      <c r="T52" t="s">
        <v>1238</v>
      </c>
      <c r="U52">
        <v>80000</v>
      </c>
    </row>
    <row r="53" spans="1:21" x14ac:dyDescent="0.25">
      <c r="A53" t="s">
        <v>65</v>
      </c>
      <c r="B53" t="str">
        <f>_xlfn.XLOOKUP(Table1[[#This Row],[date]],Table8[date],Table8[id_date])</f>
        <v>TGL0528</v>
      </c>
      <c r="C53" s="1">
        <v>45324</v>
      </c>
      <c r="D53" s="1" t="str">
        <f>_xlfn.XLOOKUP(Table1[[#This Row],[customer_name]],Table11[customer_name],Table11[id_cust])</f>
        <v>CNA0152</v>
      </c>
      <c r="E53" t="s">
        <v>1061</v>
      </c>
      <c r="F53">
        <v>49</v>
      </c>
      <c r="G53" t="str">
        <f>_xlfn.XLOOKUP(Table1[[#This Row],[branch_name]],Table3[branch_name],Table3[id_branch])</f>
        <v>BRCH003</v>
      </c>
      <c r="H53" t="s">
        <v>1215</v>
      </c>
      <c r="I53" t="str">
        <f>_xlfn.XLOOKUP(Table1[[#This Row],[city]],Table4[city],Table4[id_city])</f>
        <v>KOA0104</v>
      </c>
      <c r="J53" t="s">
        <v>1220</v>
      </c>
      <c r="K53" t="str">
        <f>_xlfn.XLOOKUP(Table1[[#This Row],[menu_name]],Table5[menu_name],Table5[id_menu])</f>
        <v>MENU009</v>
      </c>
      <c r="L53" t="s">
        <v>1231</v>
      </c>
      <c r="M53" t="str">
        <f>_xlfn.XLOOKUP(Table1[[#This Row],[category]],Table6[category],Table6[id_category])</f>
        <v>KTG0206</v>
      </c>
      <c r="N53" t="s">
        <v>1234</v>
      </c>
      <c r="O53">
        <v>5</v>
      </c>
      <c r="P53">
        <v>18000</v>
      </c>
      <c r="Q53">
        <v>5</v>
      </c>
      <c r="R53">
        <v>4.2</v>
      </c>
      <c r="S53" t="str">
        <f>_xlfn.XLOOKUP(Table1[[#This Row],[method]],Table7[method],Table7[id_method])</f>
        <v>PAY0710</v>
      </c>
      <c r="T53" t="s">
        <v>1237</v>
      </c>
      <c r="U53">
        <v>85500</v>
      </c>
    </row>
    <row r="54" spans="1:21" x14ac:dyDescent="0.25">
      <c r="A54" t="s">
        <v>66</v>
      </c>
      <c r="B54" t="str">
        <f>_xlfn.XLOOKUP(Table1[[#This Row],[date]],Table8[date],Table8[id_date])</f>
        <v>TGL0529</v>
      </c>
      <c r="C54" s="1">
        <v>45325</v>
      </c>
      <c r="D54" s="1" t="str">
        <f>_xlfn.XLOOKUP(Table1[[#This Row],[customer_name]],Table11[customer_name],Table11[id_cust])</f>
        <v>CNA0153</v>
      </c>
      <c r="E54" t="s">
        <v>1062</v>
      </c>
      <c r="F54">
        <v>20</v>
      </c>
      <c r="G54" t="str">
        <f>_xlfn.XLOOKUP(Table1[[#This Row],[branch_name]],Table3[branch_name],Table3[id_branch])</f>
        <v>BRCH001</v>
      </c>
      <c r="H54" t="s">
        <v>1213</v>
      </c>
      <c r="I54" t="str">
        <f>_xlfn.XLOOKUP(Table1[[#This Row],[city]],Table4[city],Table4[id_city])</f>
        <v>KOA0102</v>
      </c>
      <c r="J54" t="s">
        <v>1218</v>
      </c>
      <c r="K54" t="str">
        <f>_xlfn.XLOOKUP(Table1[[#This Row],[menu_name]],Table5[menu_name],Table5[id_menu])</f>
        <v>MENU009</v>
      </c>
      <c r="L54" t="s">
        <v>1231</v>
      </c>
      <c r="M54" t="str">
        <f>_xlfn.XLOOKUP(Table1[[#This Row],[category]],Table6[category],Table6[id_category])</f>
        <v>KTG0206</v>
      </c>
      <c r="N54" t="s">
        <v>1234</v>
      </c>
      <c r="O54">
        <v>5</v>
      </c>
      <c r="P54">
        <v>18000</v>
      </c>
      <c r="Q54">
        <v>0</v>
      </c>
      <c r="R54">
        <v>4.5</v>
      </c>
      <c r="S54" t="str">
        <f>_xlfn.XLOOKUP(Table1[[#This Row],[method]],Table7[method],Table7[id_method])</f>
        <v>PAY0712</v>
      </c>
      <c r="T54" t="s">
        <v>1239</v>
      </c>
      <c r="U54">
        <v>90000</v>
      </c>
    </row>
    <row r="55" spans="1:21" x14ac:dyDescent="0.25">
      <c r="A55" t="s">
        <v>67</v>
      </c>
      <c r="B55" t="str">
        <f>_xlfn.XLOOKUP(Table1[[#This Row],[date]],Table8[date],Table8[id_date])</f>
        <v>TGL0529</v>
      </c>
      <c r="C55" s="1">
        <v>45325</v>
      </c>
      <c r="D55" s="1" t="str">
        <f>_xlfn.XLOOKUP(Table1[[#This Row],[customer_name]],Table11[customer_name],Table11[id_cust])</f>
        <v>CNA0154</v>
      </c>
      <c r="E55" t="s">
        <v>1063</v>
      </c>
      <c r="F55">
        <v>44</v>
      </c>
      <c r="G55" t="str">
        <f>_xlfn.XLOOKUP(Table1[[#This Row],[branch_name]],Table3[branch_name],Table3[id_branch])</f>
        <v>BRCH003</v>
      </c>
      <c r="H55" t="s">
        <v>1215</v>
      </c>
      <c r="I55" t="str">
        <f>_xlfn.XLOOKUP(Table1[[#This Row],[city]],Table4[city],Table4[id_city])</f>
        <v>KOA0104</v>
      </c>
      <c r="J55" t="s">
        <v>1220</v>
      </c>
      <c r="K55" t="str">
        <f>_xlfn.XLOOKUP(Table1[[#This Row],[menu_name]],Table5[menu_name],Table5[id_menu])</f>
        <v>MENU005</v>
      </c>
      <c r="L55" t="s">
        <v>1227</v>
      </c>
      <c r="M55" t="str">
        <f>_xlfn.XLOOKUP(Table1[[#This Row],[category]],Table6[category],Table6[id_category])</f>
        <v>KTG0206</v>
      </c>
      <c r="N55" t="s">
        <v>1234</v>
      </c>
      <c r="O55">
        <v>3</v>
      </c>
      <c r="P55">
        <v>23000</v>
      </c>
      <c r="Q55">
        <v>20</v>
      </c>
      <c r="R55">
        <v>2.8</v>
      </c>
      <c r="S55" t="str">
        <f>_xlfn.XLOOKUP(Table1[[#This Row],[method]],Table7[method],Table7[id_method])</f>
        <v>PAY0710</v>
      </c>
      <c r="T55" t="s">
        <v>1237</v>
      </c>
      <c r="U55">
        <v>55200</v>
      </c>
    </row>
    <row r="56" spans="1:21" x14ac:dyDescent="0.25">
      <c r="A56" t="s">
        <v>68</v>
      </c>
      <c r="B56" t="str">
        <f>_xlfn.XLOOKUP(Table1[[#This Row],[date]],Table8[date],Table8[id_date])</f>
        <v>TGL0530</v>
      </c>
      <c r="C56" s="1">
        <v>45326</v>
      </c>
      <c r="D56" s="1" t="str">
        <f>_xlfn.XLOOKUP(Table1[[#This Row],[customer_name]],Table11[customer_name],Table11[id_cust])</f>
        <v>CNA0155</v>
      </c>
      <c r="E56" t="s">
        <v>1064</v>
      </c>
      <c r="F56">
        <v>18</v>
      </c>
      <c r="G56" t="str">
        <f>_xlfn.XLOOKUP(Table1[[#This Row],[branch_name]],Table3[branch_name],Table3[id_branch])</f>
        <v>BRCH002</v>
      </c>
      <c r="H56" t="s">
        <v>1214</v>
      </c>
      <c r="I56" t="str">
        <f>_xlfn.XLOOKUP(Table1[[#This Row],[city]],Table4[city],Table4[id_city])</f>
        <v>KOA0103</v>
      </c>
      <c r="J56" t="s">
        <v>1219</v>
      </c>
      <c r="K56" t="str">
        <f>_xlfn.XLOOKUP(Table1[[#This Row],[menu_name]],Table5[menu_name],Table5[id_menu])</f>
        <v>MENU005</v>
      </c>
      <c r="L56" t="s">
        <v>1227</v>
      </c>
      <c r="M56" t="str">
        <f>_xlfn.XLOOKUP(Table1[[#This Row],[category]],Table6[category],Table6[id_category])</f>
        <v>KTG0206</v>
      </c>
      <c r="N56" t="s">
        <v>1234</v>
      </c>
      <c r="O56">
        <v>5</v>
      </c>
      <c r="P56">
        <v>23000</v>
      </c>
      <c r="Q56">
        <v>10</v>
      </c>
      <c r="R56">
        <v>3.3</v>
      </c>
      <c r="S56" t="str">
        <f>_xlfn.XLOOKUP(Table1[[#This Row],[method]],Table7[method],Table7[id_method])</f>
        <v>PAY0710</v>
      </c>
      <c r="T56" t="s">
        <v>1237</v>
      </c>
      <c r="U56">
        <v>103500</v>
      </c>
    </row>
    <row r="57" spans="1:21" x14ac:dyDescent="0.25">
      <c r="A57" t="s">
        <v>69</v>
      </c>
      <c r="B57" t="str">
        <f>_xlfn.XLOOKUP(Table1[[#This Row],[date]],Table8[date],Table8[id_date])</f>
        <v>TGL0531</v>
      </c>
      <c r="C57" s="1">
        <v>45327</v>
      </c>
      <c r="D57" s="1" t="str">
        <f>_xlfn.XLOOKUP(Table1[[#This Row],[customer_name]],Table11[customer_name],Table11[id_cust])</f>
        <v>CNA0133</v>
      </c>
      <c r="E57" t="s">
        <v>1045</v>
      </c>
      <c r="F57">
        <v>42</v>
      </c>
      <c r="G57" t="str">
        <f>_xlfn.XLOOKUP(Table1[[#This Row],[branch_name]],Table3[branch_name],Table3[id_branch])</f>
        <v>BRCH003</v>
      </c>
      <c r="H57" t="s">
        <v>1215</v>
      </c>
      <c r="I57" t="str">
        <f>_xlfn.XLOOKUP(Table1[[#This Row],[city]],Table4[city],Table4[id_city])</f>
        <v>KOA0104</v>
      </c>
      <c r="J57" t="s">
        <v>1220</v>
      </c>
      <c r="K57" t="str">
        <f>_xlfn.XLOOKUP(Table1[[#This Row],[menu_name]],Table5[menu_name],Table5[id_menu])</f>
        <v>MENU006</v>
      </c>
      <c r="L57" t="s">
        <v>1228</v>
      </c>
      <c r="M57" t="str">
        <f>_xlfn.XLOOKUP(Table1[[#This Row],[category]],Table6[category],Table6[id_category])</f>
        <v>KTG0206</v>
      </c>
      <c r="N57" t="s">
        <v>1234</v>
      </c>
      <c r="O57">
        <v>3</v>
      </c>
      <c r="P57">
        <v>32000</v>
      </c>
      <c r="Q57">
        <v>0</v>
      </c>
      <c r="R57">
        <v>3.5</v>
      </c>
      <c r="S57" t="str">
        <f>_xlfn.XLOOKUP(Table1[[#This Row],[method]],Table7[method],Table7[id_method])</f>
        <v>PAY0709</v>
      </c>
      <c r="T57" t="s">
        <v>1236</v>
      </c>
      <c r="U57">
        <v>96000</v>
      </c>
    </row>
    <row r="58" spans="1:21" x14ac:dyDescent="0.25">
      <c r="A58" t="s">
        <v>70</v>
      </c>
      <c r="B58" t="str">
        <f>_xlfn.XLOOKUP(Table1[[#This Row],[date]],Table8[date],Table8[id_date])</f>
        <v>TGL0532</v>
      </c>
      <c r="C58" s="1">
        <v>45328</v>
      </c>
      <c r="D58" s="1" t="str">
        <f>_xlfn.XLOOKUP(Table1[[#This Row],[customer_name]],Table11[customer_name],Table11[id_cust])</f>
        <v>CNA0157</v>
      </c>
      <c r="E58" t="s">
        <v>1065</v>
      </c>
      <c r="F58">
        <v>29</v>
      </c>
      <c r="G58" t="str">
        <f>_xlfn.XLOOKUP(Table1[[#This Row],[branch_name]],Table3[branch_name],Table3[id_branch])</f>
        <v>BRCH004</v>
      </c>
      <c r="H58" t="s">
        <v>1216</v>
      </c>
      <c r="I58" t="str">
        <f>_xlfn.XLOOKUP(Table1[[#This Row],[city]],Table4[city],Table4[id_city])</f>
        <v>KOA0105</v>
      </c>
      <c r="J58" t="s">
        <v>1221</v>
      </c>
      <c r="K58" t="str">
        <f>_xlfn.XLOOKUP(Table1[[#This Row],[menu_name]],Table5[menu_name],Table5[id_menu])</f>
        <v>MENU010</v>
      </c>
      <c r="L58" t="s">
        <v>1232</v>
      </c>
      <c r="M58" t="str">
        <f>_xlfn.XLOOKUP(Table1[[#This Row],[category]],Table6[category],Table6[id_category])</f>
        <v>KTG0205</v>
      </c>
      <c r="N58" t="s">
        <v>1233</v>
      </c>
      <c r="O58">
        <v>4</v>
      </c>
      <c r="P58">
        <v>18000</v>
      </c>
      <c r="Q58">
        <v>0</v>
      </c>
      <c r="R58">
        <v>4.4000000000000004</v>
      </c>
      <c r="S58" t="str">
        <f>_xlfn.XLOOKUP(Table1[[#This Row],[method]],Table7[method],Table7[id_method])</f>
        <v>PAY0709</v>
      </c>
      <c r="T58" t="s">
        <v>1236</v>
      </c>
      <c r="U58">
        <v>72000</v>
      </c>
    </row>
    <row r="59" spans="1:21" x14ac:dyDescent="0.25">
      <c r="A59" t="s">
        <v>71</v>
      </c>
      <c r="B59" t="str">
        <f>_xlfn.XLOOKUP(Table1[[#This Row],[date]],Table8[date],Table8[id_date])</f>
        <v>TGL0532</v>
      </c>
      <c r="C59" s="1">
        <v>45328</v>
      </c>
      <c r="D59" s="1" t="str">
        <f>_xlfn.XLOOKUP(Table1[[#This Row],[customer_name]],Table11[customer_name],Table11[id_cust])</f>
        <v>CNA0158</v>
      </c>
      <c r="E59" t="s">
        <v>1066</v>
      </c>
      <c r="F59">
        <v>48</v>
      </c>
      <c r="G59" t="str">
        <f>_xlfn.XLOOKUP(Table1[[#This Row],[branch_name]],Table3[branch_name],Table3[id_branch])</f>
        <v>BRCH004</v>
      </c>
      <c r="H59" t="s">
        <v>1216</v>
      </c>
      <c r="I59" t="str">
        <f>_xlfn.XLOOKUP(Table1[[#This Row],[city]],Table4[city],Table4[id_city])</f>
        <v>KOA0105</v>
      </c>
      <c r="J59" t="s">
        <v>1221</v>
      </c>
      <c r="K59" t="str">
        <f>_xlfn.XLOOKUP(Table1[[#This Row],[menu_name]],Table5[menu_name],Table5[id_menu])</f>
        <v>MENU010</v>
      </c>
      <c r="L59" t="s">
        <v>1232</v>
      </c>
      <c r="M59" t="str">
        <f>_xlfn.XLOOKUP(Table1[[#This Row],[category]],Table6[category],Table6[id_category])</f>
        <v>KTG0205</v>
      </c>
      <c r="N59" t="s">
        <v>1233</v>
      </c>
      <c r="O59">
        <v>5</v>
      </c>
      <c r="P59">
        <v>18000</v>
      </c>
      <c r="Q59">
        <v>0</v>
      </c>
      <c r="R59">
        <v>1.2</v>
      </c>
      <c r="S59" t="str">
        <f>_xlfn.XLOOKUP(Table1[[#This Row],[method]],Table7[method],Table7[id_method])</f>
        <v>PAY0712</v>
      </c>
      <c r="T59" t="s">
        <v>1239</v>
      </c>
      <c r="U59">
        <v>90000</v>
      </c>
    </row>
    <row r="60" spans="1:21" x14ac:dyDescent="0.25">
      <c r="A60" t="s">
        <v>72</v>
      </c>
      <c r="B60" t="str">
        <f>_xlfn.XLOOKUP(Table1[[#This Row],[date]],Table8[date],Table8[id_date])</f>
        <v>TGL0532</v>
      </c>
      <c r="C60" s="1">
        <v>45328</v>
      </c>
      <c r="D60" s="1" t="str">
        <f>_xlfn.XLOOKUP(Table1[[#This Row],[customer_name]],Table11[customer_name],Table11[id_cust])</f>
        <v>CNA0159</v>
      </c>
      <c r="E60" t="s">
        <v>1067</v>
      </c>
      <c r="F60">
        <v>17</v>
      </c>
      <c r="G60" t="str">
        <f>_xlfn.XLOOKUP(Table1[[#This Row],[branch_name]],Table3[branch_name],Table3[id_branch])</f>
        <v>BRCH004</v>
      </c>
      <c r="H60" t="s">
        <v>1216</v>
      </c>
      <c r="I60" t="str">
        <f>_xlfn.XLOOKUP(Table1[[#This Row],[city]],Table4[city],Table4[id_city])</f>
        <v>KOA0105</v>
      </c>
      <c r="J60" t="s">
        <v>1221</v>
      </c>
      <c r="K60" t="str">
        <f>_xlfn.XLOOKUP(Table1[[#This Row],[menu_name]],Table5[menu_name],Table5[id_menu])</f>
        <v>MENU009</v>
      </c>
      <c r="L60" t="s">
        <v>1231</v>
      </c>
      <c r="M60" t="str">
        <f>_xlfn.XLOOKUP(Table1[[#This Row],[category]],Table6[category],Table6[id_category])</f>
        <v>KTG0206</v>
      </c>
      <c r="N60" t="s">
        <v>1234</v>
      </c>
      <c r="O60">
        <v>5</v>
      </c>
      <c r="P60">
        <v>18000</v>
      </c>
      <c r="Q60">
        <v>0</v>
      </c>
      <c r="R60">
        <v>4.4000000000000004</v>
      </c>
      <c r="S60" t="str">
        <f>_xlfn.XLOOKUP(Table1[[#This Row],[method]],Table7[method],Table7[id_method])</f>
        <v>PAY0712</v>
      </c>
      <c r="T60" t="s">
        <v>1239</v>
      </c>
      <c r="U60">
        <v>90000</v>
      </c>
    </row>
    <row r="61" spans="1:21" x14ac:dyDescent="0.25">
      <c r="A61" t="s">
        <v>73</v>
      </c>
      <c r="B61" t="str">
        <f>_xlfn.XLOOKUP(Table1[[#This Row],[date]],Table8[date],Table8[id_date])</f>
        <v>TGL0533</v>
      </c>
      <c r="C61" s="1">
        <v>45329</v>
      </c>
      <c r="D61" s="1" t="str">
        <f>_xlfn.XLOOKUP(Table1[[#This Row],[customer_name]],Table11[customer_name],Table11[id_cust])</f>
        <v>CNA0103</v>
      </c>
      <c r="E61" t="s">
        <v>1016</v>
      </c>
      <c r="F61">
        <v>44</v>
      </c>
      <c r="G61" t="str">
        <f>_xlfn.XLOOKUP(Table1[[#This Row],[branch_name]],Table3[branch_name],Table3[id_branch])</f>
        <v>BRCH002</v>
      </c>
      <c r="H61" t="s">
        <v>1214</v>
      </c>
      <c r="I61" t="str">
        <f>_xlfn.XLOOKUP(Table1[[#This Row],[city]],Table4[city],Table4[id_city])</f>
        <v>KOA0103</v>
      </c>
      <c r="J61" t="s">
        <v>1219</v>
      </c>
      <c r="K61" t="str">
        <f>_xlfn.XLOOKUP(Table1[[#This Row],[menu_name]],Table5[menu_name],Table5[id_menu])</f>
        <v>MENU001</v>
      </c>
      <c r="L61" t="s">
        <v>1223</v>
      </c>
      <c r="M61" t="str">
        <f>_xlfn.XLOOKUP(Table1[[#This Row],[category]],Table6[category],Table6[id_category])</f>
        <v>KTG0205</v>
      </c>
      <c r="N61" t="s">
        <v>1233</v>
      </c>
      <c r="O61">
        <v>4</v>
      </c>
      <c r="P61">
        <v>25000</v>
      </c>
      <c r="Q61">
        <v>0</v>
      </c>
      <c r="R61">
        <v>3.3</v>
      </c>
      <c r="S61" t="str">
        <f>_xlfn.XLOOKUP(Table1[[#This Row],[method]],Table7[method],Table7[id_method])</f>
        <v>PAY0709</v>
      </c>
      <c r="T61" t="s">
        <v>1236</v>
      </c>
      <c r="U61">
        <v>100000</v>
      </c>
    </row>
    <row r="62" spans="1:21" x14ac:dyDescent="0.25">
      <c r="A62" t="s">
        <v>74</v>
      </c>
      <c r="B62" t="str">
        <f>_xlfn.XLOOKUP(Table1[[#This Row],[date]],Table8[date],Table8[id_date])</f>
        <v>TGL0534</v>
      </c>
      <c r="C62" s="1">
        <v>45330</v>
      </c>
      <c r="D62" s="1" t="str">
        <f>_xlfn.XLOOKUP(Table1[[#This Row],[customer_name]],Table11[customer_name],Table11[id_cust])</f>
        <v>CNA0147</v>
      </c>
      <c r="E62" t="s">
        <v>1056</v>
      </c>
      <c r="F62">
        <v>23</v>
      </c>
      <c r="G62" t="str">
        <f>_xlfn.XLOOKUP(Table1[[#This Row],[branch_name]],Table3[branch_name],Table3[id_branch])</f>
        <v>BRCH004</v>
      </c>
      <c r="H62" t="s">
        <v>1216</v>
      </c>
      <c r="I62" t="str">
        <f>_xlfn.XLOOKUP(Table1[[#This Row],[city]],Table4[city],Table4[id_city])</f>
        <v>KOA0105</v>
      </c>
      <c r="J62" t="s">
        <v>1221</v>
      </c>
      <c r="K62" t="str">
        <f>_xlfn.XLOOKUP(Table1[[#This Row],[menu_name]],Table5[menu_name],Table5[id_menu])</f>
        <v>MENU010</v>
      </c>
      <c r="L62" t="s">
        <v>1232</v>
      </c>
      <c r="M62" t="str">
        <f>_xlfn.XLOOKUP(Table1[[#This Row],[category]],Table6[category],Table6[id_category])</f>
        <v>KTG0205</v>
      </c>
      <c r="N62" t="s">
        <v>1233</v>
      </c>
      <c r="O62">
        <v>4</v>
      </c>
      <c r="P62">
        <v>18000</v>
      </c>
      <c r="Q62">
        <v>5</v>
      </c>
      <c r="R62">
        <v>3.9</v>
      </c>
      <c r="S62" t="str">
        <f>_xlfn.XLOOKUP(Table1[[#This Row],[method]],Table7[method],Table7[id_method])</f>
        <v>PAY0711</v>
      </c>
      <c r="T62" t="s">
        <v>1238</v>
      </c>
      <c r="U62">
        <v>68400</v>
      </c>
    </row>
    <row r="63" spans="1:21" x14ac:dyDescent="0.25">
      <c r="A63" t="s">
        <v>75</v>
      </c>
      <c r="B63" t="str">
        <f>_xlfn.XLOOKUP(Table1[[#This Row],[date]],Table8[date],Table8[id_date])</f>
        <v>TGL0534</v>
      </c>
      <c r="C63" s="1">
        <v>45330</v>
      </c>
      <c r="D63" s="1" t="str">
        <f>_xlfn.XLOOKUP(Table1[[#This Row],[customer_name]],Table11[customer_name],Table11[id_cust])</f>
        <v>CNA0162</v>
      </c>
      <c r="E63" t="s">
        <v>1068</v>
      </c>
      <c r="F63">
        <v>24</v>
      </c>
      <c r="G63" t="str">
        <f>_xlfn.XLOOKUP(Table1[[#This Row],[branch_name]],Table3[branch_name],Table3[id_branch])</f>
        <v>BRCH003</v>
      </c>
      <c r="H63" t="s">
        <v>1215</v>
      </c>
      <c r="I63" t="str">
        <f>_xlfn.XLOOKUP(Table1[[#This Row],[city]],Table4[city],Table4[id_city])</f>
        <v>KOA0104</v>
      </c>
      <c r="J63" t="s">
        <v>1220</v>
      </c>
      <c r="K63" t="str">
        <f>_xlfn.XLOOKUP(Table1[[#This Row],[menu_name]],Table5[menu_name],Table5[id_menu])</f>
        <v>MENU004</v>
      </c>
      <c r="L63" t="s">
        <v>1226</v>
      </c>
      <c r="M63" t="str">
        <f>_xlfn.XLOOKUP(Table1[[#This Row],[category]],Table6[category],Table6[id_category])</f>
        <v>KTG0207</v>
      </c>
      <c r="N63" t="s">
        <v>1235</v>
      </c>
      <c r="O63">
        <v>5</v>
      </c>
      <c r="P63">
        <v>28000</v>
      </c>
      <c r="Q63">
        <v>0</v>
      </c>
      <c r="R63">
        <v>2.9</v>
      </c>
      <c r="S63" t="str">
        <f>_xlfn.XLOOKUP(Table1[[#This Row],[method]],Table7[method],Table7[id_method])</f>
        <v>PAY0712</v>
      </c>
      <c r="T63" t="s">
        <v>1239</v>
      </c>
      <c r="U63">
        <v>140000</v>
      </c>
    </row>
    <row r="64" spans="1:21" x14ac:dyDescent="0.25">
      <c r="A64" t="s">
        <v>76</v>
      </c>
      <c r="B64" t="str">
        <f>_xlfn.XLOOKUP(Table1[[#This Row],[date]],Table8[date],Table8[id_date])</f>
        <v>TGL0534</v>
      </c>
      <c r="C64" s="1">
        <v>45330</v>
      </c>
      <c r="D64" s="1" t="str">
        <f>_xlfn.XLOOKUP(Table1[[#This Row],[customer_name]],Table11[customer_name],Table11[id_cust])</f>
        <v>CNA0137</v>
      </c>
      <c r="E64" t="s">
        <v>1048</v>
      </c>
      <c r="F64">
        <v>32</v>
      </c>
      <c r="G64" t="str">
        <f>_xlfn.XLOOKUP(Table1[[#This Row],[branch_name]],Table3[branch_name],Table3[id_branch])</f>
        <v>BRCH001</v>
      </c>
      <c r="H64" t="s">
        <v>1213</v>
      </c>
      <c r="I64" t="str">
        <f>_xlfn.XLOOKUP(Table1[[#This Row],[city]],Table4[city],Table4[id_city])</f>
        <v>KOA0102</v>
      </c>
      <c r="J64" t="s">
        <v>1218</v>
      </c>
      <c r="K64" t="str">
        <f>_xlfn.XLOOKUP(Table1[[#This Row],[menu_name]],Table5[menu_name],Table5[id_menu])</f>
        <v>MENU010</v>
      </c>
      <c r="L64" t="s">
        <v>1232</v>
      </c>
      <c r="M64" t="str">
        <f>_xlfn.XLOOKUP(Table1[[#This Row],[category]],Table6[category],Table6[id_category])</f>
        <v>KTG0205</v>
      </c>
      <c r="N64" t="s">
        <v>1233</v>
      </c>
      <c r="O64">
        <v>5</v>
      </c>
      <c r="P64">
        <v>18000</v>
      </c>
      <c r="Q64">
        <v>20</v>
      </c>
      <c r="R64">
        <v>3.2</v>
      </c>
      <c r="S64" t="str">
        <f>_xlfn.XLOOKUP(Table1[[#This Row],[method]],Table7[method],Table7[id_method])</f>
        <v>PAY0710</v>
      </c>
      <c r="T64" t="s">
        <v>1237</v>
      </c>
      <c r="U64">
        <v>72000</v>
      </c>
    </row>
    <row r="65" spans="1:21" x14ac:dyDescent="0.25">
      <c r="A65" t="s">
        <v>77</v>
      </c>
      <c r="B65" t="str">
        <f>_xlfn.XLOOKUP(Table1[[#This Row],[date]],Table8[date],Table8[id_date])</f>
        <v>TGL0534</v>
      </c>
      <c r="C65" s="1">
        <v>45330</v>
      </c>
      <c r="D65" s="1" t="str">
        <f>_xlfn.XLOOKUP(Table1[[#This Row],[customer_name]],Table11[customer_name],Table11[id_cust])</f>
        <v>CNA0164</v>
      </c>
      <c r="E65" t="s">
        <v>1069</v>
      </c>
      <c r="F65">
        <v>48</v>
      </c>
      <c r="G65" t="str">
        <f>_xlfn.XLOOKUP(Table1[[#This Row],[branch_name]],Table3[branch_name],Table3[id_branch])</f>
        <v>BRCH004</v>
      </c>
      <c r="H65" t="s">
        <v>1216</v>
      </c>
      <c r="I65" t="str">
        <f>_xlfn.XLOOKUP(Table1[[#This Row],[city]],Table4[city],Table4[id_city])</f>
        <v>KOA0105</v>
      </c>
      <c r="J65" t="s">
        <v>1221</v>
      </c>
      <c r="K65" t="str">
        <f>_xlfn.XLOOKUP(Table1[[#This Row],[menu_name]],Table5[menu_name],Table5[id_menu])</f>
        <v>MENU005</v>
      </c>
      <c r="L65" t="s">
        <v>1227</v>
      </c>
      <c r="M65" t="str">
        <f>_xlfn.XLOOKUP(Table1[[#This Row],[category]],Table6[category],Table6[id_category])</f>
        <v>KTG0206</v>
      </c>
      <c r="N65" t="s">
        <v>1234</v>
      </c>
      <c r="O65">
        <v>3</v>
      </c>
      <c r="P65">
        <v>23000</v>
      </c>
      <c r="Q65">
        <v>0</v>
      </c>
      <c r="R65">
        <v>1.4</v>
      </c>
      <c r="S65" t="str">
        <f>_xlfn.XLOOKUP(Table1[[#This Row],[method]],Table7[method],Table7[id_method])</f>
        <v>PAY0711</v>
      </c>
      <c r="T65" t="s">
        <v>1238</v>
      </c>
      <c r="U65">
        <v>69000</v>
      </c>
    </row>
    <row r="66" spans="1:21" x14ac:dyDescent="0.25">
      <c r="A66" t="s">
        <v>78</v>
      </c>
      <c r="B66" t="str">
        <f>_xlfn.XLOOKUP(Table1[[#This Row],[date]],Table8[date],Table8[id_date])</f>
        <v>TGL0534</v>
      </c>
      <c r="C66" s="1">
        <v>45330</v>
      </c>
      <c r="D66" s="1" t="str">
        <f>_xlfn.XLOOKUP(Table1[[#This Row],[customer_name]],Table11[customer_name],Table11[id_cust])</f>
        <v>CNA0165</v>
      </c>
      <c r="E66" t="s">
        <v>1070</v>
      </c>
      <c r="F66">
        <v>18</v>
      </c>
      <c r="G66" t="str">
        <f>_xlfn.XLOOKUP(Table1[[#This Row],[branch_name]],Table3[branch_name],Table3[id_branch])</f>
        <v>BRCH004</v>
      </c>
      <c r="H66" t="s">
        <v>1216</v>
      </c>
      <c r="I66" t="str">
        <f>_xlfn.XLOOKUP(Table1[[#This Row],[city]],Table4[city],Table4[id_city])</f>
        <v>KOA0105</v>
      </c>
      <c r="J66" t="s">
        <v>1221</v>
      </c>
      <c r="K66" t="str">
        <f>_xlfn.XLOOKUP(Table1[[#This Row],[menu_name]],Table5[menu_name],Table5[id_menu])</f>
        <v>MENU001</v>
      </c>
      <c r="L66" t="s">
        <v>1223</v>
      </c>
      <c r="M66" t="str">
        <f>_xlfn.XLOOKUP(Table1[[#This Row],[category]],Table6[category],Table6[id_category])</f>
        <v>KTG0205</v>
      </c>
      <c r="N66" t="s">
        <v>1233</v>
      </c>
      <c r="O66">
        <v>4</v>
      </c>
      <c r="P66">
        <v>25000</v>
      </c>
      <c r="Q66">
        <v>0</v>
      </c>
      <c r="R66">
        <v>4.8</v>
      </c>
      <c r="S66" t="str">
        <f>_xlfn.XLOOKUP(Table1[[#This Row],[method]],Table7[method],Table7[id_method])</f>
        <v>PAY0712</v>
      </c>
      <c r="T66" t="s">
        <v>1239</v>
      </c>
      <c r="U66">
        <v>100000</v>
      </c>
    </row>
    <row r="67" spans="1:21" x14ac:dyDescent="0.25">
      <c r="A67" t="s">
        <v>79</v>
      </c>
      <c r="B67" t="str">
        <f>_xlfn.XLOOKUP(Table1[[#This Row],[date]],Table8[date],Table8[id_date])</f>
        <v>TGL0535</v>
      </c>
      <c r="C67" s="1">
        <v>45331</v>
      </c>
      <c r="D67" s="1" t="str">
        <f>_xlfn.XLOOKUP(Table1[[#This Row],[customer_name]],Table11[customer_name],Table11[id_cust])</f>
        <v>CNA0166</v>
      </c>
      <c r="E67" t="s">
        <v>1071</v>
      </c>
      <c r="F67">
        <v>48</v>
      </c>
      <c r="G67" t="str">
        <f>_xlfn.XLOOKUP(Table1[[#This Row],[branch_name]],Table3[branch_name],Table3[id_branch])</f>
        <v>BRCH005</v>
      </c>
      <c r="H67" t="s">
        <v>1217</v>
      </c>
      <c r="I67" t="str">
        <f>_xlfn.XLOOKUP(Table1[[#This Row],[city]],Table4[city],Table4[id_city])</f>
        <v>KOA0106</v>
      </c>
      <c r="J67" t="s">
        <v>1222</v>
      </c>
      <c r="K67" t="str">
        <f>_xlfn.XLOOKUP(Table1[[#This Row],[menu_name]],Table5[menu_name],Table5[id_menu])</f>
        <v>MENU008</v>
      </c>
      <c r="L67" t="s">
        <v>1230</v>
      </c>
      <c r="M67" t="str">
        <f>_xlfn.XLOOKUP(Table1[[#This Row],[category]],Table6[category],Table6[id_category])</f>
        <v>KTG0205</v>
      </c>
      <c r="N67" t="s">
        <v>1233</v>
      </c>
      <c r="O67">
        <v>3</v>
      </c>
      <c r="P67">
        <v>20000</v>
      </c>
      <c r="Q67">
        <v>20</v>
      </c>
      <c r="R67">
        <v>2.2999999999999998</v>
      </c>
      <c r="S67" t="str">
        <f>_xlfn.XLOOKUP(Table1[[#This Row],[method]],Table7[method],Table7[id_method])</f>
        <v>PAY0710</v>
      </c>
      <c r="T67" t="s">
        <v>1237</v>
      </c>
      <c r="U67">
        <v>48000</v>
      </c>
    </row>
    <row r="68" spans="1:21" x14ac:dyDescent="0.25">
      <c r="A68" t="s">
        <v>80</v>
      </c>
      <c r="B68" t="str">
        <f>_xlfn.XLOOKUP(Table1[[#This Row],[date]],Table8[date],Table8[id_date])</f>
        <v>TGL0536</v>
      </c>
      <c r="C68" s="1">
        <v>45332</v>
      </c>
      <c r="D68" s="1" t="str">
        <f>_xlfn.XLOOKUP(Table1[[#This Row],[customer_name]],Table11[customer_name],Table11[id_cust])</f>
        <v>CNA0167</v>
      </c>
      <c r="E68" t="s">
        <v>1072</v>
      </c>
      <c r="F68">
        <v>38</v>
      </c>
      <c r="G68" t="str">
        <f>_xlfn.XLOOKUP(Table1[[#This Row],[branch_name]],Table3[branch_name],Table3[id_branch])</f>
        <v>BRCH003</v>
      </c>
      <c r="H68" t="s">
        <v>1215</v>
      </c>
      <c r="I68" t="str">
        <f>_xlfn.XLOOKUP(Table1[[#This Row],[city]],Table4[city],Table4[id_city])</f>
        <v>KOA0104</v>
      </c>
      <c r="J68" t="s">
        <v>1220</v>
      </c>
      <c r="K68" t="str">
        <f>_xlfn.XLOOKUP(Table1[[#This Row],[menu_name]],Table5[menu_name],Table5[id_menu])</f>
        <v>MENU006</v>
      </c>
      <c r="L68" t="s">
        <v>1228</v>
      </c>
      <c r="M68" t="str">
        <f>_xlfn.XLOOKUP(Table1[[#This Row],[category]],Table6[category],Table6[id_category])</f>
        <v>KTG0206</v>
      </c>
      <c r="N68" t="s">
        <v>1234</v>
      </c>
      <c r="O68">
        <v>3</v>
      </c>
      <c r="P68">
        <v>32000</v>
      </c>
      <c r="Q68">
        <v>0</v>
      </c>
      <c r="R68">
        <v>3.8</v>
      </c>
      <c r="S68" t="str">
        <f>_xlfn.XLOOKUP(Table1[[#This Row],[method]],Table7[method],Table7[id_method])</f>
        <v>PAY0709</v>
      </c>
      <c r="T68" t="s">
        <v>1236</v>
      </c>
      <c r="U68">
        <v>96000</v>
      </c>
    </row>
    <row r="69" spans="1:21" x14ac:dyDescent="0.25">
      <c r="A69" t="s">
        <v>81</v>
      </c>
      <c r="B69" t="str">
        <f>_xlfn.XLOOKUP(Table1[[#This Row],[date]],Table8[date],Table8[id_date])</f>
        <v>TGL0537</v>
      </c>
      <c r="C69" s="1">
        <v>45333</v>
      </c>
      <c r="D69" s="1" t="str">
        <f>_xlfn.XLOOKUP(Table1[[#This Row],[customer_name]],Table11[customer_name],Table11[id_cust])</f>
        <v>CNA0168</v>
      </c>
      <c r="E69" t="s">
        <v>1073</v>
      </c>
      <c r="F69">
        <v>37</v>
      </c>
      <c r="G69" t="str">
        <f>_xlfn.XLOOKUP(Table1[[#This Row],[branch_name]],Table3[branch_name],Table3[id_branch])</f>
        <v>BRCH002</v>
      </c>
      <c r="H69" t="s">
        <v>1214</v>
      </c>
      <c r="I69" t="str">
        <f>_xlfn.XLOOKUP(Table1[[#This Row],[city]],Table4[city],Table4[id_city])</f>
        <v>KOA0103</v>
      </c>
      <c r="J69" t="s">
        <v>1219</v>
      </c>
      <c r="K69" t="str">
        <f>_xlfn.XLOOKUP(Table1[[#This Row],[menu_name]],Table5[menu_name],Table5[id_menu])</f>
        <v>MENU001</v>
      </c>
      <c r="L69" t="s">
        <v>1223</v>
      </c>
      <c r="M69" t="str">
        <f>_xlfn.XLOOKUP(Table1[[#This Row],[category]],Table6[category],Table6[id_category])</f>
        <v>KTG0205</v>
      </c>
      <c r="N69" t="s">
        <v>1233</v>
      </c>
      <c r="O69">
        <v>1</v>
      </c>
      <c r="P69">
        <v>25000</v>
      </c>
      <c r="Q69">
        <v>0</v>
      </c>
      <c r="R69">
        <v>3.7</v>
      </c>
      <c r="S69" t="str">
        <f>_xlfn.XLOOKUP(Table1[[#This Row],[method]],Table7[method],Table7[id_method])</f>
        <v>PAY0709</v>
      </c>
      <c r="T69" t="s">
        <v>1236</v>
      </c>
      <c r="U69">
        <v>25000</v>
      </c>
    </row>
    <row r="70" spans="1:21" x14ac:dyDescent="0.25">
      <c r="A70" t="s">
        <v>82</v>
      </c>
      <c r="B70" t="str">
        <f>_xlfn.XLOOKUP(Table1[[#This Row],[date]],Table8[date],Table8[id_date])</f>
        <v>TGL0537</v>
      </c>
      <c r="C70" s="1">
        <v>45333</v>
      </c>
      <c r="D70" s="1" t="str">
        <f>_xlfn.XLOOKUP(Table1[[#This Row],[customer_name]],Table11[customer_name],Table11[id_cust])</f>
        <v>CNA0169</v>
      </c>
      <c r="E70" t="s">
        <v>1074</v>
      </c>
      <c r="F70">
        <v>53</v>
      </c>
      <c r="G70" t="str">
        <f>_xlfn.XLOOKUP(Table1[[#This Row],[branch_name]],Table3[branch_name],Table3[id_branch])</f>
        <v>BRCH005</v>
      </c>
      <c r="H70" t="s">
        <v>1217</v>
      </c>
      <c r="I70" t="str">
        <f>_xlfn.XLOOKUP(Table1[[#This Row],[city]],Table4[city],Table4[id_city])</f>
        <v>KOA0106</v>
      </c>
      <c r="J70" t="s">
        <v>1222</v>
      </c>
      <c r="K70" t="str">
        <f>_xlfn.XLOOKUP(Table1[[#This Row],[menu_name]],Table5[menu_name],Table5[id_menu])</f>
        <v>MENU003</v>
      </c>
      <c r="L70" t="s">
        <v>1225</v>
      </c>
      <c r="M70" t="str">
        <f>_xlfn.XLOOKUP(Table1[[#This Row],[category]],Table6[category],Table6[id_category])</f>
        <v>KTG0205</v>
      </c>
      <c r="N70" t="s">
        <v>1233</v>
      </c>
      <c r="O70">
        <v>2</v>
      </c>
      <c r="P70">
        <v>22000</v>
      </c>
      <c r="Q70">
        <v>0</v>
      </c>
      <c r="R70">
        <v>3.3</v>
      </c>
      <c r="S70" t="str">
        <f>_xlfn.XLOOKUP(Table1[[#This Row],[method]],Table7[method],Table7[id_method])</f>
        <v>PAY0710</v>
      </c>
      <c r="T70" t="s">
        <v>1237</v>
      </c>
      <c r="U70">
        <v>44000</v>
      </c>
    </row>
    <row r="71" spans="1:21" x14ac:dyDescent="0.25">
      <c r="A71" t="s">
        <v>83</v>
      </c>
      <c r="B71" t="str">
        <f>_xlfn.XLOOKUP(Table1[[#This Row],[date]],Table8[date],Table8[id_date])</f>
        <v>TGL0538</v>
      </c>
      <c r="C71" s="1">
        <v>45334</v>
      </c>
      <c r="D71" s="1" t="str">
        <f>_xlfn.XLOOKUP(Table1[[#This Row],[customer_name]],Table11[customer_name],Table11[id_cust])</f>
        <v>CNA0170</v>
      </c>
      <c r="E71" t="s">
        <v>1075</v>
      </c>
      <c r="F71">
        <v>18</v>
      </c>
      <c r="G71" t="str">
        <f>_xlfn.XLOOKUP(Table1[[#This Row],[branch_name]],Table3[branch_name],Table3[id_branch])</f>
        <v>BRCH001</v>
      </c>
      <c r="H71" t="s">
        <v>1213</v>
      </c>
      <c r="I71" t="str">
        <f>_xlfn.XLOOKUP(Table1[[#This Row],[city]],Table4[city],Table4[id_city])</f>
        <v>KOA0102</v>
      </c>
      <c r="J71" t="s">
        <v>1218</v>
      </c>
      <c r="K71" t="str">
        <f>_xlfn.XLOOKUP(Table1[[#This Row],[menu_name]],Table5[menu_name],Table5[id_menu])</f>
        <v>MENU010</v>
      </c>
      <c r="L71" t="s">
        <v>1232</v>
      </c>
      <c r="M71" t="str">
        <f>_xlfn.XLOOKUP(Table1[[#This Row],[category]],Table6[category],Table6[id_category])</f>
        <v>KTG0205</v>
      </c>
      <c r="N71" t="s">
        <v>1233</v>
      </c>
      <c r="O71">
        <v>3</v>
      </c>
      <c r="P71">
        <v>18000</v>
      </c>
      <c r="Q71">
        <v>0</v>
      </c>
      <c r="R71">
        <v>2.1</v>
      </c>
      <c r="S71" t="str">
        <f>_xlfn.XLOOKUP(Table1[[#This Row],[method]],Table7[method],Table7[id_method])</f>
        <v>PAY0709</v>
      </c>
      <c r="T71" t="s">
        <v>1236</v>
      </c>
      <c r="U71">
        <v>54000</v>
      </c>
    </row>
    <row r="72" spans="1:21" x14ac:dyDescent="0.25">
      <c r="A72" t="s">
        <v>84</v>
      </c>
      <c r="B72" t="str">
        <f>_xlfn.XLOOKUP(Table1[[#This Row],[date]],Table8[date],Table8[id_date])</f>
        <v>TGL0538</v>
      </c>
      <c r="C72" s="1">
        <v>45334</v>
      </c>
      <c r="D72" s="1" t="str">
        <f>_xlfn.XLOOKUP(Table1[[#This Row],[customer_name]],Table11[customer_name],Table11[id_cust])</f>
        <v>CNA0171</v>
      </c>
      <c r="E72" t="s">
        <v>1076</v>
      </c>
      <c r="F72">
        <v>43</v>
      </c>
      <c r="G72" t="str">
        <f>_xlfn.XLOOKUP(Table1[[#This Row],[branch_name]],Table3[branch_name],Table3[id_branch])</f>
        <v>BRCH001</v>
      </c>
      <c r="H72" t="s">
        <v>1213</v>
      </c>
      <c r="I72" t="str">
        <f>_xlfn.XLOOKUP(Table1[[#This Row],[city]],Table4[city],Table4[id_city])</f>
        <v>KOA0102</v>
      </c>
      <c r="J72" t="s">
        <v>1218</v>
      </c>
      <c r="K72" t="str">
        <f>_xlfn.XLOOKUP(Table1[[#This Row],[menu_name]],Table5[menu_name],Table5[id_menu])</f>
        <v>MENU008</v>
      </c>
      <c r="L72" t="s">
        <v>1230</v>
      </c>
      <c r="M72" t="str">
        <f>_xlfn.XLOOKUP(Table1[[#This Row],[category]],Table6[category],Table6[id_category])</f>
        <v>KTG0205</v>
      </c>
      <c r="N72" t="s">
        <v>1233</v>
      </c>
      <c r="O72">
        <v>3</v>
      </c>
      <c r="P72">
        <v>20000</v>
      </c>
      <c r="Q72">
        <v>5</v>
      </c>
      <c r="R72">
        <v>4.8</v>
      </c>
      <c r="S72" t="str">
        <f>_xlfn.XLOOKUP(Table1[[#This Row],[method]],Table7[method],Table7[id_method])</f>
        <v>PAY0709</v>
      </c>
      <c r="T72" t="s">
        <v>1236</v>
      </c>
      <c r="U72">
        <v>57000</v>
      </c>
    </row>
    <row r="73" spans="1:21" x14ac:dyDescent="0.25">
      <c r="A73" t="s">
        <v>85</v>
      </c>
      <c r="B73" t="str">
        <f>_xlfn.XLOOKUP(Table1[[#This Row],[date]],Table8[date],Table8[id_date])</f>
        <v>TGL0539</v>
      </c>
      <c r="C73" s="1">
        <v>45337</v>
      </c>
      <c r="D73" s="1" t="str">
        <f>_xlfn.XLOOKUP(Table1[[#This Row],[customer_name]],Table11[customer_name],Table11[id_cust])</f>
        <v>CNA0172</v>
      </c>
      <c r="E73" t="s">
        <v>1077</v>
      </c>
      <c r="F73">
        <v>51</v>
      </c>
      <c r="G73" t="str">
        <f>_xlfn.XLOOKUP(Table1[[#This Row],[branch_name]],Table3[branch_name],Table3[id_branch])</f>
        <v>BRCH005</v>
      </c>
      <c r="H73" t="s">
        <v>1217</v>
      </c>
      <c r="I73" t="str">
        <f>_xlfn.XLOOKUP(Table1[[#This Row],[city]],Table4[city],Table4[id_city])</f>
        <v>KOA0106</v>
      </c>
      <c r="J73" t="s">
        <v>1222</v>
      </c>
      <c r="K73" t="str">
        <f>_xlfn.XLOOKUP(Table1[[#This Row],[menu_name]],Table5[menu_name],Table5[id_menu])</f>
        <v>MENU009</v>
      </c>
      <c r="L73" t="s">
        <v>1231</v>
      </c>
      <c r="M73" t="str">
        <f>_xlfn.XLOOKUP(Table1[[#This Row],[category]],Table6[category],Table6[id_category])</f>
        <v>KTG0206</v>
      </c>
      <c r="N73" t="s">
        <v>1234</v>
      </c>
      <c r="O73">
        <v>1</v>
      </c>
      <c r="P73">
        <v>18000</v>
      </c>
      <c r="Q73">
        <v>0</v>
      </c>
      <c r="R73">
        <v>2.7</v>
      </c>
      <c r="S73" t="str">
        <f>_xlfn.XLOOKUP(Table1[[#This Row],[method]],Table7[method],Table7[id_method])</f>
        <v>PAY0711</v>
      </c>
      <c r="T73" t="s">
        <v>1238</v>
      </c>
      <c r="U73">
        <v>18000</v>
      </c>
    </row>
    <row r="74" spans="1:21" x14ac:dyDescent="0.25">
      <c r="A74" t="s">
        <v>86</v>
      </c>
      <c r="B74" t="str">
        <f>_xlfn.XLOOKUP(Table1[[#This Row],[date]],Table8[date],Table8[id_date])</f>
        <v>TGL0539</v>
      </c>
      <c r="C74" s="1">
        <v>45337</v>
      </c>
      <c r="D74" s="1" t="str">
        <f>_xlfn.XLOOKUP(Table1[[#This Row],[customer_name]],Table11[customer_name],Table11[id_cust])</f>
        <v>CNA0173</v>
      </c>
      <c r="E74" t="s">
        <v>1078</v>
      </c>
      <c r="F74">
        <v>35</v>
      </c>
      <c r="G74" t="str">
        <f>_xlfn.XLOOKUP(Table1[[#This Row],[branch_name]],Table3[branch_name],Table3[id_branch])</f>
        <v>BRCH001</v>
      </c>
      <c r="H74" t="s">
        <v>1213</v>
      </c>
      <c r="I74" t="str">
        <f>_xlfn.XLOOKUP(Table1[[#This Row],[city]],Table4[city],Table4[id_city])</f>
        <v>KOA0102</v>
      </c>
      <c r="J74" t="s">
        <v>1218</v>
      </c>
      <c r="K74" t="str">
        <f>_xlfn.XLOOKUP(Table1[[#This Row],[menu_name]],Table5[menu_name],Table5[id_menu])</f>
        <v>MENU007</v>
      </c>
      <c r="L74" t="s">
        <v>1229</v>
      </c>
      <c r="M74" t="str">
        <f>_xlfn.XLOOKUP(Table1[[#This Row],[category]],Table6[category],Table6[id_category])</f>
        <v>KTG0207</v>
      </c>
      <c r="N74" t="s">
        <v>1235</v>
      </c>
      <c r="O74">
        <v>1</v>
      </c>
      <c r="P74">
        <v>27000</v>
      </c>
      <c r="Q74">
        <v>5</v>
      </c>
      <c r="R74">
        <v>2.6</v>
      </c>
      <c r="S74" t="str">
        <f>_xlfn.XLOOKUP(Table1[[#This Row],[method]],Table7[method],Table7[id_method])</f>
        <v>PAY0712</v>
      </c>
      <c r="T74" t="s">
        <v>1239</v>
      </c>
      <c r="U74">
        <v>25650</v>
      </c>
    </row>
    <row r="75" spans="1:21" x14ac:dyDescent="0.25">
      <c r="A75" t="s">
        <v>87</v>
      </c>
      <c r="B75" t="str">
        <f>_xlfn.XLOOKUP(Table1[[#This Row],[date]],Table8[date],Table8[id_date])</f>
        <v>TGL0540</v>
      </c>
      <c r="C75" s="1">
        <v>45338</v>
      </c>
      <c r="D75" s="1" t="str">
        <f>_xlfn.XLOOKUP(Table1[[#This Row],[customer_name]],Table11[customer_name],Table11[id_cust])</f>
        <v>CNA0174</v>
      </c>
      <c r="E75" t="s">
        <v>1079</v>
      </c>
      <c r="F75">
        <v>48</v>
      </c>
      <c r="G75" t="str">
        <f>_xlfn.XLOOKUP(Table1[[#This Row],[branch_name]],Table3[branch_name],Table3[id_branch])</f>
        <v>BRCH004</v>
      </c>
      <c r="H75" t="s">
        <v>1216</v>
      </c>
      <c r="I75" t="str">
        <f>_xlfn.XLOOKUP(Table1[[#This Row],[city]],Table4[city],Table4[id_city])</f>
        <v>KOA0105</v>
      </c>
      <c r="J75" t="s">
        <v>1221</v>
      </c>
      <c r="K75" t="str">
        <f>_xlfn.XLOOKUP(Table1[[#This Row],[menu_name]],Table5[menu_name],Table5[id_menu])</f>
        <v>MENU009</v>
      </c>
      <c r="L75" t="s">
        <v>1231</v>
      </c>
      <c r="M75" t="str">
        <f>_xlfn.XLOOKUP(Table1[[#This Row],[category]],Table6[category],Table6[id_category])</f>
        <v>KTG0206</v>
      </c>
      <c r="N75" t="s">
        <v>1234</v>
      </c>
      <c r="O75">
        <v>4</v>
      </c>
      <c r="P75">
        <v>18000</v>
      </c>
      <c r="Q75">
        <v>0</v>
      </c>
      <c r="R75">
        <v>1.7</v>
      </c>
      <c r="S75" t="str">
        <f>_xlfn.XLOOKUP(Table1[[#This Row],[method]],Table7[method],Table7[id_method])</f>
        <v>PAY0711</v>
      </c>
      <c r="T75" t="s">
        <v>1238</v>
      </c>
      <c r="U75">
        <v>72000</v>
      </c>
    </row>
    <row r="76" spans="1:21" x14ac:dyDescent="0.25">
      <c r="A76" t="s">
        <v>88</v>
      </c>
      <c r="B76" t="str">
        <f>_xlfn.XLOOKUP(Table1[[#This Row],[date]],Table8[date],Table8[id_date])</f>
        <v>TGL0540</v>
      </c>
      <c r="C76" s="1">
        <v>45338</v>
      </c>
      <c r="D76" s="1" t="str">
        <f>_xlfn.XLOOKUP(Table1[[#This Row],[customer_name]],Table11[customer_name],Table11[id_cust])</f>
        <v>CNA0175</v>
      </c>
      <c r="E76" t="s">
        <v>1080</v>
      </c>
      <c r="F76">
        <v>48</v>
      </c>
      <c r="G76" t="str">
        <f>_xlfn.XLOOKUP(Table1[[#This Row],[branch_name]],Table3[branch_name],Table3[id_branch])</f>
        <v>BRCH005</v>
      </c>
      <c r="H76" t="s">
        <v>1217</v>
      </c>
      <c r="I76" t="str">
        <f>_xlfn.XLOOKUP(Table1[[#This Row],[city]],Table4[city],Table4[id_city])</f>
        <v>KOA0106</v>
      </c>
      <c r="J76" t="s">
        <v>1222</v>
      </c>
      <c r="K76" t="str">
        <f>_xlfn.XLOOKUP(Table1[[#This Row],[menu_name]],Table5[menu_name],Table5[id_menu])</f>
        <v>MENU006</v>
      </c>
      <c r="L76" t="s">
        <v>1228</v>
      </c>
      <c r="M76" t="str">
        <f>_xlfn.XLOOKUP(Table1[[#This Row],[category]],Table6[category],Table6[id_category])</f>
        <v>KTG0206</v>
      </c>
      <c r="N76" t="s">
        <v>1234</v>
      </c>
      <c r="O76">
        <v>4</v>
      </c>
      <c r="P76">
        <v>32000</v>
      </c>
      <c r="Q76">
        <v>0</v>
      </c>
      <c r="R76">
        <v>1.3</v>
      </c>
      <c r="S76" t="str">
        <f>_xlfn.XLOOKUP(Table1[[#This Row],[method]],Table7[method],Table7[id_method])</f>
        <v>PAY0710</v>
      </c>
      <c r="T76" t="s">
        <v>1237</v>
      </c>
      <c r="U76">
        <v>128000</v>
      </c>
    </row>
    <row r="77" spans="1:21" x14ac:dyDescent="0.25">
      <c r="A77" t="s">
        <v>89</v>
      </c>
      <c r="B77" t="str">
        <f>_xlfn.XLOOKUP(Table1[[#This Row],[date]],Table8[date],Table8[id_date])</f>
        <v>TGL0540</v>
      </c>
      <c r="C77" s="1">
        <v>45338</v>
      </c>
      <c r="D77" s="1" t="str">
        <f>_xlfn.XLOOKUP(Table1[[#This Row],[customer_name]],Table11[customer_name],Table11[id_cust])</f>
        <v>CNA0176</v>
      </c>
      <c r="E77" t="s">
        <v>1081</v>
      </c>
      <c r="F77">
        <v>25</v>
      </c>
      <c r="G77" t="str">
        <f>_xlfn.XLOOKUP(Table1[[#This Row],[branch_name]],Table3[branch_name],Table3[id_branch])</f>
        <v>BRCH005</v>
      </c>
      <c r="H77" t="s">
        <v>1217</v>
      </c>
      <c r="I77" t="str">
        <f>_xlfn.XLOOKUP(Table1[[#This Row],[city]],Table4[city],Table4[id_city])</f>
        <v>KOA0106</v>
      </c>
      <c r="J77" t="s">
        <v>1222</v>
      </c>
      <c r="K77" t="str">
        <f>_xlfn.XLOOKUP(Table1[[#This Row],[menu_name]],Table5[menu_name],Table5[id_menu])</f>
        <v>MENU001</v>
      </c>
      <c r="L77" t="s">
        <v>1223</v>
      </c>
      <c r="M77" t="str">
        <f>_xlfn.XLOOKUP(Table1[[#This Row],[category]],Table6[category],Table6[id_category])</f>
        <v>KTG0205</v>
      </c>
      <c r="N77" t="s">
        <v>1233</v>
      </c>
      <c r="O77">
        <v>1</v>
      </c>
      <c r="P77">
        <v>25000</v>
      </c>
      <c r="Q77">
        <v>10</v>
      </c>
      <c r="R77">
        <v>2.4</v>
      </c>
      <c r="S77" t="str">
        <f>_xlfn.XLOOKUP(Table1[[#This Row],[method]],Table7[method],Table7[id_method])</f>
        <v>PAY0712</v>
      </c>
      <c r="T77" t="s">
        <v>1239</v>
      </c>
      <c r="U77">
        <v>22500</v>
      </c>
    </row>
    <row r="78" spans="1:21" x14ac:dyDescent="0.25">
      <c r="A78" t="s">
        <v>90</v>
      </c>
      <c r="B78" t="str">
        <f>_xlfn.XLOOKUP(Table1[[#This Row],[date]],Table8[date],Table8[id_date])</f>
        <v>TGL0540</v>
      </c>
      <c r="C78" s="1">
        <v>45338</v>
      </c>
      <c r="D78" s="1" t="str">
        <f>_xlfn.XLOOKUP(Table1[[#This Row],[customer_name]],Table11[customer_name],Table11[id_cust])</f>
        <v>CNA0177</v>
      </c>
      <c r="E78" t="s">
        <v>1082</v>
      </c>
      <c r="F78">
        <v>38</v>
      </c>
      <c r="G78" t="str">
        <f>_xlfn.XLOOKUP(Table1[[#This Row],[branch_name]],Table3[branch_name],Table3[id_branch])</f>
        <v>BRCH002</v>
      </c>
      <c r="H78" t="s">
        <v>1214</v>
      </c>
      <c r="I78" t="str">
        <f>_xlfn.XLOOKUP(Table1[[#This Row],[city]],Table4[city],Table4[id_city])</f>
        <v>KOA0103</v>
      </c>
      <c r="J78" t="s">
        <v>1219</v>
      </c>
      <c r="K78" t="str">
        <f>_xlfn.XLOOKUP(Table1[[#This Row],[menu_name]],Table5[menu_name],Table5[id_menu])</f>
        <v>MENU005</v>
      </c>
      <c r="L78" t="s">
        <v>1227</v>
      </c>
      <c r="M78" t="str">
        <f>_xlfn.XLOOKUP(Table1[[#This Row],[category]],Table6[category],Table6[id_category])</f>
        <v>KTG0206</v>
      </c>
      <c r="N78" t="s">
        <v>1234</v>
      </c>
      <c r="O78">
        <v>1</v>
      </c>
      <c r="P78">
        <v>23000</v>
      </c>
      <c r="Q78">
        <v>15</v>
      </c>
      <c r="R78">
        <v>2</v>
      </c>
      <c r="S78" t="str">
        <f>_xlfn.XLOOKUP(Table1[[#This Row],[method]],Table7[method],Table7[id_method])</f>
        <v>PAY0711</v>
      </c>
      <c r="T78" t="s">
        <v>1238</v>
      </c>
      <c r="U78">
        <v>19550</v>
      </c>
    </row>
    <row r="79" spans="1:21" x14ac:dyDescent="0.25">
      <c r="A79" t="s">
        <v>91</v>
      </c>
      <c r="B79" t="str">
        <f>_xlfn.XLOOKUP(Table1[[#This Row],[date]],Table8[date],Table8[id_date])</f>
        <v>TGL0540</v>
      </c>
      <c r="C79" s="1">
        <v>45338</v>
      </c>
      <c r="D79" s="1" t="str">
        <f>_xlfn.XLOOKUP(Table1[[#This Row],[customer_name]],Table11[customer_name],Table11[id_cust])</f>
        <v>CNA0115</v>
      </c>
      <c r="E79" t="s">
        <v>1028</v>
      </c>
      <c r="F79">
        <v>46</v>
      </c>
      <c r="G79" t="str">
        <f>_xlfn.XLOOKUP(Table1[[#This Row],[branch_name]],Table3[branch_name],Table3[id_branch])</f>
        <v>BRCH002</v>
      </c>
      <c r="H79" t="s">
        <v>1214</v>
      </c>
      <c r="I79" t="str">
        <f>_xlfn.XLOOKUP(Table1[[#This Row],[city]],Table4[city],Table4[id_city])</f>
        <v>KOA0103</v>
      </c>
      <c r="J79" t="s">
        <v>1219</v>
      </c>
      <c r="K79" t="str">
        <f>_xlfn.XLOOKUP(Table1[[#This Row],[menu_name]],Table5[menu_name],Table5[id_menu])</f>
        <v>MENU004</v>
      </c>
      <c r="L79" t="s">
        <v>1226</v>
      </c>
      <c r="M79" t="str">
        <f>_xlfn.XLOOKUP(Table1[[#This Row],[category]],Table6[category],Table6[id_category])</f>
        <v>KTG0207</v>
      </c>
      <c r="N79" t="s">
        <v>1235</v>
      </c>
      <c r="O79">
        <v>2</v>
      </c>
      <c r="P79">
        <v>28000</v>
      </c>
      <c r="Q79">
        <v>20</v>
      </c>
      <c r="R79">
        <v>2</v>
      </c>
      <c r="S79" t="str">
        <f>_xlfn.XLOOKUP(Table1[[#This Row],[method]],Table7[method],Table7[id_method])</f>
        <v>PAY0710</v>
      </c>
      <c r="T79" t="s">
        <v>1237</v>
      </c>
      <c r="U79">
        <v>44800</v>
      </c>
    </row>
    <row r="80" spans="1:21" x14ac:dyDescent="0.25">
      <c r="A80" t="s">
        <v>92</v>
      </c>
      <c r="B80" t="str">
        <f>_xlfn.XLOOKUP(Table1[[#This Row],[date]],Table8[date],Table8[id_date])</f>
        <v>TGL0541</v>
      </c>
      <c r="C80" s="1">
        <v>45339</v>
      </c>
      <c r="D80" s="1" t="str">
        <f>_xlfn.XLOOKUP(Table1[[#This Row],[customer_name]],Table11[customer_name],Table11[id_cust])</f>
        <v>CNA0150</v>
      </c>
      <c r="E80" t="s">
        <v>1059</v>
      </c>
      <c r="F80">
        <v>24</v>
      </c>
      <c r="G80" t="str">
        <f>_xlfn.XLOOKUP(Table1[[#This Row],[branch_name]],Table3[branch_name],Table3[id_branch])</f>
        <v>BRCH002</v>
      </c>
      <c r="H80" t="s">
        <v>1214</v>
      </c>
      <c r="I80" t="str">
        <f>_xlfn.XLOOKUP(Table1[[#This Row],[city]],Table4[city],Table4[id_city])</f>
        <v>KOA0103</v>
      </c>
      <c r="J80" t="s">
        <v>1219</v>
      </c>
      <c r="K80" t="str">
        <f>_xlfn.XLOOKUP(Table1[[#This Row],[menu_name]],Table5[menu_name],Table5[id_menu])</f>
        <v>MENU002</v>
      </c>
      <c r="L80" t="s">
        <v>1224</v>
      </c>
      <c r="M80" t="str">
        <f>_xlfn.XLOOKUP(Table1[[#This Row],[category]],Table6[category],Table6[id_category])</f>
        <v>KTG0206</v>
      </c>
      <c r="N80" t="s">
        <v>1234</v>
      </c>
      <c r="O80">
        <v>5</v>
      </c>
      <c r="P80">
        <v>30000</v>
      </c>
      <c r="Q80">
        <v>0</v>
      </c>
      <c r="R80">
        <v>4.5</v>
      </c>
      <c r="S80" t="str">
        <f>_xlfn.XLOOKUP(Table1[[#This Row],[method]],Table7[method],Table7[id_method])</f>
        <v>PAY0709</v>
      </c>
      <c r="T80" t="s">
        <v>1236</v>
      </c>
      <c r="U80">
        <v>150000</v>
      </c>
    </row>
    <row r="81" spans="1:21" x14ac:dyDescent="0.25">
      <c r="A81" t="s">
        <v>93</v>
      </c>
      <c r="B81" t="str">
        <f>_xlfn.XLOOKUP(Table1[[#This Row],[date]],Table8[date],Table8[id_date])</f>
        <v>TGL0542</v>
      </c>
      <c r="C81" s="1">
        <v>45340</v>
      </c>
      <c r="D81" s="1" t="str">
        <f>_xlfn.XLOOKUP(Table1[[#This Row],[customer_name]],Table11[customer_name],Table11[id_cust])</f>
        <v>CNA0180</v>
      </c>
      <c r="E81" t="s">
        <v>1083</v>
      </c>
      <c r="F81">
        <v>19</v>
      </c>
      <c r="G81" t="str">
        <f>_xlfn.XLOOKUP(Table1[[#This Row],[branch_name]],Table3[branch_name],Table3[id_branch])</f>
        <v>BRCH003</v>
      </c>
      <c r="H81" t="s">
        <v>1215</v>
      </c>
      <c r="I81" t="str">
        <f>_xlfn.XLOOKUP(Table1[[#This Row],[city]],Table4[city],Table4[id_city])</f>
        <v>KOA0104</v>
      </c>
      <c r="J81" t="s">
        <v>1220</v>
      </c>
      <c r="K81" t="str">
        <f>_xlfn.XLOOKUP(Table1[[#This Row],[menu_name]],Table5[menu_name],Table5[id_menu])</f>
        <v>MENU004</v>
      </c>
      <c r="L81" t="s">
        <v>1226</v>
      </c>
      <c r="M81" t="str">
        <f>_xlfn.XLOOKUP(Table1[[#This Row],[category]],Table6[category],Table6[id_category])</f>
        <v>KTG0207</v>
      </c>
      <c r="N81" t="s">
        <v>1235</v>
      </c>
      <c r="O81">
        <v>1</v>
      </c>
      <c r="P81">
        <v>28000</v>
      </c>
      <c r="Q81">
        <v>20</v>
      </c>
      <c r="R81">
        <v>3</v>
      </c>
      <c r="S81" t="str">
        <f>_xlfn.XLOOKUP(Table1[[#This Row],[method]],Table7[method],Table7[id_method])</f>
        <v>PAY0711</v>
      </c>
      <c r="T81" t="s">
        <v>1238</v>
      </c>
      <c r="U81">
        <v>22400</v>
      </c>
    </row>
    <row r="82" spans="1:21" x14ac:dyDescent="0.25">
      <c r="A82" t="s">
        <v>94</v>
      </c>
      <c r="B82" t="str">
        <f>_xlfn.XLOOKUP(Table1[[#This Row],[date]],Table8[date],Table8[id_date])</f>
        <v>TGL0542</v>
      </c>
      <c r="C82" s="1">
        <v>45340</v>
      </c>
      <c r="D82" s="1" t="str">
        <f>_xlfn.XLOOKUP(Table1[[#This Row],[customer_name]],Table11[customer_name],Table11[id_cust])</f>
        <v>CNA0181</v>
      </c>
      <c r="E82" t="s">
        <v>1084</v>
      </c>
      <c r="F82">
        <v>43</v>
      </c>
      <c r="G82" t="str">
        <f>_xlfn.XLOOKUP(Table1[[#This Row],[branch_name]],Table3[branch_name],Table3[id_branch])</f>
        <v>BRCH002</v>
      </c>
      <c r="H82" t="s">
        <v>1214</v>
      </c>
      <c r="I82" t="str">
        <f>_xlfn.XLOOKUP(Table1[[#This Row],[city]],Table4[city],Table4[id_city])</f>
        <v>KOA0103</v>
      </c>
      <c r="J82" t="s">
        <v>1219</v>
      </c>
      <c r="K82" t="str">
        <f>_xlfn.XLOOKUP(Table1[[#This Row],[menu_name]],Table5[menu_name],Table5[id_menu])</f>
        <v>MENU006</v>
      </c>
      <c r="L82" t="s">
        <v>1228</v>
      </c>
      <c r="M82" t="str">
        <f>_xlfn.XLOOKUP(Table1[[#This Row],[category]],Table6[category],Table6[id_category])</f>
        <v>KTG0206</v>
      </c>
      <c r="N82" t="s">
        <v>1234</v>
      </c>
      <c r="O82">
        <v>3</v>
      </c>
      <c r="P82">
        <v>32000</v>
      </c>
      <c r="Q82">
        <v>5</v>
      </c>
      <c r="R82">
        <v>3.5</v>
      </c>
      <c r="S82" t="str">
        <f>_xlfn.XLOOKUP(Table1[[#This Row],[method]],Table7[method],Table7[id_method])</f>
        <v>PAY0711</v>
      </c>
      <c r="T82" t="s">
        <v>1238</v>
      </c>
      <c r="U82">
        <v>91200</v>
      </c>
    </row>
    <row r="83" spans="1:21" x14ac:dyDescent="0.25">
      <c r="A83" t="s">
        <v>95</v>
      </c>
      <c r="B83" t="str">
        <f>_xlfn.XLOOKUP(Table1[[#This Row],[date]],Table8[date],Table8[id_date])</f>
        <v>TGL0543</v>
      </c>
      <c r="C83" s="1">
        <v>45342</v>
      </c>
      <c r="D83" s="1" t="str">
        <f>_xlfn.XLOOKUP(Table1[[#This Row],[customer_name]],Table11[customer_name],Table11[id_cust])</f>
        <v>CNA0107</v>
      </c>
      <c r="E83" t="s">
        <v>1020</v>
      </c>
      <c r="F83">
        <v>19</v>
      </c>
      <c r="G83" t="str">
        <f>_xlfn.XLOOKUP(Table1[[#This Row],[branch_name]],Table3[branch_name],Table3[id_branch])</f>
        <v>BRCH002</v>
      </c>
      <c r="H83" t="s">
        <v>1214</v>
      </c>
      <c r="I83" t="str">
        <f>_xlfn.XLOOKUP(Table1[[#This Row],[city]],Table4[city],Table4[id_city])</f>
        <v>KOA0103</v>
      </c>
      <c r="J83" t="s">
        <v>1219</v>
      </c>
      <c r="K83" t="str">
        <f>_xlfn.XLOOKUP(Table1[[#This Row],[menu_name]],Table5[menu_name],Table5[id_menu])</f>
        <v>MENU003</v>
      </c>
      <c r="L83" t="s">
        <v>1225</v>
      </c>
      <c r="M83" t="str">
        <f>_xlfn.XLOOKUP(Table1[[#This Row],[category]],Table6[category],Table6[id_category])</f>
        <v>KTG0205</v>
      </c>
      <c r="N83" t="s">
        <v>1233</v>
      </c>
      <c r="O83">
        <v>2</v>
      </c>
      <c r="P83">
        <v>22000</v>
      </c>
      <c r="Q83">
        <v>0</v>
      </c>
      <c r="R83">
        <v>1.6</v>
      </c>
      <c r="S83" t="str">
        <f>_xlfn.XLOOKUP(Table1[[#This Row],[method]],Table7[method],Table7[id_method])</f>
        <v>PAY0712</v>
      </c>
      <c r="T83" t="s">
        <v>1239</v>
      </c>
      <c r="U83">
        <v>44000</v>
      </c>
    </row>
    <row r="84" spans="1:21" x14ac:dyDescent="0.25">
      <c r="A84" t="s">
        <v>96</v>
      </c>
      <c r="B84" t="str">
        <f>_xlfn.XLOOKUP(Table1[[#This Row],[date]],Table8[date],Table8[id_date])</f>
        <v>TGL0543</v>
      </c>
      <c r="C84" s="1">
        <v>45342</v>
      </c>
      <c r="D84" s="1" t="str">
        <f>_xlfn.XLOOKUP(Table1[[#This Row],[customer_name]],Table11[customer_name],Table11[id_cust])</f>
        <v>CNA0183</v>
      </c>
      <c r="E84" t="s">
        <v>1085</v>
      </c>
      <c r="F84">
        <v>54</v>
      </c>
      <c r="G84" t="str">
        <f>_xlfn.XLOOKUP(Table1[[#This Row],[branch_name]],Table3[branch_name],Table3[id_branch])</f>
        <v>BRCH003</v>
      </c>
      <c r="H84" t="s">
        <v>1215</v>
      </c>
      <c r="I84" t="str">
        <f>_xlfn.XLOOKUP(Table1[[#This Row],[city]],Table4[city],Table4[id_city])</f>
        <v>KOA0104</v>
      </c>
      <c r="J84" t="s">
        <v>1220</v>
      </c>
      <c r="K84" t="str">
        <f>_xlfn.XLOOKUP(Table1[[#This Row],[menu_name]],Table5[menu_name],Table5[id_menu])</f>
        <v>MENU001</v>
      </c>
      <c r="L84" t="s">
        <v>1223</v>
      </c>
      <c r="M84" t="str">
        <f>_xlfn.XLOOKUP(Table1[[#This Row],[category]],Table6[category],Table6[id_category])</f>
        <v>KTG0205</v>
      </c>
      <c r="N84" t="s">
        <v>1233</v>
      </c>
      <c r="O84">
        <v>4</v>
      </c>
      <c r="P84">
        <v>25000</v>
      </c>
      <c r="Q84">
        <v>20</v>
      </c>
      <c r="R84">
        <v>2.2000000000000002</v>
      </c>
      <c r="S84" t="str">
        <f>_xlfn.XLOOKUP(Table1[[#This Row],[method]],Table7[method],Table7[id_method])</f>
        <v>PAY0712</v>
      </c>
      <c r="T84" t="s">
        <v>1239</v>
      </c>
      <c r="U84">
        <v>80000</v>
      </c>
    </row>
    <row r="85" spans="1:21" x14ac:dyDescent="0.25">
      <c r="A85" t="s">
        <v>97</v>
      </c>
      <c r="B85" t="str">
        <f>_xlfn.XLOOKUP(Table1[[#This Row],[date]],Table8[date],Table8[id_date])</f>
        <v>TGL0543</v>
      </c>
      <c r="C85" s="1">
        <v>45342</v>
      </c>
      <c r="D85" s="1" t="str">
        <f>_xlfn.XLOOKUP(Table1[[#This Row],[customer_name]],Table11[customer_name],Table11[id_cust])</f>
        <v>CNA0184</v>
      </c>
      <c r="E85" t="s">
        <v>1086</v>
      </c>
      <c r="F85">
        <v>24</v>
      </c>
      <c r="G85" t="str">
        <f>_xlfn.XLOOKUP(Table1[[#This Row],[branch_name]],Table3[branch_name],Table3[id_branch])</f>
        <v>BRCH001</v>
      </c>
      <c r="H85" t="s">
        <v>1213</v>
      </c>
      <c r="I85" t="str">
        <f>_xlfn.XLOOKUP(Table1[[#This Row],[city]],Table4[city],Table4[id_city])</f>
        <v>KOA0102</v>
      </c>
      <c r="J85" t="s">
        <v>1218</v>
      </c>
      <c r="K85" t="str">
        <f>_xlfn.XLOOKUP(Table1[[#This Row],[menu_name]],Table5[menu_name],Table5[id_menu])</f>
        <v>MENU002</v>
      </c>
      <c r="L85" t="s">
        <v>1224</v>
      </c>
      <c r="M85" t="str">
        <f>_xlfn.XLOOKUP(Table1[[#This Row],[category]],Table6[category],Table6[id_category])</f>
        <v>KTG0206</v>
      </c>
      <c r="N85" t="s">
        <v>1234</v>
      </c>
      <c r="O85">
        <v>4</v>
      </c>
      <c r="P85">
        <v>30000</v>
      </c>
      <c r="Q85">
        <v>15</v>
      </c>
      <c r="R85">
        <v>1.9</v>
      </c>
      <c r="S85" t="str">
        <f>_xlfn.XLOOKUP(Table1[[#This Row],[method]],Table7[method],Table7[id_method])</f>
        <v>PAY0709</v>
      </c>
      <c r="T85" t="s">
        <v>1236</v>
      </c>
      <c r="U85">
        <v>102000</v>
      </c>
    </row>
    <row r="86" spans="1:21" x14ac:dyDescent="0.25">
      <c r="A86" t="s">
        <v>98</v>
      </c>
      <c r="B86" t="str">
        <f>_xlfn.XLOOKUP(Table1[[#This Row],[date]],Table8[date],Table8[id_date])</f>
        <v>TGL0543</v>
      </c>
      <c r="C86" s="1">
        <v>45342</v>
      </c>
      <c r="D86" s="1" t="str">
        <f>_xlfn.XLOOKUP(Table1[[#This Row],[customer_name]],Table11[customer_name],Table11[id_cust])</f>
        <v>CNA0185</v>
      </c>
      <c r="E86" t="s">
        <v>1087</v>
      </c>
      <c r="F86">
        <v>22</v>
      </c>
      <c r="G86" t="str">
        <f>_xlfn.XLOOKUP(Table1[[#This Row],[branch_name]],Table3[branch_name],Table3[id_branch])</f>
        <v>BRCH004</v>
      </c>
      <c r="H86" t="s">
        <v>1216</v>
      </c>
      <c r="I86" t="str">
        <f>_xlfn.XLOOKUP(Table1[[#This Row],[city]],Table4[city],Table4[id_city])</f>
        <v>KOA0105</v>
      </c>
      <c r="J86" t="s">
        <v>1221</v>
      </c>
      <c r="K86" t="str">
        <f>_xlfn.XLOOKUP(Table1[[#This Row],[menu_name]],Table5[menu_name],Table5[id_menu])</f>
        <v>MENU007</v>
      </c>
      <c r="L86" t="s">
        <v>1229</v>
      </c>
      <c r="M86" t="str">
        <f>_xlfn.XLOOKUP(Table1[[#This Row],[category]],Table6[category],Table6[id_category])</f>
        <v>KTG0207</v>
      </c>
      <c r="N86" t="s">
        <v>1235</v>
      </c>
      <c r="O86">
        <v>4</v>
      </c>
      <c r="P86">
        <v>27000</v>
      </c>
      <c r="Q86">
        <v>5</v>
      </c>
      <c r="R86">
        <v>3.5</v>
      </c>
      <c r="S86" t="str">
        <f>_xlfn.XLOOKUP(Table1[[#This Row],[method]],Table7[method],Table7[id_method])</f>
        <v>PAY0712</v>
      </c>
      <c r="T86" t="s">
        <v>1239</v>
      </c>
      <c r="U86">
        <v>102600</v>
      </c>
    </row>
    <row r="87" spans="1:21" x14ac:dyDescent="0.25">
      <c r="A87" t="s">
        <v>99</v>
      </c>
      <c r="B87" t="str">
        <f>_xlfn.XLOOKUP(Table1[[#This Row],[date]],Table8[date],Table8[id_date])</f>
        <v>TGL0543</v>
      </c>
      <c r="C87" s="1">
        <v>45342</v>
      </c>
      <c r="D87" s="1" t="str">
        <f>_xlfn.XLOOKUP(Table1[[#This Row],[customer_name]],Table11[customer_name],Table11[id_cust])</f>
        <v>CNA0186</v>
      </c>
      <c r="E87" t="s">
        <v>1088</v>
      </c>
      <c r="F87">
        <v>53</v>
      </c>
      <c r="G87" t="str">
        <f>_xlfn.XLOOKUP(Table1[[#This Row],[branch_name]],Table3[branch_name],Table3[id_branch])</f>
        <v>BRCH003</v>
      </c>
      <c r="H87" t="s">
        <v>1215</v>
      </c>
      <c r="I87" t="str">
        <f>_xlfn.XLOOKUP(Table1[[#This Row],[city]],Table4[city],Table4[id_city])</f>
        <v>KOA0104</v>
      </c>
      <c r="J87" t="s">
        <v>1220</v>
      </c>
      <c r="K87" t="str">
        <f>_xlfn.XLOOKUP(Table1[[#This Row],[menu_name]],Table5[menu_name],Table5[id_menu])</f>
        <v>MENU002</v>
      </c>
      <c r="L87" t="s">
        <v>1224</v>
      </c>
      <c r="M87" t="str">
        <f>_xlfn.XLOOKUP(Table1[[#This Row],[category]],Table6[category],Table6[id_category])</f>
        <v>KTG0206</v>
      </c>
      <c r="N87" t="s">
        <v>1234</v>
      </c>
      <c r="O87">
        <v>5</v>
      </c>
      <c r="P87">
        <v>30000</v>
      </c>
      <c r="Q87">
        <v>0</v>
      </c>
      <c r="R87">
        <v>3.6</v>
      </c>
      <c r="S87" t="str">
        <f>_xlfn.XLOOKUP(Table1[[#This Row],[method]],Table7[method],Table7[id_method])</f>
        <v>PAY0711</v>
      </c>
      <c r="T87" t="s">
        <v>1238</v>
      </c>
      <c r="U87">
        <v>150000</v>
      </c>
    </row>
    <row r="88" spans="1:21" x14ac:dyDescent="0.25">
      <c r="A88" t="s">
        <v>100</v>
      </c>
      <c r="B88" t="str">
        <f>_xlfn.XLOOKUP(Table1[[#This Row],[date]],Table8[date],Table8[id_date])</f>
        <v>TGL0544</v>
      </c>
      <c r="C88" s="1">
        <v>45344</v>
      </c>
      <c r="D88" s="1" t="str">
        <f>_xlfn.XLOOKUP(Table1[[#This Row],[customer_name]],Table11[customer_name],Table11[id_cust])</f>
        <v>CNA0187</v>
      </c>
      <c r="E88" t="s">
        <v>1089</v>
      </c>
      <c r="F88">
        <v>49</v>
      </c>
      <c r="G88" t="str">
        <f>_xlfn.XLOOKUP(Table1[[#This Row],[branch_name]],Table3[branch_name],Table3[id_branch])</f>
        <v>BRCH001</v>
      </c>
      <c r="H88" t="s">
        <v>1213</v>
      </c>
      <c r="I88" t="str">
        <f>_xlfn.XLOOKUP(Table1[[#This Row],[city]],Table4[city],Table4[id_city])</f>
        <v>KOA0102</v>
      </c>
      <c r="J88" t="s">
        <v>1218</v>
      </c>
      <c r="K88" t="str">
        <f>_xlfn.XLOOKUP(Table1[[#This Row],[menu_name]],Table5[menu_name],Table5[id_menu])</f>
        <v>MENU003</v>
      </c>
      <c r="L88" t="s">
        <v>1225</v>
      </c>
      <c r="M88" t="str">
        <f>_xlfn.XLOOKUP(Table1[[#This Row],[category]],Table6[category],Table6[id_category])</f>
        <v>KTG0205</v>
      </c>
      <c r="N88" t="s">
        <v>1233</v>
      </c>
      <c r="O88">
        <v>1</v>
      </c>
      <c r="P88">
        <v>22000</v>
      </c>
      <c r="Q88">
        <v>0</v>
      </c>
      <c r="R88">
        <v>1.3</v>
      </c>
      <c r="S88" t="str">
        <f>_xlfn.XLOOKUP(Table1[[#This Row],[method]],Table7[method],Table7[id_method])</f>
        <v>PAY0710</v>
      </c>
      <c r="T88" t="s">
        <v>1237</v>
      </c>
      <c r="U88">
        <v>22000</v>
      </c>
    </row>
    <row r="89" spans="1:21" x14ac:dyDescent="0.25">
      <c r="A89" t="s">
        <v>101</v>
      </c>
      <c r="B89" t="str">
        <f>_xlfn.XLOOKUP(Table1[[#This Row],[date]],Table8[date],Table8[id_date])</f>
        <v>TGL0544</v>
      </c>
      <c r="C89" s="1">
        <v>45344</v>
      </c>
      <c r="D89" s="1" t="str">
        <f>_xlfn.XLOOKUP(Table1[[#This Row],[customer_name]],Table11[customer_name],Table11[id_cust])</f>
        <v>CNA0188</v>
      </c>
      <c r="E89" t="s">
        <v>1090</v>
      </c>
      <c r="F89">
        <v>19</v>
      </c>
      <c r="G89" t="str">
        <f>_xlfn.XLOOKUP(Table1[[#This Row],[branch_name]],Table3[branch_name],Table3[id_branch])</f>
        <v>BRCH005</v>
      </c>
      <c r="H89" t="s">
        <v>1217</v>
      </c>
      <c r="I89" t="str">
        <f>_xlfn.XLOOKUP(Table1[[#This Row],[city]],Table4[city],Table4[id_city])</f>
        <v>KOA0106</v>
      </c>
      <c r="J89" t="s">
        <v>1222</v>
      </c>
      <c r="K89" t="str">
        <f>_xlfn.XLOOKUP(Table1[[#This Row],[menu_name]],Table5[menu_name],Table5[id_menu])</f>
        <v>MENU009</v>
      </c>
      <c r="L89" t="s">
        <v>1231</v>
      </c>
      <c r="M89" t="str">
        <f>_xlfn.XLOOKUP(Table1[[#This Row],[category]],Table6[category],Table6[id_category])</f>
        <v>KTG0206</v>
      </c>
      <c r="N89" t="s">
        <v>1234</v>
      </c>
      <c r="O89">
        <v>2</v>
      </c>
      <c r="P89">
        <v>18000</v>
      </c>
      <c r="Q89">
        <v>10</v>
      </c>
      <c r="R89">
        <v>4</v>
      </c>
      <c r="S89" t="str">
        <f>_xlfn.XLOOKUP(Table1[[#This Row],[method]],Table7[method],Table7[id_method])</f>
        <v>PAY0711</v>
      </c>
      <c r="T89" t="s">
        <v>1238</v>
      </c>
      <c r="U89">
        <v>32400</v>
      </c>
    </row>
    <row r="90" spans="1:21" x14ac:dyDescent="0.25">
      <c r="A90" t="s">
        <v>102</v>
      </c>
      <c r="B90" t="str">
        <f>_xlfn.XLOOKUP(Table1[[#This Row],[date]],Table8[date],Table8[id_date])</f>
        <v>TGL0545</v>
      </c>
      <c r="C90" s="1">
        <v>45345</v>
      </c>
      <c r="D90" s="1" t="str">
        <f>_xlfn.XLOOKUP(Table1[[#This Row],[customer_name]],Table11[customer_name],Table11[id_cust])</f>
        <v>CNA0127</v>
      </c>
      <c r="E90" t="s">
        <v>1039</v>
      </c>
      <c r="F90">
        <v>48</v>
      </c>
      <c r="G90" t="str">
        <f>_xlfn.XLOOKUP(Table1[[#This Row],[branch_name]],Table3[branch_name],Table3[id_branch])</f>
        <v>BRCH001</v>
      </c>
      <c r="H90" t="s">
        <v>1213</v>
      </c>
      <c r="I90" t="str">
        <f>_xlfn.XLOOKUP(Table1[[#This Row],[city]],Table4[city],Table4[id_city])</f>
        <v>KOA0102</v>
      </c>
      <c r="J90" t="s">
        <v>1218</v>
      </c>
      <c r="K90" t="str">
        <f>_xlfn.XLOOKUP(Table1[[#This Row],[menu_name]],Table5[menu_name],Table5[id_menu])</f>
        <v>MENU009</v>
      </c>
      <c r="L90" t="s">
        <v>1231</v>
      </c>
      <c r="M90" t="str">
        <f>_xlfn.XLOOKUP(Table1[[#This Row],[category]],Table6[category],Table6[id_category])</f>
        <v>KTG0206</v>
      </c>
      <c r="N90" t="s">
        <v>1234</v>
      </c>
      <c r="O90">
        <v>3</v>
      </c>
      <c r="P90">
        <v>18000</v>
      </c>
      <c r="Q90">
        <v>0</v>
      </c>
      <c r="R90">
        <v>3.1</v>
      </c>
      <c r="S90" t="str">
        <f>_xlfn.XLOOKUP(Table1[[#This Row],[method]],Table7[method],Table7[id_method])</f>
        <v>PAY0710</v>
      </c>
      <c r="T90" t="s">
        <v>1237</v>
      </c>
      <c r="U90">
        <v>54000</v>
      </c>
    </row>
    <row r="91" spans="1:21" x14ac:dyDescent="0.25">
      <c r="A91" t="s">
        <v>103</v>
      </c>
      <c r="B91" t="str">
        <f>_xlfn.XLOOKUP(Table1[[#This Row],[date]],Table8[date],Table8[id_date])</f>
        <v>TGL0545</v>
      </c>
      <c r="C91" s="1">
        <v>45345</v>
      </c>
      <c r="D91" s="1" t="str">
        <f>_xlfn.XLOOKUP(Table1[[#This Row],[customer_name]],Table11[customer_name],Table11[id_cust])</f>
        <v>CNA0133</v>
      </c>
      <c r="E91" t="s">
        <v>1045</v>
      </c>
      <c r="F91">
        <v>42</v>
      </c>
      <c r="G91" t="str">
        <f>_xlfn.XLOOKUP(Table1[[#This Row],[branch_name]],Table3[branch_name],Table3[id_branch])</f>
        <v>BRCH001</v>
      </c>
      <c r="H91" t="s">
        <v>1213</v>
      </c>
      <c r="I91" t="str">
        <f>_xlfn.XLOOKUP(Table1[[#This Row],[city]],Table4[city],Table4[id_city])</f>
        <v>KOA0102</v>
      </c>
      <c r="J91" t="s">
        <v>1218</v>
      </c>
      <c r="K91" t="str">
        <f>_xlfn.XLOOKUP(Table1[[#This Row],[menu_name]],Table5[menu_name],Table5[id_menu])</f>
        <v>MENU010</v>
      </c>
      <c r="L91" t="s">
        <v>1232</v>
      </c>
      <c r="M91" t="str">
        <f>_xlfn.XLOOKUP(Table1[[#This Row],[category]],Table6[category],Table6[id_category])</f>
        <v>KTG0205</v>
      </c>
      <c r="N91" t="s">
        <v>1233</v>
      </c>
      <c r="O91">
        <v>3</v>
      </c>
      <c r="P91">
        <v>18000</v>
      </c>
      <c r="Q91">
        <v>0</v>
      </c>
      <c r="R91">
        <v>2.2999999999999998</v>
      </c>
      <c r="S91" t="str">
        <f>_xlfn.XLOOKUP(Table1[[#This Row],[method]],Table7[method],Table7[id_method])</f>
        <v>PAY0712</v>
      </c>
      <c r="T91" t="s">
        <v>1239</v>
      </c>
      <c r="U91">
        <v>54000</v>
      </c>
    </row>
    <row r="92" spans="1:21" x14ac:dyDescent="0.25">
      <c r="A92" t="s">
        <v>104</v>
      </c>
      <c r="B92" t="str">
        <f>_xlfn.XLOOKUP(Table1[[#This Row],[date]],Table8[date],Table8[id_date])</f>
        <v>TGL0545</v>
      </c>
      <c r="C92" s="1">
        <v>45345</v>
      </c>
      <c r="D92" s="1" t="str">
        <f>_xlfn.XLOOKUP(Table1[[#This Row],[customer_name]],Table11[customer_name],Table11[id_cust])</f>
        <v>CNA0191</v>
      </c>
      <c r="E92" t="s">
        <v>1091</v>
      </c>
      <c r="F92">
        <v>41</v>
      </c>
      <c r="G92" t="str">
        <f>_xlfn.XLOOKUP(Table1[[#This Row],[branch_name]],Table3[branch_name],Table3[id_branch])</f>
        <v>BRCH001</v>
      </c>
      <c r="H92" t="s">
        <v>1213</v>
      </c>
      <c r="I92" t="str">
        <f>_xlfn.XLOOKUP(Table1[[#This Row],[city]],Table4[city],Table4[id_city])</f>
        <v>KOA0102</v>
      </c>
      <c r="J92" t="s">
        <v>1218</v>
      </c>
      <c r="K92" t="str">
        <f>_xlfn.XLOOKUP(Table1[[#This Row],[menu_name]],Table5[menu_name],Table5[id_menu])</f>
        <v>MENU010</v>
      </c>
      <c r="L92" t="s">
        <v>1232</v>
      </c>
      <c r="M92" t="str">
        <f>_xlfn.XLOOKUP(Table1[[#This Row],[category]],Table6[category],Table6[id_category])</f>
        <v>KTG0205</v>
      </c>
      <c r="N92" t="s">
        <v>1233</v>
      </c>
      <c r="O92">
        <v>3</v>
      </c>
      <c r="P92">
        <v>18000</v>
      </c>
      <c r="Q92">
        <v>0</v>
      </c>
      <c r="R92">
        <v>5</v>
      </c>
      <c r="S92" t="str">
        <f>_xlfn.XLOOKUP(Table1[[#This Row],[method]],Table7[method],Table7[id_method])</f>
        <v>PAY0710</v>
      </c>
      <c r="T92" t="s">
        <v>1237</v>
      </c>
      <c r="U92">
        <v>54000</v>
      </c>
    </row>
    <row r="93" spans="1:21" x14ac:dyDescent="0.25">
      <c r="A93" t="s">
        <v>105</v>
      </c>
      <c r="B93" t="str">
        <f>_xlfn.XLOOKUP(Table1[[#This Row],[date]],Table8[date],Table8[id_date])</f>
        <v>TGL0545</v>
      </c>
      <c r="C93" s="1">
        <v>45345</v>
      </c>
      <c r="D93" s="1" t="str">
        <f>_xlfn.XLOOKUP(Table1[[#This Row],[customer_name]],Table11[customer_name],Table11[id_cust])</f>
        <v>CNA0192</v>
      </c>
      <c r="E93" t="s">
        <v>1092</v>
      </c>
      <c r="F93">
        <v>20</v>
      </c>
      <c r="G93" t="str">
        <f>_xlfn.XLOOKUP(Table1[[#This Row],[branch_name]],Table3[branch_name],Table3[id_branch])</f>
        <v>BRCH005</v>
      </c>
      <c r="H93" t="s">
        <v>1217</v>
      </c>
      <c r="I93" t="str">
        <f>_xlfn.XLOOKUP(Table1[[#This Row],[city]],Table4[city],Table4[id_city])</f>
        <v>KOA0106</v>
      </c>
      <c r="J93" t="s">
        <v>1222</v>
      </c>
      <c r="K93" t="str">
        <f>_xlfn.XLOOKUP(Table1[[#This Row],[menu_name]],Table5[menu_name],Table5[id_menu])</f>
        <v>MENU001</v>
      </c>
      <c r="L93" t="s">
        <v>1223</v>
      </c>
      <c r="M93" t="str">
        <f>_xlfn.XLOOKUP(Table1[[#This Row],[category]],Table6[category],Table6[id_category])</f>
        <v>KTG0205</v>
      </c>
      <c r="N93" t="s">
        <v>1233</v>
      </c>
      <c r="O93">
        <v>4</v>
      </c>
      <c r="P93">
        <v>25000</v>
      </c>
      <c r="Q93">
        <v>10</v>
      </c>
      <c r="R93">
        <v>2.6</v>
      </c>
      <c r="S93" t="str">
        <f>_xlfn.XLOOKUP(Table1[[#This Row],[method]],Table7[method],Table7[id_method])</f>
        <v>PAY0710</v>
      </c>
      <c r="T93" t="s">
        <v>1237</v>
      </c>
      <c r="U93">
        <v>90000</v>
      </c>
    </row>
    <row r="94" spans="1:21" x14ac:dyDescent="0.25">
      <c r="A94" t="s">
        <v>106</v>
      </c>
      <c r="B94" t="str">
        <f>_xlfn.XLOOKUP(Table1[[#This Row],[date]],Table8[date],Table8[id_date])</f>
        <v>TGL0546</v>
      </c>
      <c r="C94" s="1">
        <v>45346</v>
      </c>
      <c r="D94" s="1" t="str">
        <f>_xlfn.XLOOKUP(Table1[[#This Row],[customer_name]],Table11[customer_name],Table11[id_cust])</f>
        <v>CNA0153</v>
      </c>
      <c r="E94" t="s">
        <v>1062</v>
      </c>
      <c r="F94">
        <v>20</v>
      </c>
      <c r="G94" t="str">
        <f>_xlfn.XLOOKUP(Table1[[#This Row],[branch_name]],Table3[branch_name],Table3[id_branch])</f>
        <v>BRCH003</v>
      </c>
      <c r="H94" t="s">
        <v>1215</v>
      </c>
      <c r="I94" t="str">
        <f>_xlfn.XLOOKUP(Table1[[#This Row],[city]],Table4[city],Table4[id_city])</f>
        <v>KOA0104</v>
      </c>
      <c r="J94" t="s">
        <v>1220</v>
      </c>
      <c r="K94" t="str">
        <f>_xlfn.XLOOKUP(Table1[[#This Row],[menu_name]],Table5[menu_name],Table5[id_menu])</f>
        <v>MENU002</v>
      </c>
      <c r="L94" t="s">
        <v>1224</v>
      </c>
      <c r="M94" t="str">
        <f>_xlfn.XLOOKUP(Table1[[#This Row],[category]],Table6[category],Table6[id_category])</f>
        <v>KTG0206</v>
      </c>
      <c r="N94" t="s">
        <v>1234</v>
      </c>
      <c r="O94">
        <v>3</v>
      </c>
      <c r="P94">
        <v>30000</v>
      </c>
      <c r="Q94">
        <v>10</v>
      </c>
      <c r="R94">
        <v>2.6</v>
      </c>
      <c r="S94" t="str">
        <f>_xlfn.XLOOKUP(Table1[[#This Row],[method]],Table7[method],Table7[id_method])</f>
        <v>PAY0710</v>
      </c>
      <c r="T94" t="s">
        <v>1237</v>
      </c>
      <c r="U94">
        <v>81000</v>
      </c>
    </row>
    <row r="95" spans="1:21" x14ac:dyDescent="0.25">
      <c r="A95" t="s">
        <v>107</v>
      </c>
      <c r="B95" t="str">
        <f>_xlfn.XLOOKUP(Table1[[#This Row],[date]],Table8[date],Table8[id_date])</f>
        <v>TGL0546</v>
      </c>
      <c r="C95" s="1">
        <v>45346</v>
      </c>
      <c r="D95" s="1" t="str">
        <f>_xlfn.XLOOKUP(Table1[[#This Row],[customer_name]],Table11[customer_name],Table11[id_cust])</f>
        <v>CNA0122</v>
      </c>
      <c r="E95" t="s">
        <v>1035</v>
      </c>
      <c r="F95">
        <v>20</v>
      </c>
      <c r="G95" t="str">
        <f>_xlfn.XLOOKUP(Table1[[#This Row],[branch_name]],Table3[branch_name],Table3[id_branch])</f>
        <v>BRCH004</v>
      </c>
      <c r="H95" t="s">
        <v>1216</v>
      </c>
      <c r="I95" t="str">
        <f>_xlfn.XLOOKUP(Table1[[#This Row],[city]],Table4[city],Table4[id_city])</f>
        <v>KOA0105</v>
      </c>
      <c r="J95" t="s">
        <v>1221</v>
      </c>
      <c r="K95" t="str">
        <f>_xlfn.XLOOKUP(Table1[[#This Row],[menu_name]],Table5[menu_name],Table5[id_menu])</f>
        <v>MENU010</v>
      </c>
      <c r="L95" t="s">
        <v>1232</v>
      </c>
      <c r="M95" t="str">
        <f>_xlfn.XLOOKUP(Table1[[#This Row],[category]],Table6[category],Table6[id_category])</f>
        <v>KTG0205</v>
      </c>
      <c r="N95" t="s">
        <v>1233</v>
      </c>
      <c r="O95">
        <v>3</v>
      </c>
      <c r="P95">
        <v>18000</v>
      </c>
      <c r="Q95">
        <v>0</v>
      </c>
      <c r="R95">
        <v>3.5</v>
      </c>
      <c r="S95" t="str">
        <f>_xlfn.XLOOKUP(Table1[[#This Row],[method]],Table7[method],Table7[id_method])</f>
        <v>PAY0710</v>
      </c>
      <c r="T95" t="s">
        <v>1237</v>
      </c>
      <c r="U95">
        <v>54000</v>
      </c>
    </row>
    <row r="96" spans="1:21" x14ac:dyDescent="0.25">
      <c r="A96" t="s">
        <v>108</v>
      </c>
      <c r="B96" t="str">
        <f>_xlfn.XLOOKUP(Table1[[#This Row],[date]],Table8[date],Table8[id_date])</f>
        <v>TGL0547</v>
      </c>
      <c r="C96" s="1">
        <v>45347</v>
      </c>
      <c r="D96" s="1" t="str">
        <f>_xlfn.XLOOKUP(Table1[[#This Row],[customer_name]],Table11[customer_name],Table11[id_cust])</f>
        <v>CNA0195</v>
      </c>
      <c r="E96" t="s">
        <v>1093</v>
      </c>
      <c r="F96">
        <v>42</v>
      </c>
      <c r="G96" t="str">
        <f>_xlfn.XLOOKUP(Table1[[#This Row],[branch_name]],Table3[branch_name],Table3[id_branch])</f>
        <v>BRCH005</v>
      </c>
      <c r="H96" t="s">
        <v>1217</v>
      </c>
      <c r="I96" t="str">
        <f>_xlfn.XLOOKUP(Table1[[#This Row],[city]],Table4[city],Table4[id_city])</f>
        <v>KOA0106</v>
      </c>
      <c r="J96" t="s">
        <v>1222</v>
      </c>
      <c r="K96" t="str">
        <f>_xlfn.XLOOKUP(Table1[[#This Row],[menu_name]],Table5[menu_name],Table5[id_menu])</f>
        <v>MENU003</v>
      </c>
      <c r="L96" t="s">
        <v>1225</v>
      </c>
      <c r="M96" t="str">
        <f>_xlfn.XLOOKUP(Table1[[#This Row],[category]],Table6[category],Table6[id_category])</f>
        <v>KTG0205</v>
      </c>
      <c r="N96" t="s">
        <v>1233</v>
      </c>
      <c r="O96">
        <v>4</v>
      </c>
      <c r="P96">
        <v>22000</v>
      </c>
      <c r="Q96">
        <v>5</v>
      </c>
      <c r="R96">
        <v>1.1000000000000001</v>
      </c>
      <c r="S96" t="str">
        <f>_xlfn.XLOOKUP(Table1[[#This Row],[method]],Table7[method],Table7[id_method])</f>
        <v>PAY0710</v>
      </c>
      <c r="T96" t="s">
        <v>1237</v>
      </c>
      <c r="U96">
        <v>83600</v>
      </c>
    </row>
    <row r="97" spans="1:21" x14ac:dyDescent="0.25">
      <c r="A97" t="s">
        <v>109</v>
      </c>
      <c r="B97" t="str">
        <f>_xlfn.XLOOKUP(Table1[[#This Row],[date]],Table8[date],Table8[id_date])</f>
        <v>TGL0547</v>
      </c>
      <c r="C97" s="1">
        <v>45347</v>
      </c>
      <c r="D97" s="1" t="str">
        <f>_xlfn.XLOOKUP(Table1[[#This Row],[customer_name]],Table11[customer_name],Table11[id_cust])</f>
        <v>CNA0128</v>
      </c>
      <c r="E97" t="s">
        <v>1040</v>
      </c>
      <c r="F97">
        <v>36</v>
      </c>
      <c r="G97" t="str">
        <f>_xlfn.XLOOKUP(Table1[[#This Row],[branch_name]],Table3[branch_name],Table3[id_branch])</f>
        <v>BRCH003</v>
      </c>
      <c r="H97" t="s">
        <v>1215</v>
      </c>
      <c r="I97" t="str">
        <f>_xlfn.XLOOKUP(Table1[[#This Row],[city]],Table4[city],Table4[id_city])</f>
        <v>KOA0104</v>
      </c>
      <c r="J97" t="s">
        <v>1220</v>
      </c>
      <c r="K97" t="str">
        <f>_xlfn.XLOOKUP(Table1[[#This Row],[menu_name]],Table5[menu_name],Table5[id_menu])</f>
        <v>MENU004</v>
      </c>
      <c r="L97" t="s">
        <v>1226</v>
      </c>
      <c r="M97" t="str">
        <f>_xlfn.XLOOKUP(Table1[[#This Row],[category]],Table6[category],Table6[id_category])</f>
        <v>KTG0207</v>
      </c>
      <c r="N97" t="s">
        <v>1235</v>
      </c>
      <c r="O97">
        <v>2</v>
      </c>
      <c r="P97">
        <v>28000</v>
      </c>
      <c r="Q97">
        <v>20</v>
      </c>
      <c r="R97">
        <v>4.4000000000000004</v>
      </c>
      <c r="S97" t="str">
        <f>_xlfn.XLOOKUP(Table1[[#This Row],[method]],Table7[method],Table7[id_method])</f>
        <v>PAY0709</v>
      </c>
      <c r="T97" t="s">
        <v>1236</v>
      </c>
      <c r="U97">
        <v>44800</v>
      </c>
    </row>
    <row r="98" spans="1:21" x14ac:dyDescent="0.25">
      <c r="A98" t="s">
        <v>110</v>
      </c>
      <c r="B98" t="str">
        <f>_xlfn.XLOOKUP(Table1[[#This Row],[date]],Table8[date],Table8[id_date])</f>
        <v>TGL0548</v>
      </c>
      <c r="C98" s="1">
        <v>45349</v>
      </c>
      <c r="D98" s="1" t="str">
        <f>_xlfn.XLOOKUP(Table1[[#This Row],[customer_name]],Table11[customer_name],Table11[id_cust])</f>
        <v>CNA0138</v>
      </c>
      <c r="E98" t="s">
        <v>1049</v>
      </c>
      <c r="F98">
        <v>53</v>
      </c>
      <c r="G98" t="str">
        <f>_xlfn.XLOOKUP(Table1[[#This Row],[branch_name]],Table3[branch_name],Table3[id_branch])</f>
        <v>BRCH005</v>
      </c>
      <c r="H98" t="s">
        <v>1217</v>
      </c>
      <c r="I98" t="str">
        <f>_xlfn.XLOOKUP(Table1[[#This Row],[city]],Table4[city],Table4[id_city])</f>
        <v>KOA0106</v>
      </c>
      <c r="J98" t="s">
        <v>1222</v>
      </c>
      <c r="K98" t="str">
        <f>_xlfn.XLOOKUP(Table1[[#This Row],[menu_name]],Table5[menu_name],Table5[id_menu])</f>
        <v>MENU004</v>
      </c>
      <c r="L98" t="s">
        <v>1226</v>
      </c>
      <c r="M98" t="str">
        <f>_xlfn.XLOOKUP(Table1[[#This Row],[category]],Table6[category],Table6[id_category])</f>
        <v>KTG0207</v>
      </c>
      <c r="N98" t="s">
        <v>1235</v>
      </c>
      <c r="O98">
        <v>4</v>
      </c>
      <c r="P98">
        <v>28000</v>
      </c>
      <c r="Q98">
        <v>0</v>
      </c>
      <c r="R98">
        <v>3.1</v>
      </c>
      <c r="S98" t="str">
        <f>_xlfn.XLOOKUP(Table1[[#This Row],[method]],Table7[method],Table7[id_method])</f>
        <v>PAY0711</v>
      </c>
      <c r="T98" t="s">
        <v>1238</v>
      </c>
      <c r="U98">
        <v>112000</v>
      </c>
    </row>
    <row r="99" spans="1:21" x14ac:dyDescent="0.25">
      <c r="A99" t="s">
        <v>111</v>
      </c>
      <c r="B99" t="str">
        <f>_xlfn.XLOOKUP(Table1[[#This Row],[date]],Table8[date],Table8[id_date])</f>
        <v>TGL0548</v>
      </c>
      <c r="C99" s="1">
        <v>45349</v>
      </c>
      <c r="D99" s="1" t="str">
        <f>_xlfn.XLOOKUP(Table1[[#This Row],[customer_name]],Table11[customer_name],Table11[id_cust])</f>
        <v>CNA0158</v>
      </c>
      <c r="E99" t="s">
        <v>1066</v>
      </c>
      <c r="F99">
        <v>48</v>
      </c>
      <c r="G99" t="str">
        <f>_xlfn.XLOOKUP(Table1[[#This Row],[branch_name]],Table3[branch_name],Table3[id_branch])</f>
        <v>BRCH001</v>
      </c>
      <c r="H99" t="s">
        <v>1213</v>
      </c>
      <c r="I99" t="str">
        <f>_xlfn.XLOOKUP(Table1[[#This Row],[city]],Table4[city],Table4[id_city])</f>
        <v>KOA0102</v>
      </c>
      <c r="J99" t="s">
        <v>1218</v>
      </c>
      <c r="K99" t="str">
        <f>_xlfn.XLOOKUP(Table1[[#This Row],[menu_name]],Table5[menu_name],Table5[id_menu])</f>
        <v>MENU007</v>
      </c>
      <c r="L99" t="s">
        <v>1229</v>
      </c>
      <c r="M99" t="str">
        <f>_xlfn.XLOOKUP(Table1[[#This Row],[category]],Table6[category],Table6[id_category])</f>
        <v>KTG0207</v>
      </c>
      <c r="N99" t="s">
        <v>1235</v>
      </c>
      <c r="O99">
        <v>2</v>
      </c>
      <c r="P99">
        <v>27000</v>
      </c>
      <c r="Q99">
        <v>0</v>
      </c>
      <c r="R99">
        <v>2.9</v>
      </c>
      <c r="S99" t="str">
        <f>_xlfn.XLOOKUP(Table1[[#This Row],[method]],Table7[method],Table7[id_method])</f>
        <v>PAY0712</v>
      </c>
      <c r="T99" t="s">
        <v>1239</v>
      </c>
      <c r="U99">
        <v>54000</v>
      </c>
    </row>
    <row r="100" spans="1:21" x14ac:dyDescent="0.25">
      <c r="A100" t="s">
        <v>112</v>
      </c>
      <c r="B100" t="str">
        <f>_xlfn.XLOOKUP(Table1[[#This Row],[date]],Table8[date],Table8[id_date])</f>
        <v>TGL0548</v>
      </c>
      <c r="C100" s="1">
        <v>45349</v>
      </c>
      <c r="D100" s="1" t="str">
        <f>_xlfn.XLOOKUP(Table1[[#This Row],[customer_name]],Table11[customer_name],Table11[id_cust])</f>
        <v>CNA0199</v>
      </c>
      <c r="E100" t="s">
        <v>1094</v>
      </c>
      <c r="F100">
        <v>24</v>
      </c>
      <c r="G100" t="str">
        <f>_xlfn.XLOOKUP(Table1[[#This Row],[branch_name]],Table3[branch_name],Table3[id_branch])</f>
        <v>BRCH004</v>
      </c>
      <c r="H100" t="s">
        <v>1216</v>
      </c>
      <c r="I100" t="str">
        <f>_xlfn.XLOOKUP(Table1[[#This Row],[city]],Table4[city],Table4[id_city])</f>
        <v>KOA0105</v>
      </c>
      <c r="J100" t="s">
        <v>1221</v>
      </c>
      <c r="K100" t="str">
        <f>_xlfn.XLOOKUP(Table1[[#This Row],[menu_name]],Table5[menu_name],Table5[id_menu])</f>
        <v>MENU005</v>
      </c>
      <c r="L100" t="s">
        <v>1227</v>
      </c>
      <c r="M100" t="str">
        <f>_xlfn.XLOOKUP(Table1[[#This Row],[category]],Table6[category],Table6[id_category])</f>
        <v>KTG0206</v>
      </c>
      <c r="N100" t="s">
        <v>1234</v>
      </c>
      <c r="O100">
        <v>1</v>
      </c>
      <c r="P100">
        <v>23000</v>
      </c>
      <c r="Q100">
        <v>0</v>
      </c>
      <c r="R100">
        <v>1.8</v>
      </c>
      <c r="S100" t="str">
        <f>_xlfn.XLOOKUP(Table1[[#This Row],[method]],Table7[method],Table7[id_method])</f>
        <v>PAY0709</v>
      </c>
      <c r="T100" t="s">
        <v>1236</v>
      </c>
      <c r="U100">
        <v>23000</v>
      </c>
    </row>
    <row r="101" spans="1:21" x14ac:dyDescent="0.25">
      <c r="A101" t="s">
        <v>113</v>
      </c>
      <c r="B101" t="str">
        <f>_xlfn.XLOOKUP(Table1[[#This Row],[date]],Table8[date],Table8[id_date])</f>
        <v>TGL0548</v>
      </c>
      <c r="C101" s="1">
        <v>45349</v>
      </c>
      <c r="D101" s="1" t="str">
        <f>_xlfn.XLOOKUP(Table1[[#This Row],[customer_name]],Table11[customer_name],Table11[id_cust])</f>
        <v>CNA0200</v>
      </c>
      <c r="E101" t="s">
        <v>1095</v>
      </c>
      <c r="F101">
        <v>51</v>
      </c>
      <c r="G101" t="str">
        <f>_xlfn.XLOOKUP(Table1[[#This Row],[branch_name]],Table3[branch_name],Table3[id_branch])</f>
        <v>BRCH003</v>
      </c>
      <c r="H101" t="s">
        <v>1215</v>
      </c>
      <c r="I101" t="str">
        <f>_xlfn.XLOOKUP(Table1[[#This Row],[city]],Table4[city],Table4[id_city])</f>
        <v>KOA0104</v>
      </c>
      <c r="J101" t="s">
        <v>1220</v>
      </c>
      <c r="K101" t="str">
        <f>_xlfn.XLOOKUP(Table1[[#This Row],[menu_name]],Table5[menu_name],Table5[id_menu])</f>
        <v>MENU004</v>
      </c>
      <c r="L101" t="s">
        <v>1226</v>
      </c>
      <c r="M101" t="str">
        <f>_xlfn.XLOOKUP(Table1[[#This Row],[category]],Table6[category],Table6[id_category])</f>
        <v>KTG0207</v>
      </c>
      <c r="N101" t="s">
        <v>1235</v>
      </c>
      <c r="O101">
        <v>4</v>
      </c>
      <c r="P101">
        <v>28000</v>
      </c>
      <c r="Q101">
        <v>0</v>
      </c>
      <c r="R101">
        <v>4.4000000000000004</v>
      </c>
      <c r="S101" t="str">
        <f>_xlfn.XLOOKUP(Table1[[#This Row],[method]],Table7[method],Table7[id_method])</f>
        <v>PAY0710</v>
      </c>
      <c r="T101" t="s">
        <v>1237</v>
      </c>
      <c r="U101">
        <v>112000</v>
      </c>
    </row>
    <row r="102" spans="1:21" x14ac:dyDescent="0.25">
      <c r="A102" t="s">
        <v>114</v>
      </c>
      <c r="B102" t="str">
        <f>_xlfn.XLOOKUP(Table1[[#This Row],[date]],Table8[date],Table8[id_date])</f>
        <v>TGL0549</v>
      </c>
      <c r="C102" s="1">
        <v>45352</v>
      </c>
      <c r="D102" s="1" t="str">
        <f>_xlfn.XLOOKUP(Table1[[#This Row],[customer_name]],Table11[customer_name],Table11[id_cust])</f>
        <v>CNA0201</v>
      </c>
      <c r="E102" t="s">
        <v>1096</v>
      </c>
      <c r="F102">
        <v>23</v>
      </c>
      <c r="G102" t="str">
        <f>_xlfn.XLOOKUP(Table1[[#This Row],[branch_name]],Table3[branch_name],Table3[id_branch])</f>
        <v>BRCH002</v>
      </c>
      <c r="H102" t="s">
        <v>1214</v>
      </c>
      <c r="I102" t="str">
        <f>_xlfn.XLOOKUP(Table1[[#This Row],[city]],Table4[city],Table4[id_city])</f>
        <v>KOA0103</v>
      </c>
      <c r="J102" t="s">
        <v>1219</v>
      </c>
      <c r="K102" t="str">
        <f>_xlfn.XLOOKUP(Table1[[#This Row],[menu_name]],Table5[menu_name],Table5[id_menu])</f>
        <v>MENU008</v>
      </c>
      <c r="L102" t="s">
        <v>1230</v>
      </c>
      <c r="M102" t="str">
        <f>_xlfn.XLOOKUP(Table1[[#This Row],[category]],Table6[category],Table6[id_category])</f>
        <v>KTG0205</v>
      </c>
      <c r="N102" t="s">
        <v>1233</v>
      </c>
      <c r="O102">
        <v>2</v>
      </c>
      <c r="P102">
        <v>20000</v>
      </c>
      <c r="Q102">
        <v>20</v>
      </c>
      <c r="R102">
        <v>2.2999999999999998</v>
      </c>
      <c r="S102" t="str">
        <f>_xlfn.XLOOKUP(Table1[[#This Row],[method]],Table7[method],Table7[id_method])</f>
        <v>PAY0712</v>
      </c>
      <c r="T102" t="s">
        <v>1239</v>
      </c>
      <c r="U102">
        <v>32000</v>
      </c>
    </row>
    <row r="103" spans="1:21" x14ac:dyDescent="0.25">
      <c r="A103" t="s">
        <v>115</v>
      </c>
      <c r="B103" t="str">
        <f>_xlfn.XLOOKUP(Table1[[#This Row],[date]],Table8[date],Table8[id_date])</f>
        <v>TGL0550</v>
      </c>
      <c r="C103" s="1">
        <v>45353</v>
      </c>
      <c r="D103" s="1" t="str">
        <f>_xlfn.XLOOKUP(Table1[[#This Row],[customer_name]],Table11[customer_name],Table11[id_cust])</f>
        <v>CNA0202</v>
      </c>
      <c r="E103" t="s">
        <v>1097</v>
      </c>
      <c r="F103">
        <v>53</v>
      </c>
      <c r="G103" t="str">
        <f>_xlfn.XLOOKUP(Table1[[#This Row],[branch_name]],Table3[branch_name],Table3[id_branch])</f>
        <v>BRCH004</v>
      </c>
      <c r="H103" t="s">
        <v>1216</v>
      </c>
      <c r="I103" t="str">
        <f>_xlfn.XLOOKUP(Table1[[#This Row],[city]],Table4[city],Table4[id_city])</f>
        <v>KOA0105</v>
      </c>
      <c r="J103" t="s">
        <v>1221</v>
      </c>
      <c r="K103" t="str">
        <f>_xlfn.XLOOKUP(Table1[[#This Row],[menu_name]],Table5[menu_name],Table5[id_menu])</f>
        <v>MENU001</v>
      </c>
      <c r="L103" t="s">
        <v>1223</v>
      </c>
      <c r="M103" t="str">
        <f>_xlfn.XLOOKUP(Table1[[#This Row],[category]],Table6[category],Table6[id_category])</f>
        <v>KTG0205</v>
      </c>
      <c r="N103" t="s">
        <v>1233</v>
      </c>
      <c r="O103">
        <v>4</v>
      </c>
      <c r="P103">
        <v>25000</v>
      </c>
      <c r="Q103">
        <v>0</v>
      </c>
      <c r="R103">
        <v>3.5</v>
      </c>
      <c r="S103" t="str">
        <f>_xlfn.XLOOKUP(Table1[[#This Row],[method]],Table7[method],Table7[id_method])</f>
        <v>PAY0712</v>
      </c>
      <c r="T103" t="s">
        <v>1239</v>
      </c>
      <c r="U103">
        <v>100000</v>
      </c>
    </row>
    <row r="104" spans="1:21" x14ac:dyDescent="0.25">
      <c r="A104" t="s">
        <v>116</v>
      </c>
      <c r="B104" t="str">
        <f>_xlfn.XLOOKUP(Table1[[#This Row],[date]],Table8[date],Table8[id_date])</f>
        <v>TGL0551</v>
      </c>
      <c r="C104" s="1">
        <v>45354</v>
      </c>
      <c r="D104" s="1" t="str">
        <f>_xlfn.XLOOKUP(Table1[[#This Row],[customer_name]],Table11[customer_name],Table11[id_cust])</f>
        <v>CNA0203</v>
      </c>
      <c r="E104" t="s">
        <v>1098</v>
      </c>
      <c r="F104">
        <v>22</v>
      </c>
      <c r="G104" t="str">
        <f>_xlfn.XLOOKUP(Table1[[#This Row],[branch_name]],Table3[branch_name],Table3[id_branch])</f>
        <v>BRCH003</v>
      </c>
      <c r="H104" t="s">
        <v>1215</v>
      </c>
      <c r="I104" t="str">
        <f>_xlfn.XLOOKUP(Table1[[#This Row],[city]],Table4[city],Table4[id_city])</f>
        <v>KOA0104</v>
      </c>
      <c r="J104" t="s">
        <v>1220</v>
      </c>
      <c r="K104" t="str">
        <f>_xlfn.XLOOKUP(Table1[[#This Row],[menu_name]],Table5[menu_name],Table5[id_menu])</f>
        <v>MENU009</v>
      </c>
      <c r="L104" t="s">
        <v>1231</v>
      </c>
      <c r="M104" t="str">
        <f>_xlfn.XLOOKUP(Table1[[#This Row],[category]],Table6[category],Table6[id_category])</f>
        <v>KTG0206</v>
      </c>
      <c r="N104" t="s">
        <v>1234</v>
      </c>
      <c r="O104">
        <v>4</v>
      </c>
      <c r="P104">
        <v>18000</v>
      </c>
      <c r="Q104">
        <v>0</v>
      </c>
      <c r="R104">
        <v>4.5</v>
      </c>
      <c r="S104" t="str">
        <f>_xlfn.XLOOKUP(Table1[[#This Row],[method]],Table7[method],Table7[id_method])</f>
        <v>PAY0711</v>
      </c>
      <c r="T104" t="s">
        <v>1238</v>
      </c>
      <c r="U104">
        <v>72000</v>
      </c>
    </row>
    <row r="105" spans="1:21" x14ac:dyDescent="0.25">
      <c r="A105" t="s">
        <v>117</v>
      </c>
      <c r="B105" t="str">
        <f>_xlfn.XLOOKUP(Table1[[#This Row],[date]],Table8[date],Table8[id_date])</f>
        <v>TGL0551</v>
      </c>
      <c r="C105" s="1">
        <v>45354</v>
      </c>
      <c r="D105" s="1" t="str">
        <f>_xlfn.XLOOKUP(Table1[[#This Row],[customer_name]],Table11[customer_name],Table11[id_cust])</f>
        <v>CNA0204</v>
      </c>
      <c r="E105" t="s">
        <v>1099</v>
      </c>
      <c r="F105">
        <v>40</v>
      </c>
      <c r="G105" t="str">
        <f>_xlfn.XLOOKUP(Table1[[#This Row],[branch_name]],Table3[branch_name],Table3[id_branch])</f>
        <v>BRCH004</v>
      </c>
      <c r="H105" t="s">
        <v>1216</v>
      </c>
      <c r="I105" t="str">
        <f>_xlfn.XLOOKUP(Table1[[#This Row],[city]],Table4[city],Table4[id_city])</f>
        <v>KOA0105</v>
      </c>
      <c r="J105" t="s">
        <v>1221</v>
      </c>
      <c r="K105" t="str">
        <f>_xlfn.XLOOKUP(Table1[[#This Row],[menu_name]],Table5[menu_name],Table5[id_menu])</f>
        <v>MENU004</v>
      </c>
      <c r="L105" t="s">
        <v>1226</v>
      </c>
      <c r="M105" t="str">
        <f>_xlfn.XLOOKUP(Table1[[#This Row],[category]],Table6[category],Table6[id_category])</f>
        <v>KTG0207</v>
      </c>
      <c r="N105" t="s">
        <v>1235</v>
      </c>
      <c r="O105">
        <v>2</v>
      </c>
      <c r="P105">
        <v>28000</v>
      </c>
      <c r="Q105">
        <v>0</v>
      </c>
      <c r="R105">
        <v>1.9</v>
      </c>
      <c r="S105" t="str">
        <f>_xlfn.XLOOKUP(Table1[[#This Row],[method]],Table7[method],Table7[id_method])</f>
        <v>PAY0710</v>
      </c>
      <c r="T105" t="s">
        <v>1237</v>
      </c>
      <c r="U105">
        <v>56000</v>
      </c>
    </row>
    <row r="106" spans="1:21" x14ac:dyDescent="0.25">
      <c r="A106" t="s">
        <v>118</v>
      </c>
      <c r="B106" t="str">
        <f>_xlfn.XLOOKUP(Table1[[#This Row],[date]],Table8[date],Table8[id_date])</f>
        <v>TGL0551</v>
      </c>
      <c r="C106" s="1">
        <v>45354</v>
      </c>
      <c r="D106" s="1" t="str">
        <f>_xlfn.XLOOKUP(Table1[[#This Row],[customer_name]],Table11[customer_name],Table11[id_cust])</f>
        <v>CNA0205</v>
      </c>
      <c r="E106" t="s">
        <v>1100</v>
      </c>
      <c r="F106">
        <v>17</v>
      </c>
      <c r="G106" t="str">
        <f>_xlfn.XLOOKUP(Table1[[#This Row],[branch_name]],Table3[branch_name],Table3[id_branch])</f>
        <v>BRCH001</v>
      </c>
      <c r="H106" t="s">
        <v>1213</v>
      </c>
      <c r="I106" t="str">
        <f>_xlfn.XLOOKUP(Table1[[#This Row],[city]],Table4[city],Table4[id_city])</f>
        <v>KOA0102</v>
      </c>
      <c r="J106" t="s">
        <v>1218</v>
      </c>
      <c r="K106" t="str">
        <f>_xlfn.XLOOKUP(Table1[[#This Row],[menu_name]],Table5[menu_name],Table5[id_menu])</f>
        <v>MENU002</v>
      </c>
      <c r="L106" t="s">
        <v>1224</v>
      </c>
      <c r="M106" t="str">
        <f>_xlfn.XLOOKUP(Table1[[#This Row],[category]],Table6[category],Table6[id_category])</f>
        <v>KTG0206</v>
      </c>
      <c r="N106" t="s">
        <v>1234</v>
      </c>
      <c r="O106">
        <v>2</v>
      </c>
      <c r="P106">
        <v>30000</v>
      </c>
      <c r="Q106">
        <v>0</v>
      </c>
      <c r="R106">
        <v>3.5</v>
      </c>
      <c r="S106" t="str">
        <f>_xlfn.XLOOKUP(Table1[[#This Row],[method]],Table7[method],Table7[id_method])</f>
        <v>PAY0712</v>
      </c>
      <c r="T106" t="s">
        <v>1239</v>
      </c>
      <c r="U106">
        <v>60000</v>
      </c>
    </row>
    <row r="107" spans="1:21" x14ac:dyDescent="0.25">
      <c r="A107" t="s">
        <v>119</v>
      </c>
      <c r="B107" t="str">
        <f>_xlfn.XLOOKUP(Table1[[#This Row],[date]],Table8[date],Table8[id_date])</f>
        <v>TGL0552</v>
      </c>
      <c r="C107" s="1">
        <v>45356</v>
      </c>
      <c r="D107" s="1" t="str">
        <f>_xlfn.XLOOKUP(Table1[[#This Row],[customer_name]],Table11[customer_name],Table11[id_cust])</f>
        <v>CNA0192</v>
      </c>
      <c r="E107" t="s">
        <v>1092</v>
      </c>
      <c r="F107">
        <v>20</v>
      </c>
      <c r="G107" t="str">
        <f>_xlfn.XLOOKUP(Table1[[#This Row],[branch_name]],Table3[branch_name],Table3[id_branch])</f>
        <v>BRCH003</v>
      </c>
      <c r="H107" t="s">
        <v>1215</v>
      </c>
      <c r="I107" t="str">
        <f>_xlfn.XLOOKUP(Table1[[#This Row],[city]],Table4[city],Table4[id_city])</f>
        <v>KOA0104</v>
      </c>
      <c r="J107" t="s">
        <v>1220</v>
      </c>
      <c r="K107" t="str">
        <f>_xlfn.XLOOKUP(Table1[[#This Row],[menu_name]],Table5[menu_name],Table5[id_menu])</f>
        <v>MENU002</v>
      </c>
      <c r="L107" t="s">
        <v>1224</v>
      </c>
      <c r="M107" t="str">
        <f>_xlfn.XLOOKUP(Table1[[#This Row],[category]],Table6[category],Table6[id_category])</f>
        <v>KTG0206</v>
      </c>
      <c r="N107" t="s">
        <v>1234</v>
      </c>
      <c r="O107">
        <v>1</v>
      </c>
      <c r="P107">
        <v>30000</v>
      </c>
      <c r="Q107">
        <v>15</v>
      </c>
      <c r="R107">
        <v>2.2000000000000002</v>
      </c>
      <c r="S107" t="str">
        <f>_xlfn.XLOOKUP(Table1[[#This Row],[method]],Table7[method],Table7[id_method])</f>
        <v>PAY0711</v>
      </c>
      <c r="T107" t="s">
        <v>1238</v>
      </c>
      <c r="U107">
        <v>25500</v>
      </c>
    </row>
    <row r="108" spans="1:21" x14ac:dyDescent="0.25">
      <c r="A108" t="s">
        <v>120</v>
      </c>
      <c r="B108" t="str">
        <f>_xlfn.XLOOKUP(Table1[[#This Row],[date]],Table8[date],Table8[id_date])</f>
        <v>TGL0553</v>
      </c>
      <c r="C108" s="1">
        <v>45358</v>
      </c>
      <c r="D108" s="1" t="str">
        <f>_xlfn.XLOOKUP(Table1[[#This Row],[customer_name]],Table11[customer_name],Table11[id_cust])</f>
        <v>CNA0207</v>
      </c>
      <c r="E108" t="s">
        <v>1101</v>
      </c>
      <c r="F108">
        <v>50</v>
      </c>
      <c r="G108" t="str">
        <f>_xlfn.XLOOKUP(Table1[[#This Row],[branch_name]],Table3[branch_name],Table3[id_branch])</f>
        <v>BRCH005</v>
      </c>
      <c r="H108" t="s">
        <v>1217</v>
      </c>
      <c r="I108" t="str">
        <f>_xlfn.XLOOKUP(Table1[[#This Row],[city]],Table4[city],Table4[id_city])</f>
        <v>KOA0106</v>
      </c>
      <c r="J108" t="s">
        <v>1222</v>
      </c>
      <c r="K108" t="str">
        <f>_xlfn.XLOOKUP(Table1[[#This Row],[menu_name]],Table5[menu_name],Table5[id_menu])</f>
        <v>MENU005</v>
      </c>
      <c r="L108" t="s">
        <v>1227</v>
      </c>
      <c r="M108" t="str">
        <f>_xlfn.XLOOKUP(Table1[[#This Row],[category]],Table6[category],Table6[id_category])</f>
        <v>KTG0206</v>
      </c>
      <c r="N108" t="s">
        <v>1234</v>
      </c>
      <c r="O108">
        <v>4</v>
      </c>
      <c r="P108">
        <v>23000</v>
      </c>
      <c r="Q108">
        <v>0</v>
      </c>
      <c r="R108">
        <v>3.1</v>
      </c>
      <c r="S108" t="str">
        <f>_xlfn.XLOOKUP(Table1[[#This Row],[method]],Table7[method],Table7[id_method])</f>
        <v>PAY0709</v>
      </c>
      <c r="T108" t="s">
        <v>1236</v>
      </c>
      <c r="U108">
        <v>92000</v>
      </c>
    </row>
    <row r="109" spans="1:21" x14ac:dyDescent="0.25">
      <c r="A109" t="s">
        <v>121</v>
      </c>
      <c r="B109" t="str">
        <f>_xlfn.XLOOKUP(Table1[[#This Row],[date]],Table8[date],Table8[id_date])</f>
        <v>TGL0554</v>
      </c>
      <c r="C109" s="1">
        <v>45360</v>
      </c>
      <c r="D109" s="1" t="str">
        <f>_xlfn.XLOOKUP(Table1[[#This Row],[customer_name]],Table11[customer_name],Table11[id_cust])</f>
        <v>CNA0208</v>
      </c>
      <c r="E109" t="s">
        <v>1102</v>
      </c>
      <c r="F109">
        <v>21</v>
      </c>
      <c r="G109" t="str">
        <f>_xlfn.XLOOKUP(Table1[[#This Row],[branch_name]],Table3[branch_name],Table3[id_branch])</f>
        <v>BRCH005</v>
      </c>
      <c r="H109" t="s">
        <v>1217</v>
      </c>
      <c r="I109" t="str">
        <f>_xlfn.XLOOKUP(Table1[[#This Row],[city]],Table4[city],Table4[id_city])</f>
        <v>KOA0106</v>
      </c>
      <c r="J109" t="s">
        <v>1222</v>
      </c>
      <c r="K109" t="str">
        <f>_xlfn.XLOOKUP(Table1[[#This Row],[menu_name]],Table5[menu_name],Table5[id_menu])</f>
        <v>MENU009</v>
      </c>
      <c r="L109" t="s">
        <v>1231</v>
      </c>
      <c r="M109" t="str">
        <f>_xlfn.XLOOKUP(Table1[[#This Row],[category]],Table6[category],Table6[id_category])</f>
        <v>KTG0206</v>
      </c>
      <c r="N109" t="s">
        <v>1234</v>
      </c>
      <c r="O109">
        <v>4</v>
      </c>
      <c r="P109">
        <v>18000</v>
      </c>
      <c r="Q109">
        <v>5</v>
      </c>
      <c r="R109">
        <v>1.1000000000000001</v>
      </c>
      <c r="S109" t="str">
        <f>_xlfn.XLOOKUP(Table1[[#This Row],[method]],Table7[method],Table7[id_method])</f>
        <v>PAY0709</v>
      </c>
      <c r="T109" t="s">
        <v>1236</v>
      </c>
      <c r="U109">
        <v>68400</v>
      </c>
    </row>
    <row r="110" spans="1:21" x14ac:dyDescent="0.25">
      <c r="A110" t="s">
        <v>122</v>
      </c>
      <c r="B110" t="str">
        <f>_xlfn.XLOOKUP(Table1[[#This Row],[date]],Table8[date],Table8[id_date])</f>
        <v>TGL0554</v>
      </c>
      <c r="C110" s="1">
        <v>45360</v>
      </c>
      <c r="D110" s="1" t="str">
        <f>_xlfn.XLOOKUP(Table1[[#This Row],[customer_name]],Table11[customer_name],Table11[id_cust])</f>
        <v>CNA0201</v>
      </c>
      <c r="E110" t="s">
        <v>1096</v>
      </c>
      <c r="F110">
        <v>23</v>
      </c>
      <c r="G110" t="str">
        <f>_xlfn.XLOOKUP(Table1[[#This Row],[branch_name]],Table3[branch_name],Table3[id_branch])</f>
        <v>BRCH001</v>
      </c>
      <c r="H110" t="s">
        <v>1213</v>
      </c>
      <c r="I110" t="str">
        <f>_xlfn.XLOOKUP(Table1[[#This Row],[city]],Table4[city],Table4[id_city])</f>
        <v>KOA0102</v>
      </c>
      <c r="J110" t="s">
        <v>1218</v>
      </c>
      <c r="K110" t="str">
        <f>_xlfn.XLOOKUP(Table1[[#This Row],[menu_name]],Table5[menu_name],Table5[id_menu])</f>
        <v>MENU002</v>
      </c>
      <c r="L110" t="s">
        <v>1224</v>
      </c>
      <c r="M110" t="str">
        <f>_xlfn.XLOOKUP(Table1[[#This Row],[category]],Table6[category],Table6[id_category])</f>
        <v>KTG0206</v>
      </c>
      <c r="N110" t="s">
        <v>1234</v>
      </c>
      <c r="O110">
        <v>2</v>
      </c>
      <c r="P110">
        <v>30000</v>
      </c>
      <c r="Q110">
        <v>0</v>
      </c>
      <c r="R110">
        <v>2</v>
      </c>
      <c r="S110" t="str">
        <f>_xlfn.XLOOKUP(Table1[[#This Row],[method]],Table7[method],Table7[id_method])</f>
        <v>PAY0712</v>
      </c>
      <c r="T110" t="s">
        <v>1239</v>
      </c>
      <c r="U110">
        <v>60000</v>
      </c>
    </row>
    <row r="111" spans="1:21" x14ac:dyDescent="0.25">
      <c r="A111" t="s">
        <v>123</v>
      </c>
      <c r="B111" t="str">
        <f>_xlfn.XLOOKUP(Table1[[#This Row],[date]],Table8[date],Table8[id_date])</f>
        <v>TGL0554</v>
      </c>
      <c r="C111" s="1">
        <v>45360</v>
      </c>
      <c r="D111" s="1" t="str">
        <f>_xlfn.XLOOKUP(Table1[[#This Row],[customer_name]],Table11[customer_name],Table11[id_cust])</f>
        <v>CNA0202</v>
      </c>
      <c r="E111" t="s">
        <v>1097</v>
      </c>
      <c r="F111">
        <v>53</v>
      </c>
      <c r="G111" t="str">
        <f>_xlfn.XLOOKUP(Table1[[#This Row],[branch_name]],Table3[branch_name],Table3[id_branch])</f>
        <v>BRCH002</v>
      </c>
      <c r="H111" t="s">
        <v>1214</v>
      </c>
      <c r="I111" t="str">
        <f>_xlfn.XLOOKUP(Table1[[#This Row],[city]],Table4[city],Table4[id_city])</f>
        <v>KOA0103</v>
      </c>
      <c r="J111" t="s">
        <v>1219</v>
      </c>
      <c r="K111" t="str">
        <f>_xlfn.XLOOKUP(Table1[[#This Row],[menu_name]],Table5[menu_name],Table5[id_menu])</f>
        <v>MENU001</v>
      </c>
      <c r="L111" t="s">
        <v>1223</v>
      </c>
      <c r="M111" t="str">
        <f>_xlfn.XLOOKUP(Table1[[#This Row],[category]],Table6[category],Table6[id_category])</f>
        <v>KTG0205</v>
      </c>
      <c r="N111" t="s">
        <v>1233</v>
      </c>
      <c r="O111">
        <v>3</v>
      </c>
      <c r="P111">
        <v>25000</v>
      </c>
      <c r="Q111">
        <v>0</v>
      </c>
      <c r="R111">
        <v>3.5</v>
      </c>
      <c r="S111" t="str">
        <f>_xlfn.XLOOKUP(Table1[[#This Row],[method]],Table7[method],Table7[id_method])</f>
        <v>PAY0712</v>
      </c>
      <c r="T111" t="s">
        <v>1239</v>
      </c>
      <c r="U111">
        <v>75000</v>
      </c>
    </row>
    <row r="112" spans="1:21" x14ac:dyDescent="0.25">
      <c r="A112" t="s">
        <v>124</v>
      </c>
      <c r="B112" t="str">
        <f>_xlfn.XLOOKUP(Table1[[#This Row],[date]],Table8[date],Table8[id_date])</f>
        <v>TGL0554</v>
      </c>
      <c r="C112" s="1">
        <v>45360</v>
      </c>
      <c r="D112" s="1" t="str">
        <f>_xlfn.XLOOKUP(Table1[[#This Row],[customer_name]],Table11[customer_name],Table11[id_cust])</f>
        <v>CNA0211</v>
      </c>
      <c r="E112" t="s">
        <v>1103</v>
      </c>
      <c r="F112">
        <v>49</v>
      </c>
      <c r="G112" t="str">
        <f>_xlfn.XLOOKUP(Table1[[#This Row],[branch_name]],Table3[branch_name],Table3[id_branch])</f>
        <v>BRCH005</v>
      </c>
      <c r="H112" t="s">
        <v>1217</v>
      </c>
      <c r="I112" t="str">
        <f>_xlfn.XLOOKUP(Table1[[#This Row],[city]],Table4[city],Table4[id_city])</f>
        <v>KOA0106</v>
      </c>
      <c r="J112" t="s">
        <v>1222</v>
      </c>
      <c r="K112" t="str">
        <f>_xlfn.XLOOKUP(Table1[[#This Row],[menu_name]],Table5[menu_name],Table5[id_menu])</f>
        <v>MENU007</v>
      </c>
      <c r="L112" t="s">
        <v>1229</v>
      </c>
      <c r="M112" t="str">
        <f>_xlfn.XLOOKUP(Table1[[#This Row],[category]],Table6[category],Table6[id_category])</f>
        <v>KTG0207</v>
      </c>
      <c r="N112" t="s">
        <v>1235</v>
      </c>
      <c r="O112">
        <v>1</v>
      </c>
      <c r="P112">
        <v>27000</v>
      </c>
      <c r="Q112">
        <v>10</v>
      </c>
      <c r="R112">
        <v>4.9000000000000004</v>
      </c>
      <c r="S112" t="str">
        <f>_xlfn.XLOOKUP(Table1[[#This Row],[method]],Table7[method],Table7[id_method])</f>
        <v>PAY0712</v>
      </c>
      <c r="T112" t="s">
        <v>1239</v>
      </c>
      <c r="U112">
        <v>24300</v>
      </c>
    </row>
    <row r="113" spans="1:21" x14ac:dyDescent="0.25">
      <c r="A113" t="s">
        <v>125</v>
      </c>
      <c r="B113" t="str">
        <f>_xlfn.XLOOKUP(Table1[[#This Row],[date]],Table8[date],Table8[id_date])</f>
        <v>TGL0555</v>
      </c>
      <c r="C113" s="1">
        <v>45361</v>
      </c>
      <c r="D113" s="1" t="str">
        <f>_xlfn.XLOOKUP(Table1[[#This Row],[customer_name]],Table11[customer_name],Table11[id_cust])</f>
        <v>CNA0212</v>
      </c>
      <c r="E113" t="s">
        <v>1104</v>
      </c>
      <c r="F113">
        <v>39</v>
      </c>
      <c r="G113" t="str">
        <f>_xlfn.XLOOKUP(Table1[[#This Row],[branch_name]],Table3[branch_name],Table3[id_branch])</f>
        <v>BRCH001</v>
      </c>
      <c r="H113" t="s">
        <v>1213</v>
      </c>
      <c r="I113" t="str">
        <f>_xlfn.XLOOKUP(Table1[[#This Row],[city]],Table4[city],Table4[id_city])</f>
        <v>KOA0102</v>
      </c>
      <c r="J113" t="s">
        <v>1218</v>
      </c>
      <c r="K113" t="str">
        <f>_xlfn.XLOOKUP(Table1[[#This Row],[menu_name]],Table5[menu_name],Table5[id_menu])</f>
        <v>MENU003</v>
      </c>
      <c r="L113" t="s">
        <v>1225</v>
      </c>
      <c r="M113" t="str">
        <f>_xlfn.XLOOKUP(Table1[[#This Row],[category]],Table6[category],Table6[id_category])</f>
        <v>KTG0205</v>
      </c>
      <c r="N113" t="s">
        <v>1233</v>
      </c>
      <c r="O113">
        <v>4</v>
      </c>
      <c r="P113">
        <v>22000</v>
      </c>
      <c r="Q113">
        <v>0</v>
      </c>
      <c r="R113">
        <v>3.4</v>
      </c>
      <c r="S113" t="str">
        <f>_xlfn.XLOOKUP(Table1[[#This Row],[method]],Table7[method],Table7[id_method])</f>
        <v>PAY0710</v>
      </c>
      <c r="T113" t="s">
        <v>1237</v>
      </c>
      <c r="U113">
        <v>88000</v>
      </c>
    </row>
    <row r="114" spans="1:21" x14ac:dyDescent="0.25">
      <c r="A114" t="s">
        <v>126</v>
      </c>
      <c r="B114" t="str">
        <f>_xlfn.XLOOKUP(Table1[[#This Row],[date]],Table8[date],Table8[id_date])</f>
        <v>TGL0556</v>
      </c>
      <c r="C114" s="1">
        <v>45363</v>
      </c>
      <c r="D114" s="1" t="str">
        <f>_xlfn.XLOOKUP(Table1[[#This Row],[customer_name]],Table11[customer_name],Table11[id_cust])</f>
        <v>CNA0168</v>
      </c>
      <c r="E114" t="s">
        <v>1073</v>
      </c>
      <c r="F114">
        <v>37</v>
      </c>
      <c r="G114" t="str">
        <f>_xlfn.XLOOKUP(Table1[[#This Row],[branch_name]],Table3[branch_name],Table3[id_branch])</f>
        <v>BRCH005</v>
      </c>
      <c r="H114" t="s">
        <v>1217</v>
      </c>
      <c r="I114" t="str">
        <f>_xlfn.XLOOKUP(Table1[[#This Row],[city]],Table4[city],Table4[id_city])</f>
        <v>KOA0106</v>
      </c>
      <c r="J114" t="s">
        <v>1222</v>
      </c>
      <c r="K114" t="str">
        <f>_xlfn.XLOOKUP(Table1[[#This Row],[menu_name]],Table5[menu_name],Table5[id_menu])</f>
        <v>MENU006</v>
      </c>
      <c r="L114" t="s">
        <v>1228</v>
      </c>
      <c r="M114" t="str">
        <f>_xlfn.XLOOKUP(Table1[[#This Row],[category]],Table6[category],Table6[id_category])</f>
        <v>KTG0206</v>
      </c>
      <c r="N114" t="s">
        <v>1234</v>
      </c>
      <c r="O114">
        <v>3</v>
      </c>
      <c r="P114">
        <v>32000</v>
      </c>
      <c r="Q114">
        <v>0</v>
      </c>
      <c r="R114">
        <v>4.3</v>
      </c>
      <c r="S114" t="str">
        <f>_xlfn.XLOOKUP(Table1[[#This Row],[method]],Table7[method],Table7[id_method])</f>
        <v>PAY0711</v>
      </c>
      <c r="T114" t="s">
        <v>1238</v>
      </c>
      <c r="U114">
        <v>96000</v>
      </c>
    </row>
    <row r="115" spans="1:21" x14ac:dyDescent="0.25">
      <c r="A115" t="s">
        <v>127</v>
      </c>
      <c r="B115" t="str">
        <f>_xlfn.XLOOKUP(Table1[[#This Row],[date]],Table8[date],Table8[id_date])</f>
        <v>TGL0557</v>
      </c>
      <c r="C115" s="1">
        <v>45364</v>
      </c>
      <c r="D115" s="1" t="str">
        <f>_xlfn.XLOOKUP(Table1[[#This Row],[customer_name]],Table11[customer_name],Table11[id_cust])</f>
        <v>CNA0214</v>
      </c>
      <c r="E115" t="s">
        <v>1105</v>
      </c>
      <c r="F115">
        <v>18</v>
      </c>
      <c r="G115" t="str">
        <f>_xlfn.XLOOKUP(Table1[[#This Row],[branch_name]],Table3[branch_name],Table3[id_branch])</f>
        <v>BRCH001</v>
      </c>
      <c r="H115" t="s">
        <v>1213</v>
      </c>
      <c r="I115" t="str">
        <f>_xlfn.XLOOKUP(Table1[[#This Row],[city]],Table4[city],Table4[id_city])</f>
        <v>KOA0102</v>
      </c>
      <c r="J115" t="s">
        <v>1218</v>
      </c>
      <c r="K115" t="str">
        <f>_xlfn.XLOOKUP(Table1[[#This Row],[menu_name]],Table5[menu_name],Table5[id_menu])</f>
        <v>MENU008</v>
      </c>
      <c r="L115" t="s">
        <v>1230</v>
      </c>
      <c r="M115" t="str">
        <f>_xlfn.XLOOKUP(Table1[[#This Row],[category]],Table6[category],Table6[id_category])</f>
        <v>KTG0205</v>
      </c>
      <c r="N115" t="s">
        <v>1233</v>
      </c>
      <c r="O115">
        <v>4</v>
      </c>
      <c r="P115">
        <v>20000</v>
      </c>
      <c r="Q115">
        <v>0</v>
      </c>
      <c r="R115">
        <v>3.6</v>
      </c>
      <c r="S115" t="str">
        <f>_xlfn.XLOOKUP(Table1[[#This Row],[method]],Table7[method],Table7[id_method])</f>
        <v>PAY0711</v>
      </c>
      <c r="T115" t="s">
        <v>1238</v>
      </c>
      <c r="U115">
        <v>80000</v>
      </c>
    </row>
    <row r="116" spans="1:21" x14ac:dyDescent="0.25">
      <c r="A116" t="s">
        <v>128</v>
      </c>
      <c r="B116" t="str">
        <f>_xlfn.XLOOKUP(Table1[[#This Row],[date]],Table8[date],Table8[id_date])</f>
        <v>TGL0558</v>
      </c>
      <c r="C116" s="1">
        <v>45365</v>
      </c>
      <c r="D116" s="1" t="str">
        <f>_xlfn.XLOOKUP(Table1[[#This Row],[customer_name]],Table11[customer_name],Table11[id_cust])</f>
        <v>CNA0215</v>
      </c>
      <c r="E116" t="s">
        <v>1106</v>
      </c>
      <c r="F116">
        <v>52</v>
      </c>
      <c r="G116" t="str">
        <f>_xlfn.XLOOKUP(Table1[[#This Row],[branch_name]],Table3[branch_name],Table3[id_branch])</f>
        <v>BRCH002</v>
      </c>
      <c r="H116" t="s">
        <v>1214</v>
      </c>
      <c r="I116" t="str">
        <f>_xlfn.XLOOKUP(Table1[[#This Row],[city]],Table4[city],Table4[id_city])</f>
        <v>KOA0103</v>
      </c>
      <c r="J116" t="s">
        <v>1219</v>
      </c>
      <c r="K116" t="str">
        <f>_xlfn.XLOOKUP(Table1[[#This Row],[menu_name]],Table5[menu_name],Table5[id_menu])</f>
        <v>MENU003</v>
      </c>
      <c r="L116" t="s">
        <v>1225</v>
      </c>
      <c r="M116" t="str">
        <f>_xlfn.XLOOKUP(Table1[[#This Row],[category]],Table6[category],Table6[id_category])</f>
        <v>KTG0205</v>
      </c>
      <c r="N116" t="s">
        <v>1233</v>
      </c>
      <c r="O116">
        <v>2</v>
      </c>
      <c r="P116">
        <v>22000</v>
      </c>
      <c r="Q116">
        <v>0</v>
      </c>
      <c r="R116">
        <v>3.2</v>
      </c>
      <c r="S116" t="str">
        <f>_xlfn.XLOOKUP(Table1[[#This Row],[method]],Table7[method],Table7[id_method])</f>
        <v>PAY0709</v>
      </c>
      <c r="T116" t="s">
        <v>1236</v>
      </c>
      <c r="U116">
        <v>44000</v>
      </c>
    </row>
    <row r="117" spans="1:21" x14ac:dyDescent="0.25">
      <c r="A117" t="s">
        <v>129</v>
      </c>
      <c r="B117" t="str">
        <f>_xlfn.XLOOKUP(Table1[[#This Row],[date]],Table8[date],Table8[id_date])</f>
        <v>TGL0559</v>
      </c>
      <c r="C117" s="1">
        <v>45366</v>
      </c>
      <c r="D117" s="1" t="str">
        <f>_xlfn.XLOOKUP(Table1[[#This Row],[customer_name]],Table11[customer_name],Table11[id_cust])</f>
        <v>CNA0137</v>
      </c>
      <c r="E117" t="s">
        <v>1048</v>
      </c>
      <c r="F117">
        <v>32</v>
      </c>
      <c r="G117" t="str">
        <f>_xlfn.XLOOKUP(Table1[[#This Row],[branch_name]],Table3[branch_name],Table3[id_branch])</f>
        <v>BRCH003</v>
      </c>
      <c r="H117" t="s">
        <v>1215</v>
      </c>
      <c r="I117" t="str">
        <f>_xlfn.XLOOKUP(Table1[[#This Row],[city]],Table4[city],Table4[id_city])</f>
        <v>KOA0104</v>
      </c>
      <c r="J117" t="s">
        <v>1220</v>
      </c>
      <c r="K117" t="str">
        <f>_xlfn.XLOOKUP(Table1[[#This Row],[menu_name]],Table5[menu_name],Table5[id_menu])</f>
        <v>MENU002</v>
      </c>
      <c r="L117" t="s">
        <v>1224</v>
      </c>
      <c r="M117" t="str">
        <f>_xlfn.XLOOKUP(Table1[[#This Row],[category]],Table6[category],Table6[id_category])</f>
        <v>KTG0206</v>
      </c>
      <c r="N117" t="s">
        <v>1234</v>
      </c>
      <c r="O117">
        <v>1</v>
      </c>
      <c r="P117">
        <v>30000</v>
      </c>
      <c r="Q117">
        <v>5</v>
      </c>
      <c r="R117">
        <v>3.1</v>
      </c>
      <c r="S117" t="str">
        <f>_xlfn.XLOOKUP(Table1[[#This Row],[method]],Table7[method],Table7[id_method])</f>
        <v>PAY0710</v>
      </c>
      <c r="T117" t="s">
        <v>1237</v>
      </c>
      <c r="U117">
        <v>28500</v>
      </c>
    </row>
    <row r="118" spans="1:21" x14ac:dyDescent="0.25">
      <c r="A118" t="s">
        <v>130</v>
      </c>
      <c r="B118" t="str">
        <f>_xlfn.XLOOKUP(Table1[[#This Row],[date]],Table8[date],Table8[id_date])</f>
        <v>TGL0559</v>
      </c>
      <c r="C118" s="1">
        <v>45366</v>
      </c>
      <c r="D118" s="1" t="str">
        <f>_xlfn.XLOOKUP(Table1[[#This Row],[customer_name]],Table11[customer_name],Table11[id_cust])</f>
        <v>CNA0217</v>
      </c>
      <c r="E118" t="s">
        <v>1107</v>
      </c>
      <c r="F118">
        <v>25</v>
      </c>
      <c r="G118" t="str">
        <f>_xlfn.XLOOKUP(Table1[[#This Row],[branch_name]],Table3[branch_name],Table3[id_branch])</f>
        <v>BRCH002</v>
      </c>
      <c r="H118" t="s">
        <v>1214</v>
      </c>
      <c r="I118" t="str">
        <f>_xlfn.XLOOKUP(Table1[[#This Row],[city]],Table4[city],Table4[id_city])</f>
        <v>KOA0103</v>
      </c>
      <c r="J118" t="s">
        <v>1219</v>
      </c>
      <c r="K118" t="str">
        <f>_xlfn.XLOOKUP(Table1[[#This Row],[menu_name]],Table5[menu_name],Table5[id_menu])</f>
        <v>MENU001</v>
      </c>
      <c r="L118" t="s">
        <v>1223</v>
      </c>
      <c r="M118" t="str">
        <f>_xlfn.XLOOKUP(Table1[[#This Row],[category]],Table6[category],Table6[id_category])</f>
        <v>KTG0205</v>
      </c>
      <c r="N118" t="s">
        <v>1233</v>
      </c>
      <c r="O118">
        <v>5</v>
      </c>
      <c r="P118">
        <v>25000</v>
      </c>
      <c r="Q118">
        <v>0</v>
      </c>
      <c r="R118">
        <v>1.7</v>
      </c>
      <c r="S118" t="str">
        <f>_xlfn.XLOOKUP(Table1[[#This Row],[method]],Table7[method],Table7[id_method])</f>
        <v>PAY0712</v>
      </c>
      <c r="T118" t="s">
        <v>1239</v>
      </c>
      <c r="U118">
        <v>125000</v>
      </c>
    </row>
    <row r="119" spans="1:21" x14ac:dyDescent="0.25">
      <c r="A119" t="s">
        <v>131</v>
      </c>
      <c r="B119" t="str">
        <f>_xlfn.XLOOKUP(Table1[[#This Row],[date]],Table8[date],Table8[id_date])</f>
        <v>TGL0559</v>
      </c>
      <c r="C119" s="1">
        <v>45366</v>
      </c>
      <c r="D119" s="1" t="str">
        <f>_xlfn.XLOOKUP(Table1[[#This Row],[customer_name]],Table11[customer_name],Table11[id_cust])</f>
        <v>CNA0117</v>
      </c>
      <c r="E119" t="s">
        <v>1030</v>
      </c>
      <c r="F119">
        <v>53</v>
      </c>
      <c r="G119" t="str">
        <f>_xlfn.XLOOKUP(Table1[[#This Row],[branch_name]],Table3[branch_name],Table3[id_branch])</f>
        <v>BRCH004</v>
      </c>
      <c r="H119" t="s">
        <v>1216</v>
      </c>
      <c r="I119" t="str">
        <f>_xlfn.XLOOKUP(Table1[[#This Row],[city]],Table4[city],Table4[id_city])</f>
        <v>KOA0105</v>
      </c>
      <c r="J119" t="s">
        <v>1221</v>
      </c>
      <c r="K119" t="str">
        <f>_xlfn.XLOOKUP(Table1[[#This Row],[menu_name]],Table5[menu_name],Table5[id_menu])</f>
        <v>MENU004</v>
      </c>
      <c r="L119" t="s">
        <v>1226</v>
      </c>
      <c r="M119" t="str">
        <f>_xlfn.XLOOKUP(Table1[[#This Row],[category]],Table6[category],Table6[id_category])</f>
        <v>KTG0207</v>
      </c>
      <c r="N119" t="s">
        <v>1235</v>
      </c>
      <c r="O119">
        <v>5</v>
      </c>
      <c r="P119">
        <v>28000</v>
      </c>
      <c r="Q119">
        <v>0</v>
      </c>
      <c r="R119">
        <v>4.8</v>
      </c>
      <c r="S119" t="str">
        <f>_xlfn.XLOOKUP(Table1[[#This Row],[method]],Table7[method],Table7[id_method])</f>
        <v>PAY0710</v>
      </c>
      <c r="T119" t="s">
        <v>1237</v>
      </c>
      <c r="U119">
        <v>140000</v>
      </c>
    </row>
    <row r="120" spans="1:21" x14ac:dyDescent="0.25">
      <c r="A120" t="s">
        <v>132</v>
      </c>
      <c r="B120" t="str">
        <f>_xlfn.XLOOKUP(Table1[[#This Row],[date]],Table8[date],Table8[id_date])</f>
        <v>TGL0559</v>
      </c>
      <c r="C120" s="1">
        <v>45366</v>
      </c>
      <c r="D120" s="1" t="str">
        <f>_xlfn.XLOOKUP(Table1[[#This Row],[customer_name]],Table11[customer_name],Table11[id_cust])</f>
        <v>CNA0219</v>
      </c>
      <c r="E120" t="s">
        <v>1108</v>
      </c>
      <c r="F120">
        <v>23</v>
      </c>
      <c r="G120" t="str">
        <f>_xlfn.XLOOKUP(Table1[[#This Row],[branch_name]],Table3[branch_name],Table3[id_branch])</f>
        <v>BRCH005</v>
      </c>
      <c r="H120" t="s">
        <v>1217</v>
      </c>
      <c r="I120" t="str">
        <f>_xlfn.XLOOKUP(Table1[[#This Row],[city]],Table4[city],Table4[id_city])</f>
        <v>KOA0106</v>
      </c>
      <c r="J120" t="s">
        <v>1222</v>
      </c>
      <c r="K120" t="str">
        <f>_xlfn.XLOOKUP(Table1[[#This Row],[menu_name]],Table5[menu_name],Table5[id_menu])</f>
        <v>MENU004</v>
      </c>
      <c r="L120" t="s">
        <v>1226</v>
      </c>
      <c r="M120" t="str">
        <f>_xlfn.XLOOKUP(Table1[[#This Row],[category]],Table6[category],Table6[id_category])</f>
        <v>KTG0207</v>
      </c>
      <c r="N120" t="s">
        <v>1235</v>
      </c>
      <c r="O120">
        <v>3</v>
      </c>
      <c r="P120">
        <v>28000</v>
      </c>
      <c r="Q120">
        <v>15</v>
      </c>
      <c r="R120">
        <v>3.9</v>
      </c>
      <c r="S120" t="str">
        <f>_xlfn.XLOOKUP(Table1[[#This Row],[method]],Table7[method],Table7[id_method])</f>
        <v>PAY0711</v>
      </c>
      <c r="T120" t="s">
        <v>1238</v>
      </c>
      <c r="U120">
        <v>71400</v>
      </c>
    </row>
    <row r="121" spans="1:21" x14ac:dyDescent="0.25">
      <c r="A121" t="s">
        <v>133</v>
      </c>
      <c r="B121" t="str">
        <f>_xlfn.XLOOKUP(Table1[[#This Row],[date]],Table8[date],Table8[id_date])</f>
        <v>TGL0560</v>
      </c>
      <c r="C121" s="1">
        <v>45367</v>
      </c>
      <c r="D121" s="1" t="str">
        <f>_xlfn.XLOOKUP(Table1[[#This Row],[customer_name]],Table11[customer_name],Table11[id_cust])</f>
        <v>CNA0164</v>
      </c>
      <c r="E121" t="s">
        <v>1069</v>
      </c>
      <c r="F121">
        <v>48</v>
      </c>
      <c r="G121" t="str">
        <f>_xlfn.XLOOKUP(Table1[[#This Row],[branch_name]],Table3[branch_name],Table3[id_branch])</f>
        <v>BRCH002</v>
      </c>
      <c r="H121" t="s">
        <v>1214</v>
      </c>
      <c r="I121" t="str">
        <f>_xlfn.XLOOKUP(Table1[[#This Row],[city]],Table4[city],Table4[id_city])</f>
        <v>KOA0103</v>
      </c>
      <c r="J121" t="s">
        <v>1219</v>
      </c>
      <c r="K121" t="str">
        <f>_xlfn.XLOOKUP(Table1[[#This Row],[menu_name]],Table5[menu_name],Table5[id_menu])</f>
        <v>MENU010</v>
      </c>
      <c r="L121" t="s">
        <v>1232</v>
      </c>
      <c r="M121" t="str">
        <f>_xlfn.XLOOKUP(Table1[[#This Row],[category]],Table6[category],Table6[id_category])</f>
        <v>KTG0205</v>
      </c>
      <c r="N121" t="s">
        <v>1233</v>
      </c>
      <c r="O121">
        <v>2</v>
      </c>
      <c r="P121">
        <v>18000</v>
      </c>
      <c r="Q121">
        <v>5</v>
      </c>
      <c r="R121">
        <v>2.5</v>
      </c>
      <c r="S121" t="str">
        <f>_xlfn.XLOOKUP(Table1[[#This Row],[method]],Table7[method],Table7[id_method])</f>
        <v>PAY0710</v>
      </c>
      <c r="T121" t="s">
        <v>1237</v>
      </c>
      <c r="U121">
        <v>34200</v>
      </c>
    </row>
    <row r="122" spans="1:21" x14ac:dyDescent="0.25">
      <c r="A122" t="s">
        <v>134</v>
      </c>
      <c r="B122" t="str">
        <f>_xlfn.XLOOKUP(Table1[[#This Row],[date]],Table8[date],Table8[id_date])</f>
        <v>TGL0560</v>
      </c>
      <c r="C122" s="1">
        <v>45367</v>
      </c>
      <c r="D122" s="1" t="str">
        <f>_xlfn.XLOOKUP(Table1[[#This Row],[customer_name]],Table11[customer_name],Table11[id_cust])</f>
        <v>CNA0131</v>
      </c>
      <c r="E122" t="s">
        <v>1043</v>
      </c>
      <c r="F122">
        <v>45</v>
      </c>
      <c r="G122" t="str">
        <f>_xlfn.XLOOKUP(Table1[[#This Row],[branch_name]],Table3[branch_name],Table3[id_branch])</f>
        <v>BRCH004</v>
      </c>
      <c r="H122" t="s">
        <v>1216</v>
      </c>
      <c r="I122" t="str">
        <f>_xlfn.XLOOKUP(Table1[[#This Row],[city]],Table4[city],Table4[id_city])</f>
        <v>KOA0105</v>
      </c>
      <c r="J122" t="s">
        <v>1221</v>
      </c>
      <c r="K122" t="str">
        <f>_xlfn.XLOOKUP(Table1[[#This Row],[menu_name]],Table5[menu_name],Table5[id_menu])</f>
        <v>MENU009</v>
      </c>
      <c r="L122" t="s">
        <v>1231</v>
      </c>
      <c r="M122" t="str">
        <f>_xlfn.XLOOKUP(Table1[[#This Row],[category]],Table6[category],Table6[id_category])</f>
        <v>KTG0206</v>
      </c>
      <c r="N122" t="s">
        <v>1234</v>
      </c>
      <c r="O122">
        <v>2</v>
      </c>
      <c r="P122">
        <v>18000</v>
      </c>
      <c r="Q122">
        <v>15</v>
      </c>
      <c r="R122">
        <v>2.2999999999999998</v>
      </c>
      <c r="S122" t="str">
        <f>_xlfn.XLOOKUP(Table1[[#This Row],[method]],Table7[method],Table7[id_method])</f>
        <v>PAY0709</v>
      </c>
      <c r="T122" t="s">
        <v>1236</v>
      </c>
      <c r="U122">
        <v>30600</v>
      </c>
    </row>
    <row r="123" spans="1:21" x14ac:dyDescent="0.25">
      <c r="A123" t="s">
        <v>135</v>
      </c>
      <c r="B123" t="str">
        <f>_xlfn.XLOOKUP(Table1[[#This Row],[date]],Table8[date],Table8[id_date])</f>
        <v>TGL0561</v>
      </c>
      <c r="C123" s="1">
        <v>45369</v>
      </c>
      <c r="D123" s="1" t="str">
        <f>_xlfn.XLOOKUP(Table1[[#This Row],[customer_name]],Table11[customer_name],Table11[id_cust])</f>
        <v>CNA0222</v>
      </c>
      <c r="E123" t="s">
        <v>1109</v>
      </c>
      <c r="F123">
        <v>34</v>
      </c>
      <c r="G123" t="str">
        <f>_xlfn.XLOOKUP(Table1[[#This Row],[branch_name]],Table3[branch_name],Table3[id_branch])</f>
        <v>BRCH005</v>
      </c>
      <c r="H123" t="s">
        <v>1217</v>
      </c>
      <c r="I123" t="str">
        <f>_xlfn.XLOOKUP(Table1[[#This Row],[city]],Table4[city],Table4[id_city])</f>
        <v>KOA0106</v>
      </c>
      <c r="J123" t="s">
        <v>1222</v>
      </c>
      <c r="K123" t="str">
        <f>_xlfn.XLOOKUP(Table1[[#This Row],[menu_name]],Table5[menu_name],Table5[id_menu])</f>
        <v>MENU006</v>
      </c>
      <c r="L123" t="s">
        <v>1228</v>
      </c>
      <c r="M123" t="str">
        <f>_xlfn.XLOOKUP(Table1[[#This Row],[category]],Table6[category],Table6[id_category])</f>
        <v>KTG0206</v>
      </c>
      <c r="N123" t="s">
        <v>1234</v>
      </c>
      <c r="O123">
        <v>1</v>
      </c>
      <c r="P123">
        <v>32000</v>
      </c>
      <c r="Q123">
        <v>0</v>
      </c>
      <c r="R123">
        <v>4.2</v>
      </c>
      <c r="S123" t="str">
        <f>_xlfn.XLOOKUP(Table1[[#This Row],[method]],Table7[method],Table7[id_method])</f>
        <v>PAY0710</v>
      </c>
      <c r="T123" t="s">
        <v>1237</v>
      </c>
      <c r="U123">
        <v>32000</v>
      </c>
    </row>
    <row r="124" spans="1:21" x14ac:dyDescent="0.25">
      <c r="A124" t="s">
        <v>136</v>
      </c>
      <c r="B124" t="str">
        <f>_xlfn.XLOOKUP(Table1[[#This Row],[date]],Table8[date],Table8[id_date])</f>
        <v>TGL0561</v>
      </c>
      <c r="C124" s="1">
        <v>45369</v>
      </c>
      <c r="D124" s="1" t="str">
        <f>_xlfn.XLOOKUP(Table1[[#This Row],[customer_name]],Table11[customer_name],Table11[id_cust])</f>
        <v>CNA0223</v>
      </c>
      <c r="E124" t="s">
        <v>1110</v>
      </c>
      <c r="F124">
        <v>18</v>
      </c>
      <c r="G124" t="str">
        <f>_xlfn.XLOOKUP(Table1[[#This Row],[branch_name]],Table3[branch_name],Table3[id_branch])</f>
        <v>BRCH005</v>
      </c>
      <c r="H124" t="s">
        <v>1217</v>
      </c>
      <c r="I124" t="str">
        <f>_xlfn.XLOOKUP(Table1[[#This Row],[city]],Table4[city],Table4[id_city])</f>
        <v>KOA0106</v>
      </c>
      <c r="J124" t="s">
        <v>1222</v>
      </c>
      <c r="K124" t="str">
        <f>_xlfn.XLOOKUP(Table1[[#This Row],[menu_name]],Table5[menu_name],Table5[id_menu])</f>
        <v>MENU007</v>
      </c>
      <c r="L124" t="s">
        <v>1229</v>
      </c>
      <c r="M124" t="str">
        <f>_xlfn.XLOOKUP(Table1[[#This Row],[category]],Table6[category],Table6[id_category])</f>
        <v>KTG0207</v>
      </c>
      <c r="N124" t="s">
        <v>1235</v>
      </c>
      <c r="O124">
        <v>4</v>
      </c>
      <c r="P124">
        <v>27000</v>
      </c>
      <c r="Q124">
        <v>0</v>
      </c>
      <c r="R124">
        <v>2.6</v>
      </c>
      <c r="S124" t="str">
        <f>_xlfn.XLOOKUP(Table1[[#This Row],[method]],Table7[method],Table7[id_method])</f>
        <v>PAY0709</v>
      </c>
      <c r="T124" t="s">
        <v>1236</v>
      </c>
      <c r="U124">
        <v>108000</v>
      </c>
    </row>
    <row r="125" spans="1:21" x14ac:dyDescent="0.25">
      <c r="A125" t="s">
        <v>137</v>
      </c>
      <c r="B125" t="str">
        <f>_xlfn.XLOOKUP(Table1[[#This Row],[date]],Table8[date],Table8[id_date])</f>
        <v>TGL0561</v>
      </c>
      <c r="C125" s="1">
        <v>45369</v>
      </c>
      <c r="D125" s="1" t="str">
        <f>_xlfn.XLOOKUP(Table1[[#This Row],[customer_name]],Table11[customer_name],Table11[id_cust])</f>
        <v>CNA0224</v>
      </c>
      <c r="E125" t="s">
        <v>1111</v>
      </c>
      <c r="F125">
        <v>49</v>
      </c>
      <c r="G125" t="str">
        <f>_xlfn.XLOOKUP(Table1[[#This Row],[branch_name]],Table3[branch_name],Table3[id_branch])</f>
        <v>BRCH002</v>
      </c>
      <c r="H125" t="s">
        <v>1214</v>
      </c>
      <c r="I125" t="str">
        <f>_xlfn.XLOOKUP(Table1[[#This Row],[city]],Table4[city],Table4[id_city])</f>
        <v>KOA0103</v>
      </c>
      <c r="J125" t="s">
        <v>1219</v>
      </c>
      <c r="K125" t="str">
        <f>_xlfn.XLOOKUP(Table1[[#This Row],[menu_name]],Table5[menu_name],Table5[id_menu])</f>
        <v>MENU003</v>
      </c>
      <c r="L125" t="s">
        <v>1225</v>
      </c>
      <c r="M125" t="str">
        <f>_xlfn.XLOOKUP(Table1[[#This Row],[category]],Table6[category],Table6[id_category])</f>
        <v>KTG0205</v>
      </c>
      <c r="N125" t="s">
        <v>1233</v>
      </c>
      <c r="O125">
        <v>3</v>
      </c>
      <c r="P125">
        <v>22000</v>
      </c>
      <c r="Q125">
        <v>10</v>
      </c>
      <c r="R125">
        <v>2.7</v>
      </c>
      <c r="S125" t="str">
        <f>_xlfn.XLOOKUP(Table1[[#This Row],[method]],Table7[method],Table7[id_method])</f>
        <v>PAY0712</v>
      </c>
      <c r="T125" t="s">
        <v>1239</v>
      </c>
      <c r="U125">
        <v>59400</v>
      </c>
    </row>
    <row r="126" spans="1:21" x14ac:dyDescent="0.25">
      <c r="A126" t="s">
        <v>138</v>
      </c>
      <c r="B126" t="str">
        <f>_xlfn.XLOOKUP(Table1[[#This Row],[date]],Table8[date],Table8[id_date])</f>
        <v>TGL0561</v>
      </c>
      <c r="C126" s="1">
        <v>45369</v>
      </c>
      <c r="D126" s="1" t="str">
        <f>_xlfn.XLOOKUP(Table1[[#This Row],[customer_name]],Table11[customer_name],Table11[id_cust])</f>
        <v>CNA0225</v>
      </c>
      <c r="E126" t="s">
        <v>1112</v>
      </c>
      <c r="F126">
        <v>25</v>
      </c>
      <c r="G126" t="str">
        <f>_xlfn.XLOOKUP(Table1[[#This Row],[branch_name]],Table3[branch_name],Table3[id_branch])</f>
        <v>BRCH004</v>
      </c>
      <c r="H126" t="s">
        <v>1216</v>
      </c>
      <c r="I126" t="str">
        <f>_xlfn.XLOOKUP(Table1[[#This Row],[city]],Table4[city],Table4[id_city])</f>
        <v>KOA0105</v>
      </c>
      <c r="J126" t="s">
        <v>1221</v>
      </c>
      <c r="K126" t="str">
        <f>_xlfn.XLOOKUP(Table1[[#This Row],[menu_name]],Table5[menu_name],Table5[id_menu])</f>
        <v>MENU005</v>
      </c>
      <c r="L126" t="s">
        <v>1227</v>
      </c>
      <c r="M126" t="str">
        <f>_xlfn.XLOOKUP(Table1[[#This Row],[category]],Table6[category],Table6[id_category])</f>
        <v>KTG0206</v>
      </c>
      <c r="N126" t="s">
        <v>1234</v>
      </c>
      <c r="O126">
        <v>5</v>
      </c>
      <c r="P126">
        <v>23000</v>
      </c>
      <c r="Q126">
        <v>0</v>
      </c>
      <c r="R126">
        <v>3.6</v>
      </c>
      <c r="S126" t="str">
        <f>_xlfn.XLOOKUP(Table1[[#This Row],[method]],Table7[method],Table7[id_method])</f>
        <v>PAY0711</v>
      </c>
      <c r="T126" t="s">
        <v>1238</v>
      </c>
      <c r="U126">
        <v>115000</v>
      </c>
    </row>
    <row r="127" spans="1:21" x14ac:dyDescent="0.25">
      <c r="A127" t="s">
        <v>139</v>
      </c>
      <c r="B127" t="str">
        <f>_xlfn.XLOOKUP(Table1[[#This Row],[date]],Table8[date],Table8[id_date])</f>
        <v>TGL0561</v>
      </c>
      <c r="C127" s="1">
        <v>45369</v>
      </c>
      <c r="D127" s="1" t="str">
        <f>_xlfn.XLOOKUP(Table1[[#This Row],[customer_name]],Table11[customer_name],Table11[id_cust])</f>
        <v>CNA0150</v>
      </c>
      <c r="E127" t="s">
        <v>1059</v>
      </c>
      <c r="F127">
        <v>24</v>
      </c>
      <c r="G127" t="str">
        <f>_xlfn.XLOOKUP(Table1[[#This Row],[branch_name]],Table3[branch_name],Table3[id_branch])</f>
        <v>BRCH002</v>
      </c>
      <c r="H127" t="s">
        <v>1214</v>
      </c>
      <c r="I127" t="str">
        <f>_xlfn.XLOOKUP(Table1[[#This Row],[city]],Table4[city],Table4[id_city])</f>
        <v>KOA0103</v>
      </c>
      <c r="J127" t="s">
        <v>1219</v>
      </c>
      <c r="K127" t="str">
        <f>_xlfn.XLOOKUP(Table1[[#This Row],[menu_name]],Table5[menu_name],Table5[id_menu])</f>
        <v>MENU009</v>
      </c>
      <c r="L127" t="s">
        <v>1231</v>
      </c>
      <c r="M127" t="str">
        <f>_xlfn.XLOOKUP(Table1[[#This Row],[category]],Table6[category],Table6[id_category])</f>
        <v>KTG0206</v>
      </c>
      <c r="N127" t="s">
        <v>1234</v>
      </c>
      <c r="O127">
        <v>2</v>
      </c>
      <c r="P127">
        <v>18000</v>
      </c>
      <c r="Q127">
        <v>5</v>
      </c>
      <c r="R127">
        <v>1.5</v>
      </c>
      <c r="S127" t="str">
        <f>_xlfn.XLOOKUP(Table1[[#This Row],[method]],Table7[method],Table7[id_method])</f>
        <v>PAY0710</v>
      </c>
      <c r="T127" t="s">
        <v>1237</v>
      </c>
      <c r="U127">
        <v>34200</v>
      </c>
    </row>
    <row r="128" spans="1:21" x14ac:dyDescent="0.25">
      <c r="A128" t="s">
        <v>140</v>
      </c>
      <c r="B128" t="str">
        <f>_xlfn.XLOOKUP(Table1[[#This Row],[date]],Table8[date],Table8[id_date])</f>
        <v>TGL0562</v>
      </c>
      <c r="C128" s="1">
        <v>45371</v>
      </c>
      <c r="D128" s="1" t="str">
        <f>_xlfn.XLOOKUP(Table1[[#This Row],[customer_name]],Table11[customer_name],Table11[id_cust])</f>
        <v>CNA0227</v>
      </c>
      <c r="E128" t="s">
        <v>1113</v>
      </c>
      <c r="F128">
        <v>17</v>
      </c>
      <c r="G128" t="str">
        <f>_xlfn.XLOOKUP(Table1[[#This Row],[branch_name]],Table3[branch_name],Table3[id_branch])</f>
        <v>BRCH005</v>
      </c>
      <c r="H128" t="s">
        <v>1217</v>
      </c>
      <c r="I128" t="str">
        <f>_xlfn.XLOOKUP(Table1[[#This Row],[city]],Table4[city],Table4[id_city])</f>
        <v>KOA0106</v>
      </c>
      <c r="J128" t="s">
        <v>1222</v>
      </c>
      <c r="K128" t="str">
        <f>_xlfn.XLOOKUP(Table1[[#This Row],[menu_name]],Table5[menu_name],Table5[id_menu])</f>
        <v>MENU002</v>
      </c>
      <c r="L128" t="s">
        <v>1224</v>
      </c>
      <c r="M128" t="str">
        <f>_xlfn.XLOOKUP(Table1[[#This Row],[category]],Table6[category],Table6[id_category])</f>
        <v>KTG0206</v>
      </c>
      <c r="N128" t="s">
        <v>1234</v>
      </c>
      <c r="O128">
        <v>1</v>
      </c>
      <c r="P128">
        <v>30000</v>
      </c>
      <c r="Q128">
        <v>0</v>
      </c>
      <c r="R128">
        <v>1.9</v>
      </c>
      <c r="S128" t="str">
        <f>_xlfn.XLOOKUP(Table1[[#This Row],[method]],Table7[method],Table7[id_method])</f>
        <v>PAY0711</v>
      </c>
      <c r="T128" t="s">
        <v>1238</v>
      </c>
      <c r="U128">
        <v>30000</v>
      </c>
    </row>
    <row r="129" spans="1:21" x14ac:dyDescent="0.25">
      <c r="A129" t="s">
        <v>141</v>
      </c>
      <c r="B129" t="str">
        <f>_xlfn.XLOOKUP(Table1[[#This Row],[date]],Table8[date],Table8[id_date])</f>
        <v>TGL0563</v>
      </c>
      <c r="C129" s="1">
        <v>45372</v>
      </c>
      <c r="D129" s="1" t="str">
        <f>_xlfn.XLOOKUP(Table1[[#This Row],[customer_name]],Table11[customer_name],Table11[id_cust])</f>
        <v>CNA0228</v>
      </c>
      <c r="E129" t="s">
        <v>1114</v>
      </c>
      <c r="F129">
        <v>40</v>
      </c>
      <c r="G129" t="str">
        <f>_xlfn.XLOOKUP(Table1[[#This Row],[branch_name]],Table3[branch_name],Table3[id_branch])</f>
        <v>BRCH004</v>
      </c>
      <c r="H129" t="s">
        <v>1216</v>
      </c>
      <c r="I129" t="str">
        <f>_xlfn.XLOOKUP(Table1[[#This Row],[city]],Table4[city],Table4[id_city])</f>
        <v>KOA0105</v>
      </c>
      <c r="J129" t="s">
        <v>1221</v>
      </c>
      <c r="K129" t="str">
        <f>_xlfn.XLOOKUP(Table1[[#This Row],[menu_name]],Table5[menu_name],Table5[id_menu])</f>
        <v>MENU007</v>
      </c>
      <c r="L129" t="s">
        <v>1229</v>
      </c>
      <c r="M129" t="str">
        <f>_xlfn.XLOOKUP(Table1[[#This Row],[category]],Table6[category],Table6[id_category])</f>
        <v>KTG0207</v>
      </c>
      <c r="N129" t="s">
        <v>1235</v>
      </c>
      <c r="O129">
        <v>3</v>
      </c>
      <c r="P129">
        <v>27000</v>
      </c>
      <c r="Q129">
        <v>0</v>
      </c>
      <c r="R129">
        <v>3.5</v>
      </c>
      <c r="S129" t="str">
        <f>_xlfn.XLOOKUP(Table1[[#This Row],[method]],Table7[method],Table7[id_method])</f>
        <v>PAY0712</v>
      </c>
      <c r="T129" t="s">
        <v>1239</v>
      </c>
      <c r="U129">
        <v>81000</v>
      </c>
    </row>
    <row r="130" spans="1:21" x14ac:dyDescent="0.25">
      <c r="A130" t="s">
        <v>142</v>
      </c>
      <c r="B130" t="str">
        <f>_xlfn.XLOOKUP(Table1[[#This Row],[date]],Table8[date],Table8[id_date])</f>
        <v>TGL0564</v>
      </c>
      <c r="C130" s="1">
        <v>45374</v>
      </c>
      <c r="D130" s="1" t="str">
        <f>_xlfn.XLOOKUP(Table1[[#This Row],[customer_name]],Table11[customer_name],Table11[id_cust])</f>
        <v>CNA0118</v>
      </c>
      <c r="E130" t="s">
        <v>1031</v>
      </c>
      <c r="F130">
        <v>22</v>
      </c>
      <c r="G130" t="str">
        <f>_xlfn.XLOOKUP(Table1[[#This Row],[branch_name]],Table3[branch_name],Table3[id_branch])</f>
        <v>BRCH004</v>
      </c>
      <c r="H130" t="s">
        <v>1216</v>
      </c>
      <c r="I130" t="str">
        <f>_xlfn.XLOOKUP(Table1[[#This Row],[city]],Table4[city],Table4[id_city])</f>
        <v>KOA0105</v>
      </c>
      <c r="J130" t="s">
        <v>1221</v>
      </c>
      <c r="K130" t="str">
        <f>_xlfn.XLOOKUP(Table1[[#This Row],[menu_name]],Table5[menu_name],Table5[id_menu])</f>
        <v>MENU004</v>
      </c>
      <c r="L130" t="s">
        <v>1226</v>
      </c>
      <c r="M130" t="str">
        <f>_xlfn.XLOOKUP(Table1[[#This Row],[category]],Table6[category],Table6[id_category])</f>
        <v>KTG0207</v>
      </c>
      <c r="N130" t="s">
        <v>1235</v>
      </c>
      <c r="O130">
        <v>5</v>
      </c>
      <c r="P130">
        <v>28000</v>
      </c>
      <c r="Q130">
        <v>20</v>
      </c>
      <c r="R130">
        <v>1.4</v>
      </c>
      <c r="S130" t="str">
        <f>_xlfn.XLOOKUP(Table1[[#This Row],[method]],Table7[method],Table7[id_method])</f>
        <v>PAY0711</v>
      </c>
      <c r="T130" t="s">
        <v>1238</v>
      </c>
      <c r="U130">
        <v>112000</v>
      </c>
    </row>
    <row r="131" spans="1:21" x14ac:dyDescent="0.25">
      <c r="A131" t="s">
        <v>143</v>
      </c>
      <c r="B131" t="str">
        <f>_xlfn.XLOOKUP(Table1[[#This Row],[date]],Table8[date],Table8[id_date])</f>
        <v>TGL0565</v>
      </c>
      <c r="C131" s="1">
        <v>45375</v>
      </c>
      <c r="D131" s="1" t="str">
        <f>_xlfn.XLOOKUP(Table1[[#This Row],[customer_name]],Table11[customer_name],Table11[id_cust])</f>
        <v>CNA0230</v>
      </c>
      <c r="E131" t="s">
        <v>1115</v>
      </c>
      <c r="F131">
        <v>23</v>
      </c>
      <c r="G131" t="str">
        <f>_xlfn.XLOOKUP(Table1[[#This Row],[branch_name]],Table3[branch_name],Table3[id_branch])</f>
        <v>BRCH005</v>
      </c>
      <c r="H131" t="s">
        <v>1217</v>
      </c>
      <c r="I131" t="str">
        <f>_xlfn.XLOOKUP(Table1[[#This Row],[city]],Table4[city],Table4[id_city])</f>
        <v>KOA0106</v>
      </c>
      <c r="J131" t="s">
        <v>1222</v>
      </c>
      <c r="K131" t="str">
        <f>_xlfn.XLOOKUP(Table1[[#This Row],[menu_name]],Table5[menu_name],Table5[id_menu])</f>
        <v>MENU010</v>
      </c>
      <c r="L131" t="s">
        <v>1232</v>
      </c>
      <c r="M131" t="str">
        <f>_xlfn.XLOOKUP(Table1[[#This Row],[category]],Table6[category],Table6[id_category])</f>
        <v>KTG0205</v>
      </c>
      <c r="N131" t="s">
        <v>1233</v>
      </c>
      <c r="O131">
        <v>2</v>
      </c>
      <c r="P131">
        <v>18000</v>
      </c>
      <c r="Q131">
        <v>10</v>
      </c>
      <c r="R131">
        <v>1.3</v>
      </c>
      <c r="S131" t="str">
        <f>_xlfn.XLOOKUP(Table1[[#This Row],[method]],Table7[method],Table7[id_method])</f>
        <v>PAY0709</v>
      </c>
      <c r="T131" t="s">
        <v>1236</v>
      </c>
      <c r="U131">
        <v>32400</v>
      </c>
    </row>
    <row r="132" spans="1:21" x14ac:dyDescent="0.25">
      <c r="A132" t="s">
        <v>144</v>
      </c>
      <c r="B132" t="str">
        <f>_xlfn.XLOOKUP(Table1[[#This Row],[date]],Table8[date],Table8[id_date])</f>
        <v>TGL0566</v>
      </c>
      <c r="C132" s="1">
        <v>45376</v>
      </c>
      <c r="D132" s="1" t="str">
        <f>_xlfn.XLOOKUP(Table1[[#This Row],[customer_name]],Table11[customer_name],Table11[id_cust])</f>
        <v>CNA0212</v>
      </c>
      <c r="E132" t="s">
        <v>1104</v>
      </c>
      <c r="F132">
        <v>39</v>
      </c>
      <c r="G132" t="str">
        <f>_xlfn.XLOOKUP(Table1[[#This Row],[branch_name]],Table3[branch_name],Table3[id_branch])</f>
        <v>BRCH002</v>
      </c>
      <c r="H132" t="s">
        <v>1214</v>
      </c>
      <c r="I132" t="str">
        <f>_xlfn.XLOOKUP(Table1[[#This Row],[city]],Table4[city],Table4[id_city])</f>
        <v>KOA0103</v>
      </c>
      <c r="J132" t="s">
        <v>1219</v>
      </c>
      <c r="K132" t="str">
        <f>_xlfn.XLOOKUP(Table1[[#This Row],[menu_name]],Table5[menu_name],Table5[id_menu])</f>
        <v>MENU006</v>
      </c>
      <c r="L132" t="s">
        <v>1228</v>
      </c>
      <c r="M132" t="str">
        <f>_xlfn.XLOOKUP(Table1[[#This Row],[category]],Table6[category],Table6[id_category])</f>
        <v>KTG0206</v>
      </c>
      <c r="N132" t="s">
        <v>1234</v>
      </c>
      <c r="O132">
        <v>4</v>
      </c>
      <c r="P132">
        <v>32000</v>
      </c>
      <c r="Q132">
        <v>0</v>
      </c>
      <c r="R132">
        <v>1.1000000000000001</v>
      </c>
      <c r="S132" t="str">
        <f>_xlfn.XLOOKUP(Table1[[#This Row],[method]],Table7[method],Table7[id_method])</f>
        <v>PAY0709</v>
      </c>
      <c r="T132" t="s">
        <v>1236</v>
      </c>
      <c r="U132">
        <v>128000</v>
      </c>
    </row>
    <row r="133" spans="1:21" x14ac:dyDescent="0.25">
      <c r="A133" t="s">
        <v>145</v>
      </c>
      <c r="B133" t="str">
        <f>_xlfn.XLOOKUP(Table1[[#This Row],[date]],Table8[date],Table8[id_date])</f>
        <v>TGL0567</v>
      </c>
      <c r="C133" s="1">
        <v>45377</v>
      </c>
      <c r="D133" s="1" t="str">
        <f>_xlfn.XLOOKUP(Table1[[#This Row],[customer_name]],Table11[customer_name],Table11[id_cust])</f>
        <v>CNA0232</v>
      </c>
      <c r="E133" t="s">
        <v>1116</v>
      </c>
      <c r="F133">
        <v>17</v>
      </c>
      <c r="G133" t="str">
        <f>_xlfn.XLOOKUP(Table1[[#This Row],[branch_name]],Table3[branch_name],Table3[id_branch])</f>
        <v>BRCH002</v>
      </c>
      <c r="H133" t="s">
        <v>1214</v>
      </c>
      <c r="I133" t="str">
        <f>_xlfn.XLOOKUP(Table1[[#This Row],[city]],Table4[city],Table4[id_city])</f>
        <v>KOA0103</v>
      </c>
      <c r="J133" t="s">
        <v>1219</v>
      </c>
      <c r="K133" t="str">
        <f>_xlfn.XLOOKUP(Table1[[#This Row],[menu_name]],Table5[menu_name],Table5[id_menu])</f>
        <v>MENU009</v>
      </c>
      <c r="L133" t="s">
        <v>1231</v>
      </c>
      <c r="M133" t="str">
        <f>_xlfn.XLOOKUP(Table1[[#This Row],[category]],Table6[category],Table6[id_category])</f>
        <v>KTG0206</v>
      </c>
      <c r="N133" t="s">
        <v>1234</v>
      </c>
      <c r="O133">
        <v>2</v>
      </c>
      <c r="P133">
        <v>18000</v>
      </c>
      <c r="Q133">
        <v>10</v>
      </c>
      <c r="R133">
        <v>1.5</v>
      </c>
      <c r="S133" t="str">
        <f>_xlfn.XLOOKUP(Table1[[#This Row],[method]],Table7[method],Table7[id_method])</f>
        <v>PAY0709</v>
      </c>
      <c r="T133" t="s">
        <v>1236</v>
      </c>
      <c r="U133">
        <v>32400</v>
      </c>
    </row>
    <row r="134" spans="1:21" x14ac:dyDescent="0.25">
      <c r="A134" t="s">
        <v>146</v>
      </c>
      <c r="B134" t="str">
        <f>_xlfn.XLOOKUP(Table1[[#This Row],[date]],Table8[date],Table8[id_date])</f>
        <v>TGL0567</v>
      </c>
      <c r="C134" s="1">
        <v>45377</v>
      </c>
      <c r="D134" s="1" t="str">
        <f>_xlfn.XLOOKUP(Table1[[#This Row],[customer_name]],Table11[customer_name],Table11[id_cust])</f>
        <v>CNA0233</v>
      </c>
      <c r="E134" t="s">
        <v>1117</v>
      </c>
      <c r="F134">
        <v>18</v>
      </c>
      <c r="G134" t="str">
        <f>_xlfn.XLOOKUP(Table1[[#This Row],[branch_name]],Table3[branch_name],Table3[id_branch])</f>
        <v>BRCH002</v>
      </c>
      <c r="H134" t="s">
        <v>1214</v>
      </c>
      <c r="I134" t="str">
        <f>_xlfn.XLOOKUP(Table1[[#This Row],[city]],Table4[city],Table4[id_city])</f>
        <v>KOA0103</v>
      </c>
      <c r="J134" t="s">
        <v>1219</v>
      </c>
      <c r="K134" t="str">
        <f>_xlfn.XLOOKUP(Table1[[#This Row],[menu_name]],Table5[menu_name],Table5[id_menu])</f>
        <v>MENU008</v>
      </c>
      <c r="L134" t="s">
        <v>1230</v>
      </c>
      <c r="M134" t="str">
        <f>_xlfn.XLOOKUP(Table1[[#This Row],[category]],Table6[category],Table6[id_category])</f>
        <v>KTG0205</v>
      </c>
      <c r="N134" t="s">
        <v>1233</v>
      </c>
      <c r="O134">
        <v>1</v>
      </c>
      <c r="P134">
        <v>20000</v>
      </c>
      <c r="Q134">
        <v>15</v>
      </c>
      <c r="R134">
        <v>2.6</v>
      </c>
      <c r="S134" t="str">
        <f>_xlfn.XLOOKUP(Table1[[#This Row],[method]],Table7[method],Table7[id_method])</f>
        <v>PAY0711</v>
      </c>
      <c r="T134" t="s">
        <v>1238</v>
      </c>
      <c r="U134">
        <v>17000</v>
      </c>
    </row>
    <row r="135" spans="1:21" x14ac:dyDescent="0.25">
      <c r="A135" t="s">
        <v>147</v>
      </c>
      <c r="B135" t="str">
        <f>_xlfn.XLOOKUP(Table1[[#This Row],[date]],Table8[date],Table8[id_date])</f>
        <v>TGL0568</v>
      </c>
      <c r="C135" s="1">
        <v>45378</v>
      </c>
      <c r="D135" s="1" t="str">
        <f>_xlfn.XLOOKUP(Table1[[#This Row],[customer_name]],Table11[customer_name],Table11[id_cust])</f>
        <v>CNA0234</v>
      </c>
      <c r="E135" t="s">
        <v>1118</v>
      </c>
      <c r="F135">
        <v>37</v>
      </c>
      <c r="G135" t="str">
        <f>_xlfn.XLOOKUP(Table1[[#This Row],[branch_name]],Table3[branch_name],Table3[id_branch])</f>
        <v>BRCH004</v>
      </c>
      <c r="H135" t="s">
        <v>1216</v>
      </c>
      <c r="I135" t="str">
        <f>_xlfn.XLOOKUP(Table1[[#This Row],[city]],Table4[city],Table4[id_city])</f>
        <v>KOA0105</v>
      </c>
      <c r="J135" t="s">
        <v>1221</v>
      </c>
      <c r="K135" t="str">
        <f>_xlfn.XLOOKUP(Table1[[#This Row],[menu_name]],Table5[menu_name],Table5[id_menu])</f>
        <v>MENU009</v>
      </c>
      <c r="L135" t="s">
        <v>1231</v>
      </c>
      <c r="M135" t="str">
        <f>_xlfn.XLOOKUP(Table1[[#This Row],[category]],Table6[category],Table6[id_category])</f>
        <v>KTG0206</v>
      </c>
      <c r="N135" t="s">
        <v>1234</v>
      </c>
      <c r="O135">
        <v>5</v>
      </c>
      <c r="P135">
        <v>18000</v>
      </c>
      <c r="Q135">
        <v>0</v>
      </c>
      <c r="R135">
        <v>4.4000000000000004</v>
      </c>
      <c r="S135" t="str">
        <f>_xlfn.XLOOKUP(Table1[[#This Row],[method]],Table7[method],Table7[id_method])</f>
        <v>PAY0711</v>
      </c>
      <c r="T135" t="s">
        <v>1238</v>
      </c>
      <c r="U135">
        <v>90000</v>
      </c>
    </row>
    <row r="136" spans="1:21" x14ac:dyDescent="0.25">
      <c r="A136" t="s">
        <v>148</v>
      </c>
      <c r="B136" t="str">
        <f>_xlfn.XLOOKUP(Table1[[#This Row],[date]],Table8[date],Table8[id_date])</f>
        <v>TGL0569</v>
      </c>
      <c r="C136" s="1">
        <v>45379</v>
      </c>
      <c r="D136" s="1" t="str">
        <f>_xlfn.XLOOKUP(Table1[[#This Row],[customer_name]],Table11[customer_name],Table11[id_cust])</f>
        <v>CNA0235</v>
      </c>
      <c r="E136" t="s">
        <v>1119</v>
      </c>
      <c r="F136">
        <v>44</v>
      </c>
      <c r="G136" t="str">
        <f>_xlfn.XLOOKUP(Table1[[#This Row],[branch_name]],Table3[branch_name],Table3[id_branch])</f>
        <v>BRCH004</v>
      </c>
      <c r="H136" t="s">
        <v>1216</v>
      </c>
      <c r="I136" t="str">
        <f>_xlfn.XLOOKUP(Table1[[#This Row],[city]],Table4[city],Table4[id_city])</f>
        <v>KOA0105</v>
      </c>
      <c r="J136" t="s">
        <v>1221</v>
      </c>
      <c r="K136" t="str">
        <f>_xlfn.XLOOKUP(Table1[[#This Row],[menu_name]],Table5[menu_name],Table5[id_menu])</f>
        <v>MENU007</v>
      </c>
      <c r="L136" t="s">
        <v>1229</v>
      </c>
      <c r="M136" t="str">
        <f>_xlfn.XLOOKUP(Table1[[#This Row],[category]],Table6[category],Table6[id_category])</f>
        <v>KTG0207</v>
      </c>
      <c r="N136" t="s">
        <v>1235</v>
      </c>
      <c r="O136">
        <v>1</v>
      </c>
      <c r="P136">
        <v>27000</v>
      </c>
      <c r="Q136">
        <v>10</v>
      </c>
      <c r="R136">
        <v>3.5</v>
      </c>
      <c r="S136" t="str">
        <f>_xlfn.XLOOKUP(Table1[[#This Row],[method]],Table7[method],Table7[id_method])</f>
        <v>PAY0711</v>
      </c>
      <c r="T136" t="s">
        <v>1238</v>
      </c>
      <c r="U136">
        <v>24300</v>
      </c>
    </row>
    <row r="137" spans="1:21" x14ac:dyDescent="0.25">
      <c r="A137" t="s">
        <v>149</v>
      </c>
      <c r="B137" t="str">
        <f>_xlfn.XLOOKUP(Table1[[#This Row],[date]],Table8[date],Table8[id_date])</f>
        <v>TGL0570</v>
      </c>
      <c r="C137" s="1">
        <v>45380</v>
      </c>
      <c r="D137" s="1" t="str">
        <f>_xlfn.XLOOKUP(Table1[[#This Row],[customer_name]],Table11[customer_name],Table11[id_cust])</f>
        <v>CNA0236</v>
      </c>
      <c r="E137" t="s">
        <v>1120</v>
      </c>
      <c r="F137">
        <v>20</v>
      </c>
      <c r="G137" t="str">
        <f>_xlfn.XLOOKUP(Table1[[#This Row],[branch_name]],Table3[branch_name],Table3[id_branch])</f>
        <v>BRCH001</v>
      </c>
      <c r="H137" t="s">
        <v>1213</v>
      </c>
      <c r="I137" t="str">
        <f>_xlfn.XLOOKUP(Table1[[#This Row],[city]],Table4[city],Table4[id_city])</f>
        <v>KOA0102</v>
      </c>
      <c r="J137" t="s">
        <v>1218</v>
      </c>
      <c r="K137" t="str">
        <f>_xlfn.XLOOKUP(Table1[[#This Row],[menu_name]],Table5[menu_name],Table5[id_menu])</f>
        <v>MENU002</v>
      </c>
      <c r="L137" t="s">
        <v>1224</v>
      </c>
      <c r="M137" t="str">
        <f>_xlfn.XLOOKUP(Table1[[#This Row],[category]],Table6[category],Table6[id_category])</f>
        <v>KTG0206</v>
      </c>
      <c r="N137" t="s">
        <v>1234</v>
      </c>
      <c r="O137">
        <v>3</v>
      </c>
      <c r="P137">
        <v>30000</v>
      </c>
      <c r="Q137">
        <v>0</v>
      </c>
      <c r="R137">
        <v>1.9</v>
      </c>
      <c r="S137" t="str">
        <f>_xlfn.XLOOKUP(Table1[[#This Row],[method]],Table7[method],Table7[id_method])</f>
        <v>PAY0709</v>
      </c>
      <c r="T137" t="s">
        <v>1236</v>
      </c>
      <c r="U137">
        <v>90000</v>
      </c>
    </row>
    <row r="138" spans="1:21" x14ac:dyDescent="0.25">
      <c r="A138" t="s">
        <v>150</v>
      </c>
      <c r="B138" t="str">
        <f>_xlfn.XLOOKUP(Table1[[#This Row],[date]],Table8[date],Table8[id_date])</f>
        <v>TGL0571</v>
      </c>
      <c r="C138" s="1">
        <v>45381</v>
      </c>
      <c r="D138" s="1" t="str">
        <f>_xlfn.XLOOKUP(Table1[[#This Row],[customer_name]],Table11[customer_name],Table11[id_cust])</f>
        <v>CNA0188</v>
      </c>
      <c r="E138" t="s">
        <v>1090</v>
      </c>
      <c r="F138">
        <v>19</v>
      </c>
      <c r="G138" t="str">
        <f>_xlfn.XLOOKUP(Table1[[#This Row],[branch_name]],Table3[branch_name],Table3[id_branch])</f>
        <v>BRCH005</v>
      </c>
      <c r="H138" t="s">
        <v>1217</v>
      </c>
      <c r="I138" t="str">
        <f>_xlfn.XLOOKUP(Table1[[#This Row],[city]],Table4[city],Table4[id_city])</f>
        <v>KOA0106</v>
      </c>
      <c r="J138" t="s">
        <v>1222</v>
      </c>
      <c r="K138" t="str">
        <f>_xlfn.XLOOKUP(Table1[[#This Row],[menu_name]],Table5[menu_name],Table5[id_menu])</f>
        <v>MENU005</v>
      </c>
      <c r="L138" t="s">
        <v>1227</v>
      </c>
      <c r="M138" t="str">
        <f>_xlfn.XLOOKUP(Table1[[#This Row],[category]],Table6[category],Table6[id_category])</f>
        <v>KTG0206</v>
      </c>
      <c r="N138" t="s">
        <v>1234</v>
      </c>
      <c r="O138">
        <v>2</v>
      </c>
      <c r="P138">
        <v>23000</v>
      </c>
      <c r="Q138">
        <v>0</v>
      </c>
      <c r="R138">
        <v>1.4</v>
      </c>
      <c r="S138" t="str">
        <f>_xlfn.XLOOKUP(Table1[[#This Row],[method]],Table7[method],Table7[id_method])</f>
        <v>PAY0711</v>
      </c>
      <c r="T138" t="s">
        <v>1238</v>
      </c>
      <c r="U138">
        <v>46000</v>
      </c>
    </row>
    <row r="139" spans="1:21" x14ac:dyDescent="0.25">
      <c r="A139" t="s">
        <v>151</v>
      </c>
      <c r="B139" t="str">
        <f>_xlfn.XLOOKUP(Table1[[#This Row],[date]],Table8[date],Table8[id_date])</f>
        <v>TGL0571</v>
      </c>
      <c r="C139" s="1">
        <v>45381</v>
      </c>
      <c r="D139" s="1" t="str">
        <f>_xlfn.XLOOKUP(Table1[[#This Row],[customer_name]],Table11[customer_name],Table11[id_cust])</f>
        <v>CNA0201</v>
      </c>
      <c r="E139" t="s">
        <v>1096</v>
      </c>
      <c r="F139">
        <v>23</v>
      </c>
      <c r="G139" t="str">
        <f>_xlfn.XLOOKUP(Table1[[#This Row],[branch_name]],Table3[branch_name],Table3[id_branch])</f>
        <v>BRCH002</v>
      </c>
      <c r="H139" t="s">
        <v>1214</v>
      </c>
      <c r="I139" t="str">
        <f>_xlfn.XLOOKUP(Table1[[#This Row],[city]],Table4[city],Table4[id_city])</f>
        <v>KOA0103</v>
      </c>
      <c r="J139" t="s">
        <v>1219</v>
      </c>
      <c r="K139" t="str">
        <f>_xlfn.XLOOKUP(Table1[[#This Row],[menu_name]],Table5[menu_name],Table5[id_menu])</f>
        <v>MENU005</v>
      </c>
      <c r="L139" t="s">
        <v>1227</v>
      </c>
      <c r="M139" t="str">
        <f>_xlfn.XLOOKUP(Table1[[#This Row],[category]],Table6[category],Table6[id_category])</f>
        <v>KTG0206</v>
      </c>
      <c r="N139" t="s">
        <v>1234</v>
      </c>
      <c r="O139">
        <v>2</v>
      </c>
      <c r="P139">
        <v>23000</v>
      </c>
      <c r="Q139">
        <v>0</v>
      </c>
      <c r="R139">
        <v>4.7</v>
      </c>
      <c r="S139" t="str">
        <f>_xlfn.XLOOKUP(Table1[[#This Row],[method]],Table7[method],Table7[id_method])</f>
        <v>PAY0711</v>
      </c>
      <c r="T139" t="s">
        <v>1238</v>
      </c>
      <c r="U139">
        <v>46000</v>
      </c>
    </row>
    <row r="140" spans="1:21" x14ac:dyDescent="0.25">
      <c r="A140" t="s">
        <v>152</v>
      </c>
      <c r="B140" t="str">
        <f>_xlfn.XLOOKUP(Table1[[#This Row],[date]],Table8[date],Table8[id_date])</f>
        <v>TGL0571</v>
      </c>
      <c r="C140" s="1">
        <v>45381</v>
      </c>
      <c r="D140" s="1" t="str">
        <f>_xlfn.XLOOKUP(Table1[[#This Row],[customer_name]],Table11[customer_name],Table11[id_cust])</f>
        <v>CNA0239</v>
      </c>
      <c r="E140" t="s">
        <v>1121</v>
      </c>
      <c r="F140">
        <v>23</v>
      </c>
      <c r="G140" t="str">
        <f>_xlfn.XLOOKUP(Table1[[#This Row],[branch_name]],Table3[branch_name],Table3[id_branch])</f>
        <v>BRCH005</v>
      </c>
      <c r="H140" t="s">
        <v>1217</v>
      </c>
      <c r="I140" t="str">
        <f>_xlfn.XLOOKUP(Table1[[#This Row],[city]],Table4[city],Table4[id_city])</f>
        <v>KOA0106</v>
      </c>
      <c r="J140" t="s">
        <v>1222</v>
      </c>
      <c r="K140" t="str">
        <f>_xlfn.XLOOKUP(Table1[[#This Row],[menu_name]],Table5[menu_name],Table5[id_menu])</f>
        <v>MENU006</v>
      </c>
      <c r="L140" t="s">
        <v>1228</v>
      </c>
      <c r="M140" t="str">
        <f>_xlfn.XLOOKUP(Table1[[#This Row],[category]],Table6[category],Table6[id_category])</f>
        <v>KTG0206</v>
      </c>
      <c r="N140" t="s">
        <v>1234</v>
      </c>
      <c r="O140">
        <v>4</v>
      </c>
      <c r="P140">
        <v>32000</v>
      </c>
      <c r="Q140">
        <v>5</v>
      </c>
      <c r="R140">
        <v>4.7</v>
      </c>
      <c r="S140" t="str">
        <f>_xlfn.XLOOKUP(Table1[[#This Row],[method]],Table7[method],Table7[id_method])</f>
        <v>PAY0712</v>
      </c>
      <c r="T140" t="s">
        <v>1239</v>
      </c>
      <c r="U140">
        <v>121600</v>
      </c>
    </row>
    <row r="141" spans="1:21" x14ac:dyDescent="0.25">
      <c r="A141" t="s">
        <v>153</v>
      </c>
      <c r="B141" t="str">
        <f>_xlfn.XLOOKUP(Table1[[#This Row],[date]],Table8[date],Table8[id_date])</f>
        <v>TGL0572</v>
      </c>
      <c r="C141" s="1">
        <v>45382</v>
      </c>
      <c r="D141" s="1" t="str">
        <f>_xlfn.XLOOKUP(Table1[[#This Row],[customer_name]],Table11[customer_name],Table11[id_cust])</f>
        <v>CNA0240</v>
      </c>
      <c r="E141" t="s">
        <v>1122</v>
      </c>
      <c r="F141">
        <v>47</v>
      </c>
      <c r="G141" t="str">
        <f>_xlfn.XLOOKUP(Table1[[#This Row],[branch_name]],Table3[branch_name],Table3[id_branch])</f>
        <v>BRCH004</v>
      </c>
      <c r="H141" t="s">
        <v>1216</v>
      </c>
      <c r="I141" t="str">
        <f>_xlfn.XLOOKUP(Table1[[#This Row],[city]],Table4[city],Table4[id_city])</f>
        <v>KOA0105</v>
      </c>
      <c r="J141" t="s">
        <v>1221</v>
      </c>
      <c r="K141" t="str">
        <f>_xlfn.XLOOKUP(Table1[[#This Row],[menu_name]],Table5[menu_name],Table5[id_menu])</f>
        <v>MENU009</v>
      </c>
      <c r="L141" t="s">
        <v>1231</v>
      </c>
      <c r="M141" t="str">
        <f>_xlfn.XLOOKUP(Table1[[#This Row],[category]],Table6[category],Table6[id_category])</f>
        <v>KTG0206</v>
      </c>
      <c r="N141" t="s">
        <v>1234</v>
      </c>
      <c r="O141">
        <v>1</v>
      </c>
      <c r="P141">
        <v>18000</v>
      </c>
      <c r="Q141">
        <v>0</v>
      </c>
      <c r="R141">
        <v>4</v>
      </c>
      <c r="S141" t="str">
        <f>_xlfn.XLOOKUP(Table1[[#This Row],[method]],Table7[method],Table7[id_method])</f>
        <v>PAY0710</v>
      </c>
      <c r="T141" t="s">
        <v>1237</v>
      </c>
      <c r="U141">
        <v>18000</v>
      </c>
    </row>
    <row r="142" spans="1:21" x14ac:dyDescent="0.25">
      <c r="A142" t="s">
        <v>154</v>
      </c>
      <c r="B142" t="str">
        <f>_xlfn.XLOOKUP(Table1[[#This Row],[date]],Table8[date],Table8[id_date])</f>
        <v>TGL0573</v>
      </c>
      <c r="C142" s="1">
        <v>45383</v>
      </c>
      <c r="D142" s="1" t="str">
        <f>_xlfn.XLOOKUP(Table1[[#This Row],[customer_name]],Table11[customer_name],Table11[id_cust])</f>
        <v>CNA0118</v>
      </c>
      <c r="E142" t="s">
        <v>1031</v>
      </c>
      <c r="F142">
        <v>22</v>
      </c>
      <c r="G142" t="str">
        <f>_xlfn.XLOOKUP(Table1[[#This Row],[branch_name]],Table3[branch_name],Table3[id_branch])</f>
        <v>BRCH001</v>
      </c>
      <c r="H142" t="s">
        <v>1213</v>
      </c>
      <c r="I142" t="str">
        <f>_xlfn.XLOOKUP(Table1[[#This Row],[city]],Table4[city],Table4[id_city])</f>
        <v>KOA0102</v>
      </c>
      <c r="J142" t="s">
        <v>1218</v>
      </c>
      <c r="K142" t="str">
        <f>_xlfn.XLOOKUP(Table1[[#This Row],[menu_name]],Table5[menu_name],Table5[id_menu])</f>
        <v>MENU008</v>
      </c>
      <c r="L142" t="s">
        <v>1230</v>
      </c>
      <c r="M142" t="str">
        <f>_xlfn.XLOOKUP(Table1[[#This Row],[category]],Table6[category],Table6[id_category])</f>
        <v>KTG0205</v>
      </c>
      <c r="N142" t="s">
        <v>1233</v>
      </c>
      <c r="O142">
        <v>2</v>
      </c>
      <c r="P142">
        <v>20000</v>
      </c>
      <c r="Q142">
        <v>0</v>
      </c>
      <c r="R142">
        <v>3.1</v>
      </c>
      <c r="S142" t="str">
        <f>_xlfn.XLOOKUP(Table1[[#This Row],[method]],Table7[method],Table7[id_method])</f>
        <v>PAY0710</v>
      </c>
      <c r="T142" t="s">
        <v>1237</v>
      </c>
      <c r="U142">
        <v>40000</v>
      </c>
    </row>
    <row r="143" spans="1:21" x14ac:dyDescent="0.25">
      <c r="A143" t="s">
        <v>155</v>
      </c>
      <c r="B143" t="str">
        <f>_xlfn.XLOOKUP(Table1[[#This Row],[date]],Table8[date],Table8[id_date])</f>
        <v>TGL0574</v>
      </c>
      <c r="C143" s="1">
        <v>45384</v>
      </c>
      <c r="D143" s="1" t="str">
        <f>_xlfn.XLOOKUP(Table1[[#This Row],[customer_name]],Table11[customer_name],Table11[id_cust])</f>
        <v>CNA0242</v>
      </c>
      <c r="E143" t="s">
        <v>1123</v>
      </c>
      <c r="F143">
        <v>40</v>
      </c>
      <c r="G143" t="str">
        <f>_xlfn.XLOOKUP(Table1[[#This Row],[branch_name]],Table3[branch_name],Table3[id_branch])</f>
        <v>BRCH004</v>
      </c>
      <c r="H143" t="s">
        <v>1216</v>
      </c>
      <c r="I143" t="str">
        <f>_xlfn.XLOOKUP(Table1[[#This Row],[city]],Table4[city],Table4[id_city])</f>
        <v>KOA0105</v>
      </c>
      <c r="J143" t="s">
        <v>1221</v>
      </c>
      <c r="K143" t="str">
        <f>_xlfn.XLOOKUP(Table1[[#This Row],[menu_name]],Table5[menu_name],Table5[id_menu])</f>
        <v>MENU002</v>
      </c>
      <c r="L143" t="s">
        <v>1224</v>
      </c>
      <c r="M143" t="str">
        <f>_xlfn.XLOOKUP(Table1[[#This Row],[category]],Table6[category],Table6[id_category])</f>
        <v>KTG0206</v>
      </c>
      <c r="N143" t="s">
        <v>1234</v>
      </c>
      <c r="O143">
        <v>2</v>
      </c>
      <c r="P143">
        <v>30000</v>
      </c>
      <c r="Q143">
        <v>15</v>
      </c>
      <c r="R143">
        <v>3</v>
      </c>
      <c r="S143" t="str">
        <f>_xlfn.XLOOKUP(Table1[[#This Row],[method]],Table7[method],Table7[id_method])</f>
        <v>PAY0711</v>
      </c>
      <c r="T143" t="s">
        <v>1238</v>
      </c>
      <c r="U143">
        <v>51000</v>
      </c>
    </row>
    <row r="144" spans="1:21" x14ac:dyDescent="0.25">
      <c r="A144" t="s">
        <v>156</v>
      </c>
      <c r="B144" t="str">
        <f>_xlfn.XLOOKUP(Table1[[#This Row],[date]],Table8[date],Table8[id_date])</f>
        <v>TGL0575</v>
      </c>
      <c r="C144" s="1">
        <v>45385</v>
      </c>
      <c r="D144" s="1" t="str">
        <f>_xlfn.XLOOKUP(Table1[[#This Row],[customer_name]],Table11[customer_name],Table11[id_cust])</f>
        <v>CNA0140</v>
      </c>
      <c r="E144" t="s">
        <v>1051</v>
      </c>
      <c r="F144">
        <v>43</v>
      </c>
      <c r="G144" t="str">
        <f>_xlfn.XLOOKUP(Table1[[#This Row],[branch_name]],Table3[branch_name],Table3[id_branch])</f>
        <v>BRCH005</v>
      </c>
      <c r="H144" t="s">
        <v>1217</v>
      </c>
      <c r="I144" t="str">
        <f>_xlfn.XLOOKUP(Table1[[#This Row],[city]],Table4[city],Table4[id_city])</f>
        <v>KOA0106</v>
      </c>
      <c r="J144" t="s">
        <v>1222</v>
      </c>
      <c r="K144" t="str">
        <f>_xlfn.XLOOKUP(Table1[[#This Row],[menu_name]],Table5[menu_name],Table5[id_menu])</f>
        <v>MENU004</v>
      </c>
      <c r="L144" t="s">
        <v>1226</v>
      </c>
      <c r="M144" t="str">
        <f>_xlfn.XLOOKUP(Table1[[#This Row],[category]],Table6[category],Table6[id_category])</f>
        <v>KTG0207</v>
      </c>
      <c r="N144" t="s">
        <v>1235</v>
      </c>
      <c r="O144">
        <v>5</v>
      </c>
      <c r="P144">
        <v>28000</v>
      </c>
      <c r="Q144">
        <v>5</v>
      </c>
      <c r="R144">
        <v>2.8</v>
      </c>
      <c r="S144" t="str">
        <f>_xlfn.XLOOKUP(Table1[[#This Row],[method]],Table7[method],Table7[id_method])</f>
        <v>PAY0709</v>
      </c>
      <c r="T144" t="s">
        <v>1236</v>
      </c>
      <c r="U144">
        <v>133000</v>
      </c>
    </row>
    <row r="145" spans="1:21" x14ac:dyDescent="0.25">
      <c r="A145" t="s">
        <v>157</v>
      </c>
      <c r="B145" t="str">
        <f>_xlfn.XLOOKUP(Table1[[#This Row],[date]],Table8[date],Table8[id_date])</f>
        <v>TGL0576</v>
      </c>
      <c r="C145" s="1">
        <v>45386</v>
      </c>
      <c r="D145" s="1" t="str">
        <f>_xlfn.XLOOKUP(Table1[[#This Row],[customer_name]],Table11[customer_name],Table11[id_cust])</f>
        <v>CNA0244</v>
      </c>
      <c r="E145" t="s">
        <v>1124</v>
      </c>
      <c r="F145">
        <v>39</v>
      </c>
      <c r="G145" t="str">
        <f>_xlfn.XLOOKUP(Table1[[#This Row],[branch_name]],Table3[branch_name],Table3[id_branch])</f>
        <v>BRCH001</v>
      </c>
      <c r="H145" t="s">
        <v>1213</v>
      </c>
      <c r="I145" t="str">
        <f>_xlfn.XLOOKUP(Table1[[#This Row],[city]],Table4[city],Table4[id_city])</f>
        <v>KOA0102</v>
      </c>
      <c r="J145" t="s">
        <v>1218</v>
      </c>
      <c r="K145" t="str">
        <f>_xlfn.XLOOKUP(Table1[[#This Row],[menu_name]],Table5[menu_name],Table5[id_menu])</f>
        <v>MENU003</v>
      </c>
      <c r="L145" t="s">
        <v>1225</v>
      </c>
      <c r="M145" t="str">
        <f>_xlfn.XLOOKUP(Table1[[#This Row],[category]],Table6[category],Table6[id_category])</f>
        <v>KTG0205</v>
      </c>
      <c r="N145" t="s">
        <v>1233</v>
      </c>
      <c r="O145">
        <v>5</v>
      </c>
      <c r="P145">
        <v>22000</v>
      </c>
      <c r="Q145">
        <v>15</v>
      </c>
      <c r="R145">
        <v>4.4000000000000004</v>
      </c>
      <c r="S145" t="str">
        <f>_xlfn.XLOOKUP(Table1[[#This Row],[method]],Table7[method],Table7[id_method])</f>
        <v>PAY0712</v>
      </c>
      <c r="T145" t="s">
        <v>1239</v>
      </c>
      <c r="U145">
        <v>93500</v>
      </c>
    </row>
    <row r="146" spans="1:21" x14ac:dyDescent="0.25">
      <c r="A146" t="s">
        <v>158</v>
      </c>
      <c r="B146" t="str">
        <f>_xlfn.XLOOKUP(Table1[[#This Row],[date]],Table8[date],Table8[id_date])</f>
        <v>TGL0576</v>
      </c>
      <c r="C146" s="1">
        <v>45386</v>
      </c>
      <c r="D146" s="1" t="str">
        <f>_xlfn.XLOOKUP(Table1[[#This Row],[customer_name]],Table11[customer_name],Table11[id_cust])</f>
        <v>CNA0245</v>
      </c>
      <c r="E146" t="s">
        <v>1125</v>
      </c>
      <c r="F146">
        <v>40</v>
      </c>
      <c r="G146" t="str">
        <f>_xlfn.XLOOKUP(Table1[[#This Row],[branch_name]],Table3[branch_name],Table3[id_branch])</f>
        <v>BRCH003</v>
      </c>
      <c r="H146" t="s">
        <v>1215</v>
      </c>
      <c r="I146" t="str">
        <f>_xlfn.XLOOKUP(Table1[[#This Row],[city]],Table4[city],Table4[id_city])</f>
        <v>KOA0104</v>
      </c>
      <c r="J146" t="s">
        <v>1220</v>
      </c>
      <c r="K146" t="str">
        <f>_xlfn.XLOOKUP(Table1[[#This Row],[menu_name]],Table5[menu_name],Table5[id_menu])</f>
        <v>MENU002</v>
      </c>
      <c r="L146" t="s">
        <v>1224</v>
      </c>
      <c r="M146" t="str">
        <f>_xlfn.XLOOKUP(Table1[[#This Row],[category]],Table6[category],Table6[id_category])</f>
        <v>KTG0206</v>
      </c>
      <c r="N146" t="s">
        <v>1234</v>
      </c>
      <c r="O146">
        <v>2</v>
      </c>
      <c r="P146">
        <v>30000</v>
      </c>
      <c r="Q146">
        <v>10</v>
      </c>
      <c r="R146">
        <v>1.4</v>
      </c>
      <c r="S146" t="str">
        <f>_xlfn.XLOOKUP(Table1[[#This Row],[method]],Table7[method],Table7[id_method])</f>
        <v>PAY0712</v>
      </c>
      <c r="T146" t="s">
        <v>1239</v>
      </c>
      <c r="U146">
        <v>54000</v>
      </c>
    </row>
    <row r="147" spans="1:21" x14ac:dyDescent="0.25">
      <c r="A147" t="s">
        <v>159</v>
      </c>
      <c r="B147" t="str">
        <f>_xlfn.XLOOKUP(Table1[[#This Row],[date]],Table8[date],Table8[id_date])</f>
        <v>TGL0576</v>
      </c>
      <c r="C147" s="1">
        <v>45386</v>
      </c>
      <c r="D147" s="1" t="str">
        <f>_xlfn.XLOOKUP(Table1[[#This Row],[customer_name]],Table11[customer_name],Table11[id_cust])</f>
        <v>CNA0119</v>
      </c>
      <c r="E147" t="s">
        <v>1032</v>
      </c>
      <c r="F147">
        <v>35</v>
      </c>
      <c r="G147" t="str">
        <f>_xlfn.XLOOKUP(Table1[[#This Row],[branch_name]],Table3[branch_name],Table3[id_branch])</f>
        <v>BRCH001</v>
      </c>
      <c r="H147" t="s">
        <v>1213</v>
      </c>
      <c r="I147" t="str">
        <f>_xlfn.XLOOKUP(Table1[[#This Row],[city]],Table4[city],Table4[id_city])</f>
        <v>KOA0102</v>
      </c>
      <c r="J147" t="s">
        <v>1218</v>
      </c>
      <c r="K147" t="str">
        <f>_xlfn.XLOOKUP(Table1[[#This Row],[menu_name]],Table5[menu_name],Table5[id_menu])</f>
        <v>MENU010</v>
      </c>
      <c r="L147" t="s">
        <v>1232</v>
      </c>
      <c r="M147" t="str">
        <f>_xlfn.XLOOKUP(Table1[[#This Row],[category]],Table6[category],Table6[id_category])</f>
        <v>KTG0205</v>
      </c>
      <c r="N147" t="s">
        <v>1233</v>
      </c>
      <c r="O147">
        <v>3</v>
      </c>
      <c r="P147">
        <v>18000</v>
      </c>
      <c r="Q147">
        <v>10</v>
      </c>
      <c r="R147">
        <v>3.1</v>
      </c>
      <c r="S147" t="str">
        <f>_xlfn.XLOOKUP(Table1[[#This Row],[method]],Table7[method],Table7[id_method])</f>
        <v>PAY0712</v>
      </c>
      <c r="T147" t="s">
        <v>1239</v>
      </c>
      <c r="U147">
        <v>48600</v>
      </c>
    </row>
    <row r="148" spans="1:21" x14ac:dyDescent="0.25">
      <c r="A148" t="s">
        <v>160</v>
      </c>
      <c r="B148" t="str">
        <f>_xlfn.XLOOKUP(Table1[[#This Row],[date]],Table8[date],Table8[id_date])</f>
        <v>TGL0576</v>
      </c>
      <c r="C148" s="1">
        <v>45386</v>
      </c>
      <c r="D148" s="1" t="str">
        <f>_xlfn.XLOOKUP(Table1[[#This Row],[customer_name]],Table11[customer_name],Table11[id_cust])</f>
        <v>CNA0247</v>
      </c>
      <c r="E148" t="s">
        <v>1126</v>
      </c>
      <c r="F148">
        <v>19</v>
      </c>
      <c r="G148" t="str">
        <f>_xlfn.XLOOKUP(Table1[[#This Row],[branch_name]],Table3[branch_name],Table3[id_branch])</f>
        <v>BRCH002</v>
      </c>
      <c r="H148" t="s">
        <v>1214</v>
      </c>
      <c r="I148" t="str">
        <f>_xlfn.XLOOKUP(Table1[[#This Row],[city]],Table4[city],Table4[id_city])</f>
        <v>KOA0103</v>
      </c>
      <c r="J148" t="s">
        <v>1219</v>
      </c>
      <c r="K148" t="str">
        <f>_xlfn.XLOOKUP(Table1[[#This Row],[menu_name]],Table5[menu_name],Table5[id_menu])</f>
        <v>MENU008</v>
      </c>
      <c r="L148" t="s">
        <v>1230</v>
      </c>
      <c r="M148" t="str">
        <f>_xlfn.XLOOKUP(Table1[[#This Row],[category]],Table6[category],Table6[id_category])</f>
        <v>KTG0205</v>
      </c>
      <c r="N148" t="s">
        <v>1233</v>
      </c>
      <c r="O148">
        <v>1</v>
      </c>
      <c r="P148">
        <v>20000</v>
      </c>
      <c r="Q148">
        <v>0</v>
      </c>
      <c r="R148">
        <v>3.8</v>
      </c>
      <c r="S148" t="str">
        <f>_xlfn.XLOOKUP(Table1[[#This Row],[method]],Table7[method],Table7[id_method])</f>
        <v>PAY0712</v>
      </c>
      <c r="T148" t="s">
        <v>1239</v>
      </c>
      <c r="U148">
        <v>20000</v>
      </c>
    </row>
    <row r="149" spans="1:21" x14ac:dyDescent="0.25">
      <c r="A149" t="s">
        <v>161</v>
      </c>
      <c r="B149" t="str">
        <f>_xlfn.XLOOKUP(Table1[[#This Row],[date]],Table8[date],Table8[id_date])</f>
        <v>TGL0577</v>
      </c>
      <c r="C149" s="1">
        <v>45387</v>
      </c>
      <c r="D149" s="1" t="str">
        <f>_xlfn.XLOOKUP(Table1[[#This Row],[customer_name]],Table11[customer_name],Table11[id_cust])</f>
        <v>CNA0227</v>
      </c>
      <c r="E149" t="s">
        <v>1113</v>
      </c>
      <c r="F149">
        <v>17</v>
      </c>
      <c r="G149" t="str">
        <f>_xlfn.XLOOKUP(Table1[[#This Row],[branch_name]],Table3[branch_name],Table3[id_branch])</f>
        <v>BRCH005</v>
      </c>
      <c r="H149" t="s">
        <v>1217</v>
      </c>
      <c r="I149" t="str">
        <f>_xlfn.XLOOKUP(Table1[[#This Row],[city]],Table4[city],Table4[id_city])</f>
        <v>KOA0106</v>
      </c>
      <c r="J149" t="s">
        <v>1222</v>
      </c>
      <c r="K149" t="str">
        <f>_xlfn.XLOOKUP(Table1[[#This Row],[menu_name]],Table5[menu_name],Table5[id_menu])</f>
        <v>MENU002</v>
      </c>
      <c r="L149" t="s">
        <v>1224</v>
      </c>
      <c r="M149" t="str">
        <f>_xlfn.XLOOKUP(Table1[[#This Row],[category]],Table6[category],Table6[id_category])</f>
        <v>KTG0206</v>
      </c>
      <c r="N149" t="s">
        <v>1234</v>
      </c>
      <c r="O149">
        <v>5</v>
      </c>
      <c r="P149">
        <v>30000</v>
      </c>
      <c r="Q149">
        <v>0</v>
      </c>
      <c r="R149">
        <v>4.5999999999999996</v>
      </c>
      <c r="S149" t="str">
        <f>_xlfn.XLOOKUP(Table1[[#This Row],[method]],Table7[method],Table7[id_method])</f>
        <v>PAY0710</v>
      </c>
      <c r="T149" t="s">
        <v>1237</v>
      </c>
      <c r="U149">
        <v>150000</v>
      </c>
    </row>
    <row r="150" spans="1:21" x14ac:dyDescent="0.25">
      <c r="A150" t="s">
        <v>162</v>
      </c>
      <c r="B150" t="str">
        <f>_xlfn.XLOOKUP(Table1[[#This Row],[date]],Table8[date],Table8[id_date])</f>
        <v>TGL0577</v>
      </c>
      <c r="C150" s="1">
        <v>45387</v>
      </c>
      <c r="D150" s="1" t="str">
        <f>_xlfn.XLOOKUP(Table1[[#This Row],[customer_name]],Table11[customer_name],Table11[id_cust])</f>
        <v>CNA0171</v>
      </c>
      <c r="E150" t="s">
        <v>1076</v>
      </c>
      <c r="F150">
        <v>43</v>
      </c>
      <c r="G150" t="str">
        <f>_xlfn.XLOOKUP(Table1[[#This Row],[branch_name]],Table3[branch_name],Table3[id_branch])</f>
        <v>BRCH003</v>
      </c>
      <c r="H150" t="s">
        <v>1215</v>
      </c>
      <c r="I150" t="str">
        <f>_xlfn.XLOOKUP(Table1[[#This Row],[city]],Table4[city],Table4[id_city])</f>
        <v>KOA0104</v>
      </c>
      <c r="J150" t="s">
        <v>1220</v>
      </c>
      <c r="K150" t="str">
        <f>_xlfn.XLOOKUP(Table1[[#This Row],[menu_name]],Table5[menu_name],Table5[id_menu])</f>
        <v>MENU004</v>
      </c>
      <c r="L150" t="s">
        <v>1226</v>
      </c>
      <c r="M150" t="str">
        <f>_xlfn.XLOOKUP(Table1[[#This Row],[category]],Table6[category],Table6[id_category])</f>
        <v>KTG0207</v>
      </c>
      <c r="N150" t="s">
        <v>1235</v>
      </c>
      <c r="O150">
        <v>1</v>
      </c>
      <c r="P150">
        <v>28000</v>
      </c>
      <c r="Q150">
        <v>15</v>
      </c>
      <c r="R150">
        <v>5</v>
      </c>
      <c r="S150" t="str">
        <f>_xlfn.XLOOKUP(Table1[[#This Row],[method]],Table7[method],Table7[id_method])</f>
        <v>PAY0709</v>
      </c>
      <c r="T150" t="s">
        <v>1236</v>
      </c>
      <c r="U150">
        <v>23800</v>
      </c>
    </row>
    <row r="151" spans="1:21" x14ac:dyDescent="0.25">
      <c r="A151" t="s">
        <v>163</v>
      </c>
      <c r="B151" t="str">
        <f>_xlfn.XLOOKUP(Table1[[#This Row],[date]],Table8[date],Table8[id_date])</f>
        <v>TGL0577</v>
      </c>
      <c r="C151" s="1">
        <v>45387</v>
      </c>
      <c r="D151" s="1" t="str">
        <f>_xlfn.XLOOKUP(Table1[[#This Row],[customer_name]],Table11[customer_name],Table11[id_cust])</f>
        <v>CNA0105</v>
      </c>
      <c r="E151" t="s">
        <v>1018</v>
      </c>
      <c r="F151">
        <v>53</v>
      </c>
      <c r="G151" t="str">
        <f>_xlfn.XLOOKUP(Table1[[#This Row],[branch_name]],Table3[branch_name],Table3[id_branch])</f>
        <v>BRCH001</v>
      </c>
      <c r="H151" t="s">
        <v>1213</v>
      </c>
      <c r="I151" t="str">
        <f>_xlfn.XLOOKUP(Table1[[#This Row],[city]],Table4[city],Table4[id_city])</f>
        <v>KOA0102</v>
      </c>
      <c r="J151" t="s">
        <v>1218</v>
      </c>
      <c r="K151" t="str">
        <f>_xlfn.XLOOKUP(Table1[[#This Row],[menu_name]],Table5[menu_name],Table5[id_menu])</f>
        <v>MENU004</v>
      </c>
      <c r="L151" t="s">
        <v>1226</v>
      </c>
      <c r="M151" t="str">
        <f>_xlfn.XLOOKUP(Table1[[#This Row],[category]],Table6[category],Table6[id_category])</f>
        <v>KTG0207</v>
      </c>
      <c r="N151" t="s">
        <v>1235</v>
      </c>
      <c r="O151">
        <v>1</v>
      </c>
      <c r="P151">
        <v>28000</v>
      </c>
      <c r="Q151">
        <v>0</v>
      </c>
      <c r="R151">
        <v>2</v>
      </c>
      <c r="S151" t="str">
        <f>_xlfn.XLOOKUP(Table1[[#This Row],[method]],Table7[method],Table7[id_method])</f>
        <v>PAY0709</v>
      </c>
      <c r="T151" t="s">
        <v>1236</v>
      </c>
      <c r="U151">
        <v>28000</v>
      </c>
    </row>
    <row r="152" spans="1:21" x14ac:dyDescent="0.25">
      <c r="A152" t="s">
        <v>164</v>
      </c>
      <c r="B152" t="str">
        <f>_xlfn.XLOOKUP(Table1[[#This Row],[date]],Table8[date],Table8[id_date])</f>
        <v>TGL0578</v>
      </c>
      <c r="C152" s="1">
        <v>45388</v>
      </c>
      <c r="D152" s="1" t="str">
        <f>_xlfn.XLOOKUP(Table1[[#This Row],[customer_name]],Table11[customer_name],Table11[id_cust])</f>
        <v>CNA0112</v>
      </c>
      <c r="E152" t="s">
        <v>1025</v>
      </c>
      <c r="F152">
        <v>22</v>
      </c>
      <c r="G152" t="str">
        <f>_xlfn.XLOOKUP(Table1[[#This Row],[branch_name]],Table3[branch_name],Table3[id_branch])</f>
        <v>BRCH004</v>
      </c>
      <c r="H152" t="s">
        <v>1216</v>
      </c>
      <c r="I152" t="str">
        <f>_xlfn.XLOOKUP(Table1[[#This Row],[city]],Table4[city],Table4[id_city])</f>
        <v>KOA0105</v>
      </c>
      <c r="J152" t="s">
        <v>1221</v>
      </c>
      <c r="K152" t="str">
        <f>_xlfn.XLOOKUP(Table1[[#This Row],[menu_name]],Table5[menu_name],Table5[id_menu])</f>
        <v>MENU008</v>
      </c>
      <c r="L152" t="s">
        <v>1230</v>
      </c>
      <c r="M152" t="str">
        <f>_xlfn.XLOOKUP(Table1[[#This Row],[category]],Table6[category],Table6[id_category])</f>
        <v>KTG0205</v>
      </c>
      <c r="N152" t="s">
        <v>1233</v>
      </c>
      <c r="O152">
        <v>1</v>
      </c>
      <c r="P152">
        <v>20000</v>
      </c>
      <c r="Q152">
        <v>0</v>
      </c>
      <c r="R152">
        <v>4.7</v>
      </c>
      <c r="S152" t="str">
        <f>_xlfn.XLOOKUP(Table1[[#This Row],[method]],Table7[method],Table7[id_method])</f>
        <v>PAY0711</v>
      </c>
      <c r="T152" t="s">
        <v>1238</v>
      </c>
      <c r="U152">
        <v>20000</v>
      </c>
    </row>
    <row r="153" spans="1:21" x14ac:dyDescent="0.25">
      <c r="A153" t="s">
        <v>165</v>
      </c>
      <c r="B153" t="str">
        <f>_xlfn.XLOOKUP(Table1[[#This Row],[date]],Table8[date],Table8[id_date])</f>
        <v>TGL0579</v>
      </c>
      <c r="C153" s="1">
        <v>45389</v>
      </c>
      <c r="D153" s="1" t="str">
        <f>_xlfn.XLOOKUP(Table1[[#This Row],[customer_name]],Table11[customer_name],Table11[id_cust])</f>
        <v>CNA0252</v>
      </c>
      <c r="E153" t="s">
        <v>1127</v>
      </c>
      <c r="F153">
        <v>43</v>
      </c>
      <c r="G153" t="str">
        <f>_xlfn.XLOOKUP(Table1[[#This Row],[branch_name]],Table3[branch_name],Table3[id_branch])</f>
        <v>BRCH005</v>
      </c>
      <c r="H153" t="s">
        <v>1217</v>
      </c>
      <c r="I153" t="str">
        <f>_xlfn.XLOOKUP(Table1[[#This Row],[city]],Table4[city],Table4[id_city])</f>
        <v>KOA0106</v>
      </c>
      <c r="J153" t="s">
        <v>1222</v>
      </c>
      <c r="K153" t="str">
        <f>_xlfn.XLOOKUP(Table1[[#This Row],[menu_name]],Table5[menu_name],Table5[id_menu])</f>
        <v>MENU005</v>
      </c>
      <c r="L153" t="s">
        <v>1227</v>
      </c>
      <c r="M153" t="str">
        <f>_xlfn.XLOOKUP(Table1[[#This Row],[category]],Table6[category],Table6[id_category])</f>
        <v>KTG0206</v>
      </c>
      <c r="N153" t="s">
        <v>1234</v>
      </c>
      <c r="O153">
        <v>2</v>
      </c>
      <c r="P153">
        <v>23000</v>
      </c>
      <c r="Q153">
        <v>10</v>
      </c>
      <c r="R153">
        <v>1.5</v>
      </c>
      <c r="S153" t="str">
        <f>_xlfn.XLOOKUP(Table1[[#This Row],[method]],Table7[method],Table7[id_method])</f>
        <v>PAY0711</v>
      </c>
      <c r="T153" t="s">
        <v>1238</v>
      </c>
      <c r="U153">
        <v>41400</v>
      </c>
    </row>
    <row r="154" spans="1:21" x14ac:dyDescent="0.25">
      <c r="A154" t="s">
        <v>166</v>
      </c>
      <c r="B154" t="str">
        <f>_xlfn.XLOOKUP(Table1[[#This Row],[date]],Table8[date],Table8[id_date])</f>
        <v>TGL0580</v>
      </c>
      <c r="C154" s="1">
        <v>45390</v>
      </c>
      <c r="D154" s="1" t="str">
        <f>_xlfn.XLOOKUP(Table1[[#This Row],[customer_name]],Table11[customer_name],Table11[id_cust])</f>
        <v>CNA0186</v>
      </c>
      <c r="E154" t="s">
        <v>1088</v>
      </c>
      <c r="F154">
        <v>53</v>
      </c>
      <c r="G154" t="str">
        <f>_xlfn.XLOOKUP(Table1[[#This Row],[branch_name]],Table3[branch_name],Table3[id_branch])</f>
        <v>BRCH004</v>
      </c>
      <c r="H154" t="s">
        <v>1216</v>
      </c>
      <c r="I154" t="str">
        <f>_xlfn.XLOOKUP(Table1[[#This Row],[city]],Table4[city],Table4[id_city])</f>
        <v>KOA0105</v>
      </c>
      <c r="J154" t="s">
        <v>1221</v>
      </c>
      <c r="K154" t="str">
        <f>_xlfn.XLOOKUP(Table1[[#This Row],[menu_name]],Table5[menu_name],Table5[id_menu])</f>
        <v>MENU001</v>
      </c>
      <c r="L154" t="s">
        <v>1223</v>
      </c>
      <c r="M154" t="str">
        <f>_xlfn.XLOOKUP(Table1[[#This Row],[category]],Table6[category],Table6[id_category])</f>
        <v>KTG0205</v>
      </c>
      <c r="N154" t="s">
        <v>1233</v>
      </c>
      <c r="O154">
        <v>5</v>
      </c>
      <c r="P154">
        <v>25000</v>
      </c>
      <c r="Q154">
        <v>10</v>
      </c>
      <c r="R154">
        <v>2.2999999999999998</v>
      </c>
      <c r="S154" t="str">
        <f>_xlfn.XLOOKUP(Table1[[#This Row],[method]],Table7[method],Table7[id_method])</f>
        <v>PAY0712</v>
      </c>
      <c r="T154" t="s">
        <v>1239</v>
      </c>
      <c r="U154">
        <v>112500</v>
      </c>
    </row>
    <row r="155" spans="1:21" x14ac:dyDescent="0.25">
      <c r="A155" t="s">
        <v>167</v>
      </c>
      <c r="B155" t="str">
        <f>_xlfn.XLOOKUP(Table1[[#This Row],[date]],Table8[date],Table8[id_date])</f>
        <v>TGL0580</v>
      </c>
      <c r="C155" s="1">
        <v>45390</v>
      </c>
      <c r="D155" s="1" t="str">
        <f>_xlfn.XLOOKUP(Table1[[#This Row],[customer_name]],Table11[customer_name],Table11[id_cust])</f>
        <v>CNA0152</v>
      </c>
      <c r="E155" t="s">
        <v>1061</v>
      </c>
      <c r="F155">
        <v>49</v>
      </c>
      <c r="G155" t="str">
        <f>_xlfn.XLOOKUP(Table1[[#This Row],[branch_name]],Table3[branch_name],Table3[id_branch])</f>
        <v>BRCH003</v>
      </c>
      <c r="H155" t="s">
        <v>1215</v>
      </c>
      <c r="I155" t="str">
        <f>_xlfn.XLOOKUP(Table1[[#This Row],[city]],Table4[city],Table4[id_city])</f>
        <v>KOA0104</v>
      </c>
      <c r="J155" t="s">
        <v>1220</v>
      </c>
      <c r="K155" t="str">
        <f>_xlfn.XLOOKUP(Table1[[#This Row],[menu_name]],Table5[menu_name],Table5[id_menu])</f>
        <v>MENU006</v>
      </c>
      <c r="L155" t="s">
        <v>1228</v>
      </c>
      <c r="M155" t="str">
        <f>_xlfn.XLOOKUP(Table1[[#This Row],[category]],Table6[category],Table6[id_category])</f>
        <v>KTG0206</v>
      </c>
      <c r="N155" t="s">
        <v>1234</v>
      </c>
      <c r="O155">
        <v>5</v>
      </c>
      <c r="P155">
        <v>32000</v>
      </c>
      <c r="Q155">
        <v>0</v>
      </c>
      <c r="R155">
        <v>3.1</v>
      </c>
      <c r="S155" t="str">
        <f>_xlfn.XLOOKUP(Table1[[#This Row],[method]],Table7[method],Table7[id_method])</f>
        <v>PAY0711</v>
      </c>
      <c r="T155" t="s">
        <v>1238</v>
      </c>
      <c r="U155">
        <v>160000</v>
      </c>
    </row>
    <row r="156" spans="1:21" x14ac:dyDescent="0.25">
      <c r="A156" t="s">
        <v>168</v>
      </c>
      <c r="B156" t="str">
        <f>_xlfn.XLOOKUP(Table1[[#This Row],[date]],Table8[date],Table8[id_date])</f>
        <v>TGL0580</v>
      </c>
      <c r="C156" s="1">
        <v>45390</v>
      </c>
      <c r="D156" s="1" t="str">
        <f>_xlfn.XLOOKUP(Table1[[#This Row],[customer_name]],Table11[customer_name],Table11[id_cust])</f>
        <v>CNA0255</v>
      </c>
      <c r="E156" t="s">
        <v>1128</v>
      </c>
      <c r="F156">
        <v>30</v>
      </c>
      <c r="G156" t="str">
        <f>_xlfn.XLOOKUP(Table1[[#This Row],[branch_name]],Table3[branch_name],Table3[id_branch])</f>
        <v>BRCH004</v>
      </c>
      <c r="H156" t="s">
        <v>1216</v>
      </c>
      <c r="I156" t="str">
        <f>_xlfn.XLOOKUP(Table1[[#This Row],[city]],Table4[city],Table4[id_city])</f>
        <v>KOA0105</v>
      </c>
      <c r="J156" t="s">
        <v>1221</v>
      </c>
      <c r="K156" t="str">
        <f>_xlfn.XLOOKUP(Table1[[#This Row],[menu_name]],Table5[menu_name],Table5[id_menu])</f>
        <v>MENU008</v>
      </c>
      <c r="L156" t="s">
        <v>1230</v>
      </c>
      <c r="M156" t="str">
        <f>_xlfn.XLOOKUP(Table1[[#This Row],[category]],Table6[category],Table6[id_category])</f>
        <v>KTG0205</v>
      </c>
      <c r="N156" t="s">
        <v>1233</v>
      </c>
      <c r="O156">
        <v>1</v>
      </c>
      <c r="P156">
        <v>20000</v>
      </c>
      <c r="Q156">
        <v>0</v>
      </c>
      <c r="R156">
        <v>4.3</v>
      </c>
      <c r="S156" t="str">
        <f>_xlfn.XLOOKUP(Table1[[#This Row],[method]],Table7[method],Table7[id_method])</f>
        <v>PAY0711</v>
      </c>
      <c r="T156" t="s">
        <v>1238</v>
      </c>
      <c r="U156">
        <v>20000</v>
      </c>
    </row>
    <row r="157" spans="1:21" x14ac:dyDescent="0.25">
      <c r="A157" t="s">
        <v>169</v>
      </c>
      <c r="B157" t="str">
        <f>_xlfn.XLOOKUP(Table1[[#This Row],[date]],Table8[date],Table8[id_date])</f>
        <v>TGL0580</v>
      </c>
      <c r="C157" s="1">
        <v>45390</v>
      </c>
      <c r="D157" s="1" t="str">
        <f>_xlfn.XLOOKUP(Table1[[#This Row],[customer_name]],Table11[customer_name],Table11[id_cust])</f>
        <v>CNA0256</v>
      </c>
      <c r="E157" t="s">
        <v>1129</v>
      </c>
      <c r="F157">
        <v>29</v>
      </c>
      <c r="G157" t="str">
        <f>_xlfn.XLOOKUP(Table1[[#This Row],[branch_name]],Table3[branch_name],Table3[id_branch])</f>
        <v>BRCH001</v>
      </c>
      <c r="H157" t="s">
        <v>1213</v>
      </c>
      <c r="I157" t="str">
        <f>_xlfn.XLOOKUP(Table1[[#This Row],[city]],Table4[city],Table4[id_city])</f>
        <v>KOA0102</v>
      </c>
      <c r="J157" t="s">
        <v>1218</v>
      </c>
      <c r="K157" t="str">
        <f>_xlfn.XLOOKUP(Table1[[#This Row],[menu_name]],Table5[menu_name],Table5[id_menu])</f>
        <v>MENU002</v>
      </c>
      <c r="L157" t="s">
        <v>1224</v>
      </c>
      <c r="M157" t="str">
        <f>_xlfn.XLOOKUP(Table1[[#This Row],[category]],Table6[category],Table6[id_category])</f>
        <v>KTG0206</v>
      </c>
      <c r="N157" t="s">
        <v>1234</v>
      </c>
      <c r="O157">
        <v>1</v>
      </c>
      <c r="P157">
        <v>30000</v>
      </c>
      <c r="Q157">
        <v>0</v>
      </c>
      <c r="R157">
        <v>4.0999999999999996</v>
      </c>
      <c r="S157" t="str">
        <f>_xlfn.XLOOKUP(Table1[[#This Row],[method]],Table7[method],Table7[id_method])</f>
        <v>PAY0710</v>
      </c>
      <c r="T157" t="s">
        <v>1237</v>
      </c>
      <c r="U157">
        <v>30000</v>
      </c>
    </row>
    <row r="158" spans="1:21" x14ac:dyDescent="0.25">
      <c r="A158" t="s">
        <v>170</v>
      </c>
      <c r="B158" t="str">
        <f>_xlfn.XLOOKUP(Table1[[#This Row],[date]],Table8[date],Table8[id_date])</f>
        <v>TGL0580</v>
      </c>
      <c r="C158" s="1">
        <v>45390</v>
      </c>
      <c r="D158" s="1" t="str">
        <f>_xlfn.XLOOKUP(Table1[[#This Row],[customer_name]],Table11[customer_name],Table11[id_cust])</f>
        <v>CNA0148</v>
      </c>
      <c r="E158" t="s">
        <v>1057</v>
      </c>
      <c r="F158">
        <v>53</v>
      </c>
      <c r="G158" t="str">
        <f>_xlfn.XLOOKUP(Table1[[#This Row],[branch_name]],Table3[branch_name],Table3[id_branch])</f>
        <v>BRCH002</v>
      </c>
      <c r="H158" t="s">
        <v>1214</v>
      </c>
      <c r="I158" t="str">
        <f>_xlfn.XLOOKUP(Table1[[#This Row],[city]],Table4[city],Table4[id_city])</f>
        <v>KOA0103</v>
      </c>
      <c r="J158" t="s">
        <v>1219</v>
      </c>
      <c r="K158" t="str">
        <f>_xlfn.XLOOKUP(Table1[[#This Row],[menu_name]],Table5[menu_name],Table5[id_menu])</f>
        <v>MENU002</v>
      </c>
      <c r="L158" t="s">
        <v>1224</v>
      </c>
      <c r="M158" t="str">
        <f>_xlfn.XLOOKUP(Table1[[#This Row],[category]],Table6[category],Table6[id_category])</f>
        <v>KTG0206</v>
      </c>
      <c r="N158" t="s">
        <v>1234</v>
      </c>
      <c r="O158">
        <v>5</v>
      </c>
      <c r="P158">
        <v>30000</v>
      </c>
      <c r="Q158">
        <v>15</v>
      </c>
      <c r="R158">
        <v>1.6</v>
      </c>
      <c r="S158" t="str">
        <f>_xlfn.XLOOKUP(Table1[[#This Row],[method]],Table7[method],Table7[id_method])</f>
        <v>PAY0710</v>
      </c>
      <c r="T158" t="s">
        <v>1237</v>
      </c>
      <c r="U158">
        <v>127500</v>
      </c>
    </row>
    <row r="159" spans="1:21" x14ac:dyDescent="0.25">
      <c r="A159" t="s">
        <v>171</v>
      </c>
      <c r="B159" t="str">
        <f>_xlfn.XLOOKUP(Table1[[#This Row],[date]],Table8[date],Table8[id_date])</f>
        <v>TGL0580</v>
      </c>
      <c r="C159" s="1">
        <v>45390</v>
      </c>
      <c r="D159" s="1" t="str">
        <f>_xlfn.XLOOKUP(Table1[[#This Row],[customer_name]],Table11[customer_name],Table11[id_cust])</f>
        <v>CNA0240</v>
      </c>
      <c r="E159" t="s">
        <v>1122</v>
      </c>
      <c r="F159">
        <v>47</v>
      </c>
      <c r="G159" t="str">
        <f>_xlfn.XLOOKUP(Table1[[#This Row],[branch_name]],Table3[branch_name],Table3[id_branch])</f>
        <v>BRCH003</v>
      </c>
      <c r="H159" t="s">
        <v>1215</v>
      </c>
      <c r="I159" t="str">
        <f>_xlfn.XLOOKUP(Table1[[#This Row],[city]],Table4[city],Table4[id_city])</f>
        <v>KOA0104</v>
      </c>
      <c r="J159" t="s">
        <v>1220</v>
      </c>
      <c r="K159" t="str">
        <f>_xlfn.XLOOKUP(Table1[[#This Row],[menu_name]],Table5[menu_name],Table5[id_menu])</f>
        <v>MENU004</v>
      </c>
      <c r="L159" t="s">
        <v>1226</v>
      </c>
      <c r="M159" t="str">
        <f>_xlfn.XLOOKUP(Table1[[#This Row],[category]],Table6[category],Table6[id_category])</f>
        <v>KTG0207</v>
      </c>
      <c r="N159" t="s">
        <v>1235</v>
      </c>
      <c r="O159">
        <v>2</v>
      </c>
      <c r="P159">
        <v>28000</v>
      </c>
      <c r="Q159">
        <v>10</v>
      </c>
      <c r="R159">
        <v>1.4</v>
      </c>
      <c r="S159" t="str">
        <f>_xlfn.XLOOKUP(Table1[[#This Row],[method]],Table7[method],Table7[id_method])</f>
        <v>PAY0709</v>
      </c>
      <c r="T159" t="s">
        <v>1236</v>
      </c>
      <c r="U159">
        <v>50400</v>
      </c>
    </row>
    <row r="160" spans="1:21" x14ac:dyDescent="0.25">
      <c r="A160" t="s">
        <v>172</v>
      </c>
      <c r="B160" t="str">
        <f>_xlfn.XLOOKUP(Table1[[#This Row],[date]],Table8[date],Table8[id_date])</f>
        <v>TGL0580</v>
      </c>
      <c r="C160" s="1">
        <v>45390</v>
      </c>
      <c r="D160" s="1" t="str">
        <f>_xlfn.XLOOKUP(Table1[[#This Row],[customer_name]],Table11[customer_name],Table11[id_cust])</f>
        <v>CNA0176</v>
      </c>
      <c r="E160" t="s">
        <v>1081</v>
      </c>
      <c r="F160">
        <v>25</v>
      </c>
      <c r="G160" t="str">
        <f>_xlfn.XLOOKUP(Table1[[#This Row],[branch_name]],Table3[branch_name],Table3[id_branch])</f>
        <v>BRCH002</v>
      </c>
      <c r="H160" t="s">
        <v>1214</v>
      </c>
      <c r="I160" t="str">
        <f>_xlfn.XLOOKUP(Table1[[#This Row],[city]],Table4[city],Table4[id_city])</f>
        <v>KOA0103</v>
      </c>
      <c r="J160" t="s">
        <v>1219</v>
      </c>
      <c r="K160" t="str">
        <f>_xlfn.XLOOKUP(Table1[[#This Row],[menu_name]],Table5[menu_name],Table5[id_menu])</f>
        <v>MENU006</v>
      </c>
      <c r="L160" t="s">
        <v>1228</v>
      </c>
      <c r="M160" t="str">
        <f>_xlfn.XLOOKUP(Table1[[#This Row],[category]],Table6[category],Table6[id_category])</f>
        <v>KTG0206</v>
      </c>
      <c r="N160" t="s">
        <v>1234</v>
      </c>
      <c r="O160">
        <v>2</v>
      </c>
      <c r="P160">
        <v>32000</v>
      </c>
      <c r="Q160">
        <v>15</v>
      </c>
      <c r="R160">
        <v>4</v>
      </c>
      <c r="S160" t="str">
        <f>_xlfn.XLOOKUP(Table1[[#This Row],[method]],Table7[method],Table7[id_method])</f>
        <v>PAY0712</v>
      </c>
      <c r="T160" t="s">
        <v>1239</v>
      </c>
      <c r="U160">
        <v>54400</v>
      </c>
    </row>
    <row r="161" spans="1:21" x14ac:dyDescent="0.25">
      <c r="A161" t="s">
        <v>173</v>
      </c>
      <c r="B161" t="str">
        <f>_xlfn.XLOOKUP(Table1[[#This Row],[date]],Table8[date],Table8[id_date])</f>
        <v>TGL0581</v>
      </c>
      <c r="C161" s="1">
        <v>45391</v>
      </c>
      <c r="D161" s="1" t="str">
        <f>_xlfn.XLOOKUP(Table1[[#This Row],[customer_name]],Table11[customer_name],Table11[id_cust])</f>
        <v>CNA0223</v>
      </c>
      <c r="E161" t="s">
        <v>1110</v>
      </c>
      <c r="F161">
        <v>18</v>
      </c>
      <c r="G161" t="str">
        <f>_xlfn.XLOOKUP(Table1[[#This Row],[branch_name]],Table3[branch_name],Table3[id_branch])</f>
        <v>BRCH005</v>
      </c>
      <c r="H161" t="s">
        <v>1217</v>
      </c>
      <c r="I161" t="str">
        <f>_xlfn.XLOOKUP(Table1[[#This Row],[city]],Table4[city],Table4[id_city])</f>
        <v>KOA0106</v>
      </c>
      <c r="J161" t="s">
        <v>1222</v>
      </c>
      <c r="K161" t="str">
        <f>_xlfn.XLOOKUP(Table1[[#This Row],[menu_name]],Table5[menu_name],Table5[id_menu])</f>
        <v>MENU003</v>
      </c>
      <c r="L161" t="s">
        <v>1225</v>
      </c>
      <c r="M161" t="str">
        <f>_xlfn.XLOOKUP(Table1[[#This Row],[category]],Table6[category],Table6[id_category])</f>
        <v>KTG0205</v>
      </c>
      <c r="N161" t="s">
        <v>1233</v>
      </c>
      <c r="O161">
        <v>2</v>
      </c>
      <c r="P161">
        <v>22000</v>
      </c>
      <c r="Q161">
        <v>0</v>
      </c>
      <c r="R161">
        <v>2</v>
      </c>
      <c r="S161" t="str">
        <f>_xlfn.XLOOKUP(Table1[[#This Row],[method]],Table7[method],Table7[id_method])</f>
        <v>PAY0710</v>
      </c>
      <c r="T161" t="s">
        <v>1237</v>
      </c>
      <c r="U161">
        <v>44000</v>
      </c>
    </row>
    <row r="162" spans="1:21" x14ac:dyDescent="0.25">
      <c r="A162" t="s">
        <v>174</v>
      </c>
      <c r="B162" t="str">
        <f>_xlfn.XLOOKUP(Table1[[#This Row],[date]],Table8[date],Table8[id_date])</f>
        <v>TGL0582</v>
      </c>
      <c r="C162" s="1">
        <v>45394</v>
      </c>
      <c r="D162" s="1" t="str">
        <f>_xlfn.XLOOKUP(Table1[[#This Row],[customer_name]],Table11[customer_name],Table11[id_cust])</f>
        <v>CNA0211</v>
      </c>
      <c r="E162" t="s">
        <v>1103</v>
      </c>
      <c r="F162">
        <v>49</v>
      </c>
      <c r="G162" t="str">
        <f>_xlfn.XLOOKUP(Table1[[#This Row],[branch_name]],Table3[branch_name],Table3[id_branch])</f>
        <v>BRCH004</v>
      </c>
      <c r="H162" t="s">
        <v>1216</v>
      </c>
      <c r="I162" t="str">
        <f>_xlfn.XLOOKUP(Table1[[#This Row],[city]],Table4[city],Table4[id_city])</f>
        <v>KOA0105</v>
      </c>
      <c r="J162" t="s">
        <v>1221</v>
      </c>
      <c r="K162" t="str">
        <f>_xlfn.XLOOKUP(Table1[[#This Row],[menu_name]],Table5[menu_name],Table5[id_menu])</f>
        <v>MENU003</v>
      </c>
      <c r="L162" t="s">
        <v>1225</v>
      </c>
      <c r="M162" t="str">
        <f>_xlfn.XLOOKUP(Table1[[#This Row],[category]],Table6[category],Table6[id_category])</f>
        <v>KTG0205</v>
      </c>
      <c r="N162" t="s">
        <v>1233</v>
      </c>
      <c r="O162">
        <v>2</v>
      </c>
      <c r="P162">
        <v>22000</v>
      </c>
      <c r="Q162">
        <v>15</v>
      </c>
      <c r="R162">
        <v>1.1000000000000001</v>
      </c>
      <c r="S162" t="str">
        <f>_xlfn.XLOOKUP(Table1[[#This Row],[method]],Table7[method],Table7[id_method])</f>
        <v>PAY0709</v>
      </c>
      <c r="T162" t="s">
        <v>1236</v>
      </c>
      <c r="U162">
        <v>37400</v>
      </c>
    </row>
    <row r="163" spans="1:21" x14ac:dyDescent="0.25">
      <c r="A163" t="s">
        <v>175</v>
      </c>
      <c r="B163" t="str">
        <f>_xlfn.XLOOKUP(Table1[[#This Row],[date]],Table8[date],Table8[id_date])</f>
        <v>TGL0582</v>
      </c>
      <c r="C163" s="1">
        <v>45394</v>
      </c>
      <c r="D163" s="1" t="str">
        <f>_xlfn.XLOOKUP(Table1[[#This Row],[customer_name]],Table11[customer_name],Table11[id_cust])</f>
        <v>CNA0262</v>
      </c>
      <c r="E163" t="s">
        <v>1130</v>
      </c>
      <c r="F163">
        <v>30</v>
      </c>
      <c r="G163" t="str">
        <f>_xlfn.XLOOKUP(Table1[[#This Row],[branch_name]],Table3[branch_name],Table3[id_branch])</f>
        <v>BRCH002</v>
      </c>
      <c r="H163" t="s">
        <v>1214</v>
      </c>
      <c r="I163" t="str">
        <f>_xlfn.XLOOKUP(Table1[[#This Row],[city]],Table4[city],Table4[id_city])</f>
        <v>KOA0103</v>
      </c>
      <c r="J163" t="s">
        <v>1219</v>
      </c>
      <c r="K163" t="str">
        <f>_xlfn.XLOOKUP(Table1[[#This Row],[menu_name]],Table5[menu_name],Table5[id_menu])</f>
        <v>MENU005</v>
      </c>
      <c r="L163" t="s">
        <v>1227</v>
      </c>
      <c r="M163" t="str">
        <f>_xlfn.XLOOKUP(Table1[[#This Row],[category]],Table6[category],Table6[id_category])</f>
        <v>KTG0206</v>
      </c>
      <c r="N163" t="s">
        <v>1234</v>
      </c>
      <c r="O163">
        <v>4</v>
      </c>
      <c r="P163">
        <v>23000</v>
      </c>
      <c r="Q163">
        <v>10</v>
      </c>
      <c r="R163">
        <v>1</v>
      </c>
      <c r="S163" t="str">
        <f>_xlfn.XLOOKUP(Table1[[#This Row],[method]],Table7[method],Table7[id_method])</f>
        <v>PAY0709</v>
      </c>
      <c r="T163" t="s">
        <v>1236</v>
      </c>
      <c r="U163">
        <v>82800</v>
      </c>
    </row>
    <row r="164" spans="1:21" x14ac:dyDescent="0.25">
      <c r="A164" t="s">
        <v>176</v>
      </c>
      <c r="B164" t="str">
        <f>_xlfn.XLOOKUP(Table1[[#This Row],[date]],Table8[date],Table8[id_date])</f>
        <v>TGL0583</v>
      </c>
      <c r="C164" s="1">
        <v>45395</v>
      </c>
      <c r="D164" s="1" t="str">
        <f>_xlfn.XLOOKUP(Table1[[#This Row],[customer_name]],Table11[customer_name],Table11[id_cust])</f>
        <v>CNA0263</v>
      </c>
      <c r="E164" t="s">
        <v>1131</v>
      </c>
      <c r="F164">
        <v>36</v>
      </c>
      <c r="G164" t="str">
        <f>_xlfn.XLOOKUP(Table1[[#This Row],[branch_name]],Table3[branch_name],Table3[id_branch])</f>
        <v>BRCH002</v>
      </c>
      <c r="H164" t="s">
        <v>1214</v>
      </c>
      <c r="I164" t="str">
        <f>_xlfn.XLOOKUP(Table1[[#This Row],[city]],Table4[city],Table4[id_city])</f>
        <v>KOA0103</v>
      </c>
      <c r="J164" t="s">
        <v>1219</v>
      </c>
      <c r="K164" t="str">
        <f>_xlfn.XLOOKUP(Table1[[#This Row],[menu_name]],Table5[menu_name],Table5[id_menu])</f>
        <v>MENU009</v>
      </c>
      <c r="L164" t="s">
        <v>1231</v>
      </c>
      <c r="M164" t="str">
        <f>_xlfn.XLOOKUP(Table1[[#This Row],[category]],Table6[category],Table6[id_category])</f>
        <v>KTG0206</v>
      </c>
      <c r="N164" t="s">
        <v>1234</v>
      </c>
      <c r="O164">
        <v>1</v>
      </c>
      <c r="P164">
        <v>18000</v>
      </c>
      <c r="Q164">
        <v>15</v>
      </c>
      <c r="R164">
        <v>3.9</v>
      </c>
      <c r="S164" t="str">
        <f>_xlfn.XLOOKUP(Table1[[#This Row],[method]],Table7[method],Table7[id_method])</f>
        <v>PAY0712</v>
      </c>
      <c r="T164" t="s">
        <v>1239</v>
      </c>
      <c r="U164">
        <v>15300</v>
      </c>
    </row>
    <row r="165" spans="1:21" x14ac:dyDescent="0.25">
      <c r="A165" t="s">
        <v>177</v>
      </c>
      <c r="B165" t="str">
        <f>_xlfn.XLOOKUP(Table1[[#This Row],[date]],Table8[date],Table8[id_date])</f>
        <v>TGL0583</v>
      </c>
      <c r="C165" s="1">
        <v>45395</v>
      </c>
      <c r="D165" s="1" t="str">
        <f>_xlfn.XLOOKUP(Table1[[#This Row],[customer_name]],Table11[customer_name],Table11[id_cust])</f>
        <v>CNA0157</v>
      </c>
      <c r="E165" t="s">
        <v>1065</v>
      </c>
      <c r="F165">
        <v>29</v>
      </c>
      <c r="G165" t="str">
        <f>_xlfn.XLOOKUP(Table1[[#This Row],[branch_name]],Table3[branch_name],Table3[id_branch])</f>
        <v>BRCH004</v>
      </c>
      <c r="H165" t="s">
        <v>1216</v>
      </c>
      <c r="I165" t="str">
        <f>_xlfn.XLOOKUP(Table1[[#This Row],[city]],Table4[city],Table4[id_city])</f>
        <v>KOA0105</v>
      </c>
      <c r="J165" t="s">
        <v>1221</v>
      </c>
      <c r="K165" t="str">
        <f>_xlfn.XLOOKUP(Table1[[#This Row],[menu_name]],Table5[menu_name],Table5[id_menu])</f>
        <v>MENU005</v>
      </c>
      <c r="L165" t="s">
        <v>1227</v>
      </c>
      <c r="M165" t="str">
        <f>_xlfn.XLOOKUP(Table1[[#This Row],[category]],Table6[category],Table6[id_category])</f>
        <v>KTG0206</v>
      </c>
      <c r="N165" t="s">
        <v>1234</v>
      </c>
      <c r="O165">
        <v>1</v>
      </c>
      <c r="P165">
        <v>23000</v>
      </c>
      <c r="Q165">
        <v>0</v>
      </c>
      <c r="R165">
        <v>3.7</v>
      </c>
      <c r="S165" t="str">
        <f>_xlfn.XLOOKUP(Table1[[#This Row],[method]],Table7[method],Table7[id_method])</f>
        <v>PAY0711</v>
      </c>
      <c r="T165" t="s">
        <v>1238</v>
      </c>
      <c r="U165">
        <v>23000</v>
      </c>
    </row>
    <row r="166" spans="1:21" x14ac:dyDescent="0.25">
      <c r="A166" t="s">
        <v>178</v>
      </c>
      <c r="B166" t="str">
        <f>_xlfn.XLOOKUP(Table1[[#This Row],[date]],Table8[date],Table8[id_date])</f>
        <v>TGL0583</v>
      </c>
      <c r="C166" s="1">
        <v>45395</v>
      </c>
      <c r="D166" s="1" t="str">
        <f>_xlfn.XLOOKUP(Table1[[#This Row],[customer_name]],Table11[customer_name],Table11[id_cust])</f>
        <v>CNA0265</v>
      </c>
      <c r="E166" t="s">
        <v>1132</v>
      </c>
      <c r="F166">
        <v>42</v>
      </c>
      <c r="G166" t="str">
        <f>_xlfn.XLOOKUP(Table1[[#This Row],[branch_name]],Table3[branch_name],Table3[id_branch])</f>
        <v>BRCH002</v>
      </c>
      <c r="H166" t="s">
        <v>1214</v>
      </c>
      <c r="I166" t="str">
        <f>_xlfn.XLOOKUP(Table1[[#This Row],[city]],Table4[city],Table4[id_city])</f>
        <v>KOA0103</v>
      </c>
      <c r="J166" t="s">
        <v>1219</v>
      </c>
      <c r="K166" t="str">
        <f>_xlfn.XLOOKUP(Table1[[#This Row],[menu_name]],Table5[menu_name],Table5[id_menu])</f>
        <v>MENU002</v>
      </c>
      <c r="L166" t="s">
        <v>1224</v>
      </c>
      <c r="M166" t="str">
        <f>_xlfn.XLOOKUP(Table1[[#This Row],[category]],Table6[category],Table6[id_category])</f>
        <v>KTG0206</v>
      </c>
      <c r="N166" t="s">
        <v>1234</v>
      </c>
      <c r="O166">
        <v>1</v>
      </c>
      <c r="P166">
        <v>30000</v>
      </c>
      <c r="Q166">
        <v>10</v>
      </c>
      <c r="R166">
        <v>3.5</v>
      </c>
      <c r="S166" t="str">
        <f>_xlfn.XLOOKUP(Table1[[#This Row],[method]],Table7[method],Table7[id_method])</f>
        <v>PAY0712</v>
      </c>
      <c r="T166" t="s">
        <v>1239</v>
      </c>
      <c r="U166">
        <v>27000</v>
      </c>
    </row>
    <row r="167" spans="1:21" x14ac:dyDescent="0.25">
      <c r="A167" t="s">
        <v>179</v>
      </c>
      <c r="B167" t="str">
        <f>_xlfn.XLOOKUP(Table1[[#This Row],[date]],Table8[date],Table8[id_date])</f>
        <v>TGL0584</v>
      </c>
      <c r="C167" s="1">
        <v>45396</v>
      </c>
      <c r="D167" s="1" t="str">
        <f>_xlfn.XLOOKUP(Table1[[#This Row],[customer_name]],Table11[customer_name],Table11[id_cust])</f>
        <v>CNA0175</v>
      </c>
      <c r="E167" t="s">
        <v>1080</v>
      </c>
      <c r="F167">
        <v>48</v>
      </c>
      <c r="G167" t="str">
        <f>_xlfn.XLOOKUP(Table1[[#This Row],[branch_name]],Table3[branch_name],Table3[id_branch])</f>
        <v>BRCH001</v>
      </c>
      <c r="H167" t="s">
        <v>1213</v>
      </c>
      <c r="I167" t="str">
        <f>_xlfn.XLOOKUP(Table1[[#This Row],[city]],Table4[city],Table4[id_city])</f>
        <v>KOA0102</v>
      </c>
      <c r="J167" t="s">
        <v>1218</v>
      </c>
      <c r="K167" t="str">
        <f>_xlfn.XLOOKUP(Table1[[#This Row],[menu_name]],Table5[menu_name],Table5[id_menu])</f>
        <v>MENU007</v>
      </c>
      <c r="L167" t="s">
        <v>1229</v>
      </c>
      <c r="M167" t="str">
        <f>_xlfn.XLOOKUP(Table1[[#This Row],[category]],Table6[category],Table6[id_category])</f>
        <v>KTG0207</v>
      </c>
      <c r="N167" t="s">
        <v>1235</v>
      </c>
      <c r="O167">
        <v>5</v>
      </c>
      <c r="P167">
        <v>27000</v>
      </c>
      <c r="Q167">
        <v>0</v>
      </c>
      <c r="R167">
        <v>2.1</v>
      </c>
      <c r="S167" t="str">
        <f>_xlfn.XLOOKUP(Table1[[#This Row],[method]],Table7[method],Table7[id_method])</f>
        <v>PAY0710</v>
      </c>
      <c r="T167" t="s">
        <v>1237</v>
      </c>
      <c r="U167">
        <v>135000</v>
      </c>
    </row>
    <row r="168" spans="1:21" x14ac:dyDescent="0.25">
      <c r="A168" t="s">
        <v>180</v>
      </c>
      <c r="B168" t="str">
        <f>_xlfn.XLOOKUP(Table1[[#This Row],[date]],Table8[date],Table8[id_date])</f>
        <v>TGL0585</v>
      </c>
      <c r="C168" s="1">
        <v>45397</v>
      </c>
      <c r="D168" s="1" t="str">
        <f>_xlfn.XLOOKUP(Table1[[#This Row],[customer_name]],Table11[customer_name],Table11[id_cust])</f>
        <v>CNA0166</v>
      </c>
      <c r="E168" t="s">
        <v>1071</v>
      </c>
      <c r="F168">
        <v>48</v>
      </c>
      <c r="G168" t="str">
        <f>_xlfn.XLOOKUP(Table1[[#This Row],[branch_name]],Table3[branch_name],Table3[id_branch])</f>
        <v>BRCH002</v>
      </c>
      <c r="H168" t="s">
        <v>1214</v>
      </c>
      <c r="I168" t="str">
        <f>_xlfn.XLOOKUP(Table1[[#This Row],[city]],Table4[city],Table4[id_city])</f>
        <v>KOA0103</v>
      </c>
      <c r="J168" t="s">
        <v>1219</v>
      </c>
      <c r="K168" t="str">
        <f>_xlfn.XLOOKUP(Table1[[#This Row],[menu_name]],Table5[menu_name],Table5[id_menu])</f>
        <v>MENU008</v>
      </c>
      <c r="L168" t="s">
        <v>1230</v>
      </c>
      <c r="M168" t="str">
        <f>_xlfn.XLOOKUP(Table1[[#This Row],[category]],Table6[category],Table6[id_category])</f>
        <v>KTG0205</v>
      </c>
      <c r="N168" t="s">
        <v>1233</v>
      </c>
      <c r="O168">
        <v>5</v>
      </c>
      <c r="P168">
        <v>20000</v>
      </c>
      <c r="Q168">
        <v>0</v>
      </c>
      <c r="R168">
        <v>2.2000000000000002</v>
      </c>
      <c r="S168" t="str">
        <f>_xlfn.XLOOKUP(Table1[[#This Row],[method]],Table7[method],Table7[id_method])</f>
        <v>PAY0711</v>
      </c>
      <c r="T168" t="s">
        <v>1238</v>
      </c>
      <c r="U168">
        <v>100000</v>
      </c>
    </row>
    <row r="169" spans="1:21" x14ac:dyDescent="0.25">
      <c r="A169" t="s">
        <v>181</v>
      </c>
      <c r="B169" t="str">
        <f>_xlfn.XLOOKUP(Table1[[#This Row],[date]],Table8[date],Table8[id_date])</f>
        <v>TGL0585</v>
      </c>
      <c r="C169" s="1">
        <v>45397</v>
      </c>
      <c r="D169" s="1" t="str">
        <f>_xlfn.XLOOKUP(Table1[[#This Row],[customer_name]],Table11[customer_name],Table11[id_cust])</f>
        <v>CNA0268</v>
      </c>
      <c r="E169" t="s">
        <v>1133</v>
      </c>
      <c r="F169">
        <v>31</v>
      </c>
      <c r="G169" t="str">
        <f>_xlfn.XLOOKUP(Table1[[#This Row],[branch_name]],Table3[branch_name],Table3[id_branch])</f>
        <v>BRCH001</v>
      </c>
      <c r="H169" t="s">
        <v>1213</v>
      </c>
      <c r="I169" t="str">
        <f>_xlfn.XLOOKUP(Table1[[#This Row],[city]],Table4[city],Table4[id_city])</f>
        <v>KOA0102</v>
      </c>
      <c r="J169" t="s">
        <v>1218</v>
      </c>
      <c r="K169" t="str">
        <f>_xlfn.XLOOKUP(Table1[[#This Row],[menu_name]],Table5[menu_name],Table5[id_menu])</f>
        <v>MENU007</v>
      </c>
      <c r="L169" t="s">
        <v>1229</v>
      </c>
      <c r="M169" t="str">
        <f>_xlfn.XLOOKUP(Table1[[#This Row],[category]],Table6[category],Table6[id_category])</f>
        <v>KTG0207</v>
      </c>
      <c r="N169" t="s">
        <v>1235</v>
      </c>
      <c r="O169">
        <v>3</v>
      </c>
      <c r="P169">
        <v>27000</v>
      </c>
      <c r="Q169">
        <v>15</v>
      </c>
      <c r="R169">
        <v>3.1</v>
      </c>
      <c r="S169" t="str">
        <f>_xlfn.XLOOKUP(Table1[[#This Row],[method]],Table7[method],Table7[id_method])</f>
        <v>PAY0712</v>
      </c>
      <c r="T169" t="s">
        <v>1239</v>
      </c>
      <c r="U169">
        <v>68850</v>
      </c>
    </row>
    <row r="170" spans="1:21" x14ac:dyDescent="0.25">
      <c r="A170" t="s">
        <v>182</v>
      </c>
      <c r="B170" t="str">
        <f>_xlfn.XLOOKUP(Table1[[#This Row],[date]],Table8[date],Table8[id_date])</f>
        <v>TGL0585</v>
      </c>
      <c r="C170" s="1">
        <v>45397</v>
      </c>
      <c r="D170" s="1" t="str">
        <f>_xlfn.XLOOKUP(Table1[[#This Row],[customer_name]],Table11[customer_name],Table11[id_cust])</f>
        <v>CNA0269</v>
      </c>
      <c r="E170" t="s">
        <v>1134</v>
      </c>
      <c r="F170">
        <v>34</v>
      </c>
      <c r="G170" t="str">
        <f>_xlfn.XLOOKUP(Table1[[#This Row],[branch_name]],Table3[branch_name],Table3[id_branch])</f>
        <v>BRCH005</v>
      </c>
      <c r="H170" t="s">
        <v>1217</v>
      </c>
      <c r="I170" t="str">
        <f>_xlfn.XLOOKUP(Table1[[#This Row],[city]],Table4[city],Table4[id_city])</f>
        <v>KOA0106</v>
      </c>
      <c r="J170" t="s">
        <v>1222</v>
      </c>
      <c r="K170" t="str">
        <f>_xlfn.XLOOKUP(Table1[[#This Row],[menu_name]],Table5[menu_name],Table5[id_menu])</f>
        <v>MENU009</v>
      </c>
      <c r="L170" t="s">
        <v>1231</v>
      </c>
      <c r="M170" t="str">
        <f>_xlfn.XLOOKUP(Table1[[#This Row],[category]],Table6[category],Table6[id_category])</f>
        <v>KTG0206</v>
      </c>
      <c r="N170" t="s">
        <v>1234</v>
      </c>
      <c r="O170">
        <v>3</v>
      </c>
      <c r="P170">
        <v>18000</v>
      </c>
      <c r="Q170">
        <v>0</v>
      </c>
      <c r="R170">
        <v>3.9</v>
      </c>
      <c r="S170" t="str">
        <f>_xlfn.XLOOKUP(Table1[[#This Row],[method]],Table7[method],Table7[id_method])</f>
        <v>PAY0712</v>
      </c>
      <c r="T170" t="s">
        <v>1239</v>
      </c>
      <c r="U170">
        <v>54000</v>
      </c>
    </row>
    <row r="171" spans="1:21" x14ac:dyDescent="0.25">
      <c r="A171" t="s">
        <v>183</v>
      </c>
      <c r="B171" t="str">
        <f>_xlfn.XLOOKUP(Table1[[#This Row],[date]],Table8[date],Table8[id_date])</f>
        <v>TGL0586</v>
      </c>
      <c r="C171" s="1">
        <v>45398</v>
      </c>
      <c r="D171" s="1" t="str">
        <f>_xlfn.XLOOKUP(Table1[[#This Row],[customer_name]],Table11[customer_name],Table11[id_cust])</f>
        <v>CNA0148</v>
      </c>
      <c r="E171" t="s">
        <v>1057</v>
      </c>
      <c r="F171">
        <v>53</v>
      </c>
      <c r="G171" t="str">
        <f>_xlfn.XLOOKUP(Table1[[#This Row],[branch_name]],Table3[branch_name],Table3[id_branch])</f>
        <v>BRCH004</v>
      </c>
      <c r="H171" t="s">
        <v>1216</v>
      </c>
      <c r="I171" t="str">
        <f>_xlfn.XLOOKUP(Table1[[#This Row],[city]],Table4[city],Table4[id_city])</f>
        <v>KOA0105</v>
      </c>
      <c r="J171" t="s">
        <v>1221</v>
      </c>
      <c r="K171" t="str">
        <f>_xlfn.XLOOKUP(Table1[[#This Row],[menu_name]],Table5[menu_name],Table5[id_menu])</f>
        <v>MENU006</v>
      </c>
      <c r="L171" t="s">
        <v>1228</v>
      </c>
      <c r="M171" t="str">
        <f>_xlfn.XLOOKUP(Table1[[#This Row],[category]],Table6[category],Table6[id_category])</f>
        <v>KTG0206</v>
      </c>
      <c r="N171" t="s">
        <v>1234</v>
      </c>
      <c r="O171">
        <v>1</v>
      </c>
      <c r="P171">
        <v>32000</v>
      </c>
      <c r="Q171">
        <v>15</v>
      </c>
      <c r="R171">
        <v>3.7</v>
      </c>
      <c r="S171" t="str">
        <f>_xlfn.XLOOKUP(Table1[[#This Row],[method]],Table7[method],Table7[id_method])</f>
        <v>PAY0711</v>
      </c>
      <c r="T171" t="s">
        <v>1238</v>
      </c>
      <c r="U171">
        <v>27200</v>
      </c>
    </row>
    <row r="172" spans="1:21" x14ac:dyDescent="0.25">
      <c r="A172" t="s">
        <v>184</v>
      </c>
      <c r="B172" t="str">
        <f>_xlfn.XLOOKUP(Table1[[#This Row],[date]],Table8[date],Table8[id_date])</f>
        <v>TGL0587</v>
      </c>
      <c r="C172" s="1">
        <v>45400</v>
      </c>
      <c r="D172" s="1" t="str">
        <f>_xlfn.XLOOKUP(Table1[[#This Row],[customer_name]],Table11[customer_name],Table11[id_cust])</f>
        <v>CNA0271</v>
      </c>
      <c r="E172" t="s">
        <v>1135</v>
      </c>
      <c r="F172">
        <v>48</v>
      </c>
      <c r="G172" t="str">
        <f>_xlfn.XLOOKUP(Table1[[#This Row],[branch_name]],Table3[branch_name],Table3[id_branch])</f>
        <v>BRCH004</v>
      </c>
      <c r="H172" t="s">
        <v>1216</v>
      </c>
      <c r="I172" t="str">
        <f>_xlfn.XLOOKUP(Table1[[#This Row],[city]],Table4[city],Table4[id_city])</f>
        <v>KOA0105</v>
      </c>
      <c r="J172" t="s">
        <v>1221</v>
      </c>
      <c r="K172" t="str">
        <f>_xlfn.XLOOKUP(Table1[[#This Row],[menu_name]],Table5[menu_name],Table5[id_menu])</f>
        <v>MENU005</v>
      </c>
      <c r="L172" t="s">
        <v>1227</v>
      </c>
      <c r="M172" t="str">
        <f>_xlfn.XLOOKUP(Table1[[#This Row],[category]],Table6[category],Table6[id_category])</f>
        <v>KTG0206</v>
      </c>
      <c r="N172" t="s">
        <v>1234</v>
      </c>
      <c r="O172">
        <v>1</v>
      </c>
      <c r="P172">
        <v>23000</v>
      </c>
      <c r="Q172">
        <v>5</v>
      </c>
      <c r="R172">
        <v>3.5</v>
      </c>
      <c r="S172" t="str">
        <f>_xlfn.XLOOKUP(Table1[[#This Row],[method]],Table7[method],Table7[id_method])</f>
        <v>PAY0709</v>
      </c>
      <c r="T172" t="s">
        <v>1236</v>
      </c>
      <c r="U172">
        <v>21850</v>
      </c>
    </row>
    <row r="173" spans="1:21" x14ac:dyDescent="0.25">
      <c r="A173" t="s">
        <v>185</v>
      </c>
      <c r="B173" t="str">
        <f>_xlfn.XLOOKUP(Table1[[#This Row],[date]],Table8[date],Table8[id_date])</f>
        <v>TGL0587</v>
      </c>
      <c r="C173" s="1">
        <v>45400</v>
      </c>
      <c r="D173" s="1" t="str">
        <f>_xlfn.XLOOKUP(Table1[[#This Row],[customer_name]],Table11[customer_name],Table11[id_cust])</f>
        <v>CNA0272</v>
      </c>
      <c r="E173" t="s">
        <v>1136</v>
      </c>
      <c r="F173">
        <v>40</v>
      </c>
      <c r="G173" t="str">
        <f>_xlfn.XLOOKUP(Table1[[#This Row],[branch_name]],Table3[branch_name],Table3[id_branch])</f>
        <v>BRCH003</v>
      </c>
      <c r="H173" t="s">
        <v>1215</v>
      </c>
      <c r="I173" t="str">
        <f>_xlfn.XLOOKUP(Table1[[#This Row],[city]],Table4[city],Table4[id_city])</f>
        <v>KOA0104</v>
      </c>
      <c r="J173" t="s">
        <v>1220</v>
      </c>
      <c r="K173" t="str">
        <f>_xlfn.XLOOKUP(Table1[[#This Row],[menu_name]],Table5[menu_name],Table5[id_menu])</f>
        <v>MENU005</v>
      </c>
      <c r="L173" t="s">
        <v>1227</v>
      </c>
      <c r="M173" t="str">
        <f>_xlfn.XLOOKUP(Table1[[#This Row],[category]],Table6[category],Table6[id_category])</f>
        <v>KTG0206</v>
      </c>
      <c r="N173" t="s">
        <v>1234</v>
      </c>
      <c r="O173">
        <v>1</v>
      </c>
      <c r="P173">
        <v>23000</v>
      </c>
      <c r="Q173">
        <v>0</v>
      </c>
      <c r="R173">
        <v>1.4</v>
      </c>
      <c r="S173" t="str">
        <f>_xlfn.XLOOKUP(Table1[[#This Row],[method]],Table7[method],Table7[id_method])</f>
        <v>PAY0711</v>
      </c>
      <c r="T173" t="s">
        <v>1238</v>
      </c>
      <c r="U173">
        <v>23000</v>
      </c>
    </row>
    <row r="174" spans="1:21" x14ac:dyDescent="0.25">
      <c r="A174" t="s">
        <v>186</v>
      </c>
      <c r="B174" t="str">
        <f>_xlfn.XLOOKUP(Table1[[#This Row],[date]],Table8[date],Table8[id_date])</f>
        <v>TGL0588</v>
      </c>
      <c r="C174" s="1">
        <v>45402</v>
      </c>
      <c r="D174" s="1" t="str">
        <f>_xlfn.XLOOKUP(Table1[[#This Row],[customer_name]],Table11[customer_name],Table11[id_cust])</f>
        <v>CNA0115</v>
      </c>
      <c r="E174" t="s">
        <v>1028</v>
      </c>
      <c r="F174">
        <v>46</v>
      </c>
      <c r="G174" t="str">
        <f>_xlfn.XLOOKUP(Table1[[#This Row],[branch_name]],Table3[branch_name],Table3[id_branch])</f>
        <v>BRCH003</v>
      </c>
      <c r="H174" t="s">
        <v>1215</v>
      </c>
      <c r="I174" t="str">
        <f>_xlfn.XLOOKUP(Table1[[#This Row],[city]],Table4[city],Table4[id_city])</f>
        <v>KOA0104</v>
      </c>
      <c r="J174" t="s">
        <v>1220</v>
      </c>
      <c r="K174" t="str">
        <f>_xlfn.XLOOKUP(Table1[[#This Row],[menu_name]],Table5[menu_name],Table5[id_menu])</f>
        <v>MENU010</v>
      </c>
      <c r="L174" t="s">
        <v>1232</v>
      </c>
      <c r="M174" t="str">
        <f>_xlfn.XLOOKUP(Table1[[#This Row],[category]],Table6[category],Table6[id_category])</f>
        <v>KTG0205</v>
      </c>
      <c r="N174" t="s">
        <v>1233</v>
      </c>
      <c r="O174">
        <v>4</v>
      </c>
      <c r="P174">
        <v>18000</v>
      </c>
      <c r="Q174">
        <v>15</v>
      </c>
      <c r="R174">
        <v>3.3</v>
      </c>
      <c r="S174" t="str">
        <f>_xlfn.XLOOKUP(Table1[[#This Row],[method]],Table7[method],Table7[id_method])</f>
        <v>PAY0710</v>
      </c>
      <c r="T174" t="s">
        <v>1237</v>
      </c>
      <c r="U174">
        <v>61200</v>
      </c>
    </row>
    <row r="175" spans="1:21" x14ac:dyDescent="0.25">
      <c r="A175" t="s">
        <v>187</v>
      </c>
      <c r="B175" t="str">
        <f>_xlfn.XLOOKUP(Table1[[#This Row],[date]],Table8[date],Table8[id_date])</f>
        <v>TGL0588</v>
      </c>
      <c r="C175" s="1">
        <v>45402</v>
      </c>
      <c r="D175" s="1" t="str">
        <f>_xlfn.XLOOKUP(Table1[[#This Row],[customer_name]],Table11[customer_name],Table11[id_cust])</f>
        <v>CNA0274</v>
      </c>
      <c r="E175" t="s">
        <v>1137</v>
      </c>
      <c r="F175">
        <v>27</v>
      </c>
      <c r="G175" t="str">
        <f>_xlfn.XLOOKUP(Table1[[#This Row],[branch_name]],Table3[branch_name],Table3[id_branch])</f>
        <v>BRCH001</v>
      </c>
      <c r="H175" t="s">
        <v>1213</v>
      </c>
      <c r="I175" t="str">
        <f>_xlfn.XLOOKUP(Table1[[#This Row],[city]],Table4[city],Table4[id_city])</f>
        <v>KOA0102</v>
      </c>
      <c r="J175" t="s">
        <v>1218</v>
      </c>
      <c r="K175" t="str">
        <f>_xlfn.XLOOKUP(Table1[[#This Row],[menu_name]],Table5[menu_name],Table5[id_menu])</f>
        <v>MENU001</v>
      </c>
      <c r="L175" t="s">
        <v>1223</v>
      </c>
      <c r="M175" t="str">
        <f>_xlfn.XLOOKUP(Table1[[#This Row],[category]],Table6[category],Table6[id_category])</f>
        <v>KTG0205</v>
      </c>
      <c r="N175" t="s">
        <v>1233</v>
      </c>
      <c r="O175">
        <v>2</v>
      </c>
      <c r="P175">
        <v>25000</v>
      </c>
      <c r="Q175">
        <v>15</v>
      </c>
      <c r="R175">
        <v>4</v>
      </c>
      <c r="S175" t="str">
        <f>_xlfn.XLOOKUP(Table1[[#This Row],[method]],Table7[method],Table7[id_method])</f>
        <v>PAY0712</v>
      </c>
      <c r="T175" t="s">
        <v>1239</v>
      </c>
      <c r="U175">
        <v>42500</v>
      </c>
    </row>
    <row r="176" spans="1:21" x14ac:dyDescent="0.25">
      <c r="A176" t="s">
        <v>188</v>
      </c>
      <c r="B176" t="str">
        <f>_xlfn.XLOOKUP(Table1[[#This Row],[date]],Table8[date],Table8[id_date])</f>
        <v>TGL0588</v>
      </c>
      <c r="C176" s="1">
        <v>45402</v>
      </c>
      <c r="D176" s="1" t="str">
        <f>_xlfn.XLOOKUP(Table1[[#This Row],[customer_name]],Table11[customer_name],Table11[id_cust])</f>
        <v>CNA0168</v>
      </c>
      <c r="E176" t="s">
        <v>1073</v>
      </c>
      <c r="F176">
        <v>37</v>
      </c>
      <c r="G176" t="str">
        <f>_xlfn.XLOOKUP(Table1[[#This Row],[branch_name]],Table3[branch_name],Table3[id_branch])</f>
        <v>BRCH003</v>
      </c>
      <c r="H176" t="s">
        <v>1215</v>
      </c>
      <c r="I176" t="str">
        <f>_xlfn.XLOOKUP(Table1[[#This Row],[city]],Table4[city],Table4[id_city])</f>
        <v>KOA0104</v>
      </c>
      <c r="J176" t="s">
        <v>1220</v>
      </c>
      <c r="K176" t="str">
        <f>_xlfn.XLOOKUP(Table1[[#This Row],[menu_name]],Table5[menu_name],Table5[id_menu])</f>
        <v>MENU003</v>
      </c>
      <c r="L176" t="s">
        <v>1225</v>
      </c>
      <c r="M176" t="str">
        <f>_xlfn.XLOOKUP(Table1[[#This Row],[category]],Table6[category],Table6[id_category])</f>
        <v>KTG0205</v>
      </c>
      <c r="N176" t="s">
        <v>1233</v>
      </c>
      <c r="O176">
        <v>5</v>
      </c>
      <c r="P176">
        <v>22000</v>
      </c>
      <c r="Q176">
        <v>0</v>
      </c>
      <c r="R176">
        <v>2.7</v>
      </c>
      <c r="S176" t="str">
        <f>_xlfn.XLOOKUP(Table1[[#This Row],[method]],Table7[method],Table7[id_method])</f>
        <v>PAY0712</v>
      </c>
      <c r="T176" t="s">
        <v>1239</v>
      </c>
      <c r="U176">
        <v>110000</v>
      </c>
    </row>
    <row r="177" spans="1:21" x14ac:dyDescent="0.25">
      <c r="A177" t="s">
        <v>189</v>
      </c>
      <c r="B177" t="str">
        <f>_xlfn.XLOOKUP(Table1[[#This Row],[date]],Table8[date],Table8[id_date])</f>
        <v>TGL0589</v>
      </c>
      <c r="C177" s="1">
        <v>45403</v>
      </c>
      <c r="D177" s="1" t="str">
        <f>_xlfn.XLOOKUP(Table1[[#This Row],[customer_name]],Table11[customer_name],Table11[id_cust])</f>
        <v>CNA0263</v>
      </c>
      <c r="E177" t="s">
        <v>1131</v>
      </c>
      <c r="F177">
        <v>36</v>
      </c>
      <c r="G177" t="str">
        <f>_xlfn.XLOOKUP(Table1[[#This Row],[branch_name]],Table3[branch_name],Table3[id_branch])</f>
        <v>BRCH004</v>
      </c>
      <c r="H177" t="s">
        <v>1216</v>
      </c>
      <c r="I177" t="str">
        <f>_xlfn.XLOOKUP(Table1[[#This Row],[city]],Table4[city],Table4[id_city])</f>
        <v>KOA0105</v>
      </c>
      <c r="J177" t="s">
        <v>1221</v>
      </c>
      <c r="K177" t="str">
        <f>_xlfn.XLOOKUP(Table1[[#This Row],[menu_name]],Table5[menu_name],Table5[id_menu])</f>
        <v>MENU001</v>
      </c>
      <c r="L177" t="s">
        <v>1223</v>
      </c>
      <c r="M177" t="str">
        <f>_xlfn.XLOOKUP(Table1[[#This Row],[category]],Table6[category],Table6[id_category])</f>
        <v>KTG0205</v>
      </c>
      <c r="N177" t="s">
        <v>1233</v>
      </c>
      <c r="O177">
        <v>2</v>
      </c>
      <c r="P177">
        <v>25000</v>
      </c>
      <c r="Q177">
        <v>0</v>
      </c>
      <c r="R177">
        <v>4</v>
      </c>
      <c r="S177" t="str">
        <f>_xlfn.XLOOKUP(Table1[[#This Row],[method]],Table7[method],Table7[id_method])</f>
        <v>PAY0711</v>
      </c>
      <c r="T177" t="s">
        <v>1238</v>
      </c>
      <c r="U177">
        <v>50000</v>
      </c>
    </row>
    <row r="178" spans="1:21" x14ac:dyDescent="0.25">
      <c r="A178" t="s">
        <v>190</v>
      </c>
      <c r="B178" t="str">
        <f>_xlfn.XLOOKUP(Table1[[#This Row],[date]],Table8[date],Table8[id_date])</f>
        <v>TGL0590</v>
      </c>
      <c r="C178" s="1">
        <v>45404</v>
      </c>
      <c r="D178" s="1" t="str">
        <f>_xlfn.XLOOKUP(Table1[[#This Row],[customer_name]],Table11[customer_name],Table11[id_cust])</f>
        <v>CNA0277</v>
      </c>
      <c r="E178" t="s">
        <v>1138</v>
      </c>
      <c r="F178">
        <v>52</v>
      </c>
      <c r="G178" t="str">
        <f>_xlfn.XLOOKUP(Table1[[#This Row],[branch_name]],Table3[branch_name],Table3[id_branch])</f>
        <v>BRCH003</v>
      </c>
      <c r="H178" t="s">
        <v>1215</v>
      </c>
      <c r="I178" t="str">
        <f>_xlfn.XLOOKUP(Table1[[#This Row],[city]],Table4[city],Table4[id_city])</f>
        <v>KOA0104</v>
      </c>
      <c r="J178" t="s">
        <v>1220</v>
      </c>
      <c r="K178" t="str">
        <f>_xlfn.XLOOKUP(Table1[[#This Row],[menu_name]],Table5[menu_name],Table5[id_menu])</f>
        <v>MENU007</v>
      </c>
      <c r="L178" t="s">
        <v>1229</v>
      </c>
      <c r="M178" t="str">
        <f>_xlfn.XLOOKUP(Table1[[#This Row],[category]],Table6[category],Table6[id_category])</f>
        <v>KTG0207</v>
      </c>
      <c r="N178" t="s">
        <v>1235</v>
      </c>
      <c r="O178">
        <v>5</v>
      </c>
      <c r="P178">
        <v>27000</v>
      </c>
      <c r="Q178">
        <v>10</v>
      </c>
      <c r="R178">
        <v>4.9000000000000004</v>
      </c>
      <c r="S178" t="str">
        <f>_xlfn.XLOOKUP(Table1[[#This Row],[method]],Table7[method],Table7[id_method])</f>
        <v>PAY0710</v>
      </c>
      <c r="T178" t="s">
        <v>1237</v>
      </c>
      <c r="U178">
        <v>121500</v>
      </c>
    </row>
    <row r="179" spans="1:21" x14ac:dyDescent="0.25">
      <c r="A179" t="s">
        <v>191</v>
      </c>
      <c r="B179" t="str">
        <f>_xlfn.XLOOKUP(Table1[[#This Row],[date]],Table8[date],Table8[id_date])</f>
        <v>TGL0590</v>
      </c>
      <c r="C179" s="1">
        <v>45404</v>
      </c>
      <c r="D179" s="1" t="str">
        <f>_xlfn.XLOOKUP(Table1[[#This Row],[customer_name]],Table11[customer_name],Table11[id_cust])</f>
        <v>CNA0278</v>
      </c>
      <c r="E179" t="s">
        <v>1139</v>
      </c>
      <c r="F179">
        <v>32</v>
      </c>
      <c r="G179" t="str">
        <f>_xlfn.XLOOKUP(Table1[[#This Row],[branch_name]],Table3[branch_name],Table3[id_branch])</f>
        <v>BRCH004</v>
      </c>
      <c r="H179" t="s">
        <v>1216</v>
      </c>
      <c r="I179" t="str">
        <f>_xlfn.XLOOKUP(Table1[[#This Row],[city]],Table4[city],Table4[id_city])</f>
        <v>KOA0105</v>
      </c>
      <c r="J179" t="s">
        <v>1221</v>
      </c>
      <c r="K179" t="str">
        <f>_xlfn.XLOOKUP(Table1[[#This Row],[menu_name]],Table5[menu_name],Table5[id_menu])</f>
        <v>MENU001</v>
      </c>
      <c r="L179" t="s">
        <v>1223</v>
      </c>
      <c r="M179" t="str">
        <f>_xlfn.XLOOKUP(Table1[[#This Row],[category]],Table6[category],Table6[id_category])</f>
        <v>KTG0205</v>
      </c>
      <c r="N179" t="s">
        <v>1233</v>
      </c>
      <c r="O179">
        <v>5</v>
      </c>
      <c r="P179">
        <v>25000</v>
      </c>
      <c r="Q179">
        <v>15</v>
      </c>
      <c r="R179">
        <v>2.4</v>
      </c>
      <c r="S179" t="str">
        <f>_xlfn.XLOOKUP(Table1[[#This Row],[method]],Table7[method],Table7[id_method])</f>
        <v>PAY0712</v>
      </c>
      <c r="T179" t="s">
        <v>1239</v>
      </c>
      <c r="U179">
        <v>106250</v>
      </c>
    </row>
    <row r="180" spans="1:21" x14ac:dyDescent="0.25">
      <c r="A180" t="s">
        <v>192</v>
      </c>
      <c r="B180" t="str">
        <f>_xlfn.XLOOKUP(Table1[[#This Row],[date]],Table8[date],Table8[id_date])</f>
        <v>TGL0591</v>
      </c>
      <c r="C180" s="1">
        <v>45405</v>
      </c>
      <c r="D180" s="1" t="str">
        <f>_xlfn.XLOOKUP(Table1[[#This Row],[customer_name]],Table11[customer_name],Table11[id_cust])</f>
        <v>CNA0158</v>
      </c>
      <c r="E180" t="s">
        <v>1066</v>
      </c>
      <c r="F180">
        <v>48</v>
      </c>
      <c r="G180" t="str">
        <f>_xlfn.XLOOKUP(Table1[[#This Row],[branch_name]],Table3[branch_name],Table3[id_branch])</f>
        <v>BRCH001</v>
      </c>
      <c r="H180" t="s">
        <v>1213</v>
      </c>
      <c r="I180" t="str">
        <f>_xlfn.XLOOKUP(Table1[[#This Row],[city]],Table4[city],Table4[id_city])</f>
        <v>KOA0102</v>
      </c>
      <c r="J180" t="s">
        <v>1218</v>
      </c>
      <c r="K180" t="str">
        <f>_xlfn.XLOOKUP(Table1[[#This Row],[menu_name]],Table5[menu_name],Table5[id_menu])</f>
        <v>MENU007</v>
      </c>
      <c r="L180" t="s">
        <v>1229</v>
      </c>
      <c r="M180" t="str">
        <f>_xlfn.XLOOKUP(Table1[[#This Row],[category]],Table6[category],Table6[id_category])</f>
        <v>KTG0207</v>
      </c>
      <c r="N180" t="s">
        <v>1235</v>
      </c>
      <c r="O180">
        <v>3</v>
      </c>
      <c r="P180">
        <v>27000</v>
      </c>
      <c r="Q180">
        <v>15</v>
      </c>
      <c r="R180">
        <v>1</v>
      </c>
      <c r="S180" t="str">
        <f>_xlfn.XLOOKUP(Table1[[#This Row],[method]],Table7[method],Table7[id_method])</f>
        <v>PAY0711</v>
      </c>
      <c r="T180" t="s">
        <v>1238</v>
      </c>
      <c r="U180">
        <v>68850</v>
      </c>
    </row>
    <row r="181" spans="1:21" x14ac:dyDescent="0.25">
      <c r="A181" t="s">
        <v>193</v>
      </c>
      <c r="B181" t="str">
        <f>_xlfn.XLOOKUP(Table1[[#This Row],[date]],Table8[date],Table8[id_date])</f>
        <v>TGL0592</v>
      </c>
      <c r="C181" s="1">
        <v>45406</v>
      </c>
      <c r="D181" s="1" t="str">
        <f>_xlfn.XLOOKUP(Table1[[#This Row],[customer_name]],Table11[customer_name],Table11[id_cust])</f>
        <v>CNA0280</v>
      </c>
      <c r="E181" t="s">
        <v>1140</v>
      </c>
      <c r="F181">
        <v>25</v>
      </c>
      <c r="G181" t="str">
        <f>_xlfn.XLOOKUP(Table1[[#This Row],[branch_name]],Table3[branch_name],Table3[id_branch])</f>
        <v>BRCH003</v>
      </c>
      <c r="H181" t="s">
        <v>1215</v>
      </c>
      <c r="I181" t="str">
        <f>_xlfn.XLOOKUP(Table1[[#This Row],[city]],Table4[city],Table4[id_city])</f>
        <v>KOA0104</v>
      </c>
      <c r="J181" t="s">
        <v>1220</v>
      </c>
      <c r="K181" t="str">
        <f>_xlfn.XLOOKUP(Table1[[#This Row],[menu_name]],Table5[menu_name],Table5[id_menu])</f>
        <v>MENU005</v>
      </c>
      <c r="L181" t="s">
        <v>1227</v>
      </c>
      <c r="M181" t="str">
        <f>_xlfn.XLOOKUP(Table1[[#This Row],[category]],Table6[category],Table6[id_category])</f>
        <v>KTG0206</v>
      </c>
      <c r="N181" t="s">
        <v>1234</v>
      </c>
      <c r="O181">
        <v>2</v>
      </c>
      <c r="P181">
        <v>23000</v>
      </c>
      <c r="Q181">
        <v>0</v>
      </c>
      <c r="R181">
        <v>4</v>
      </c>
      <c r="S181" t="str">
        <f>_xlfn.XLOOKUP(Table1[[#This Row],[method]],Table7[method],Table7[id_method])</f>
        <v>PAY0712</v>
      </c>
      <c r="T181" t="s">
        <v>1239</v>
      </c>
      <c r="U181">
        <v>46000</v>
      </c>
    </row>
    <row r="182" spans="1:21" x14ac:dyDescent="0.25">
      <c r="A182" t="s">
        <v>194</v>
      </c>
      <c r="B182" t="str">
        <f>_xlfn.XLOOKUP(Table1[[#This Row],[date]],Table8[date],Table8[id_date])</f>
        <v>TGL0593</v>
      </c>
      <c r="C182" s="1">
        <v>45407</v>
      </c>
      <c r="D182" s="1" t="str">
        <f>_xlfn.XLOOKUP(Table1[[#This Row],[customer_name]],Table11[customer_name],Table11[id_cust])</f>
        <v>CNA0118</v>
      </c>
      <c r="E182" t="s">
        <v>1031</v>
      </c>
      <c r="F182">
        <v>22</v>
      </c>
      <c r="G182" t="str">
        <f>_xlfn.XLOOKUP(Table1[[#This Row],[branch_name]],Table3[branch_name],Table3[id_branch])</f>
        <v>BRCH001</v>
      </c>
      <c r="H182" t="s">
        <v>1213</v>
      </c>
      <c r="I182" t="str">
        <f>_xlfn.XLOOKUP(Table1[[#This Row],[city]],Table4[city],Table4[id_city])</f>
        <v>KOA0102</v>
      </c>
      <c r="J182" t="s">
        <v>1218</v>
      </c>
      <c r="K182" t="str">
        <f>_xlfn.XLOOKUP(Table1[[#This Row],[menu_name]],Table5[menu_name],Table5[id_menu])</f>
        <v>MENU007</v>
      </c>
      <c r="L182" t="s">
        <v>1229</v>
      </c>
      <c r="M182" t="str">
        <f>_xlfn.XLOOKUP(Table1[[#This Row],[category]],Table6[category],Table6[id_category])</f>
        <v>KTG0207</v>
      </c>
      <c r="N182" t="s">
        <v>1235</v>
      </c>
      <c r="O182">
        <v>1</v>
      </c>
      <c r="P182">
        <v>27000</v>
      </c>
      <c r="Q182">
        <v>0</v>
      </c>
      <c r="R182">
        <v>2.2999999999999998</v>
      </c>
      <c r="S182" t="str">
        <f>_xlfn.XLOOKUP(Table1[[#This Row],[method]],Table7[method],Table7[id_method])</f>
        <v>PAY0709</v>
      </c>
      <c r="T182" t="s">
        <v>1236</v>
      </c>
      <c r="U182">
        <v>27000</v>
      </c>
    </row>
    <row r="183" spans="1:21" x14ac:dyDescent="0.25">
      <c r="A183" t="s">
        <v>195</v>
      </c>
      <c r="B183" t="str">
        <f>_xlfn.XLOOKUP(Table1[[#This Row],[date]],Table8[date],Table8[id_date])</f>
        <v>TGL0594</v>
      </c>
      <c r="C183" s="1">
        <v>45408</v>
      </c>
      <c r="D183" s="1" t="str">
        <f>_xlfn.XLOOKUP(Table1[[#This Row],[customer_name]],Table11[customer_name],Table11[id_cust])</f>
        <v>CNA0157</v>
      </c>
      <c r="E183" t="s">
        <v>1065</v>
      </c>
      <c r="F183">
        <v>29</v>
      </c>
      <c r="G183" t="str">
        <f>_xlfn.XLOOKUP(Table1[[#This Row],[branch_name]],Table3[branch_name],Table3[id_branch])</f>
        <v>BRCH003</v>
      </c>
      <c r="H183" t="s">
        <v>1215</v>
      </c>
      <c r="I183" t="str">
        <f>_xlfn.XLOOKUP(Table1[[#This Row],[city]],Table4[city],Table4[id_city])</f>
        <v>KOA0104</v>
      </c>
      <c r="J183" t="s">
        <v>1220</v>
      </c>
      <c r="K183" t="str">
        <f>_xlfn.XLOOKUP(Table1[[#This Row],[menu_name]],Table5[menu_name],Table5[id_menu])</f>
        <v>MENU006</v>
      </c>
      <c r="L183" t="s">
        <v>1228</v>
      </c>
      <c r="M183" t="str">
        <f>_xlfn.XLOOKUP(Table1[[#This Row],[category]],Table6[category],Table6[id_category])</f>
        <v>KTG0206</v>
      </c>
      <c r="N183" t="s">
        <v>1234</v>
      </c>
      <c r="O183">
        <v>5</v>
      </c>
      <c r="P183">
        <v>32000</v>
      </c>
      <c r="Q183">
        <v>0</v>
      </c>
      <c r="R183">
        <v>2.2000000000000002</v>
      </c>
      <c r="S183" t="str">
        <f>_xlfn.XLOOKUP(Table1[[#This Row],[method]],Table7[method],Table7[id_method])</f>
        <v>PAY0712</v>
      </c>
      <c r="T183" t="s">
        <v>1239</v>
      </c>
      <c r="U183">
        <v>160000</v>
      </c>
    </row>
    <row r="184" spans="1:21" x14ac:dyDescent="0.25">
      <c r="A184" t="s">
        <v>196</v>
      </c>
      <c r="B184" t="str">
        <f>_xlfn.XLOOKUP(Table1[[#This Row],[date]],Table8[date],Table8[id_date])</f>
        <v>TGL0594</v>
      </c>
      <c r="C184" s="1">
        <v>45408</v>
      </c>
      <c r="D184" s="1" t="str">
        <f>_xlfn.XLOOKUP(Table1[[#This Row],[customer_name]],Table11[customer_name],Table11[id_cust])</f>
        <v>CNA0127</v>
      </c>
      <c r="E184" t="s">
        <v>1039</v>
      </c>
      <c r="F184">
        <v>48</v>
      </c>
      <c r="G184" t="str">
        <f>_xlfn.XLOOKUP(Table1[[#This Row],[branch_name]],Table3[branch_name],Table3[id_branch])</f>
        <v>BRCH001</v>
      </c>
      <c r="H184" t="s">
        <v>1213</v>
      </c>
      <c r="I184" t="str">
        <f>_xlfn.XLOOKUP(Table1[[#This Row],[city]],Table4[city],Table4[id_city])</f>
        <v>KOA0102</v>
      </c>
      <c r="J184" t="s">
        <v>1218</v>
      </c>
      <c r="K184" t="str">
        <f>_xlfn.XLOOKUP(Table1[[#This Row],[menu_name]],Table5[menu_name],Table5[id_menu])</f>
        <v>MENU003</v>
      </c>
      <c r="L184" t="s">
        <v>1225</v>
      </c>
      <c r="M184" t="str">
        <f>_xlfn.XLOOKUP(Table1[[#This Row],[category]],Table6[category],Table6[id_category])</f>
        <v>KTG0205</v>
      </c>
      <c r="N184" t="s">
        <v>1233</v>
      </c>
      <c r="O184">
        <v>2</v>
      </c>
      <c r="P184">
        <v>22000</v>
      </c>
      <c r="Q184">
        <v>20</v>
      </c>
      <c r="R184">
        <v>4</v>
      </c>
      <c r="S184" t="str">
        <f>_xlfn.XLOOKUP(Table1[[#This Row],[method]],Table7[method],Table7[id_method])</f>
        <v>PAY0711</v>
      </c>
      <c r="T184" t="s">
        <v>1238</v>
      </c>
      <c r="U184">
        <v>35200</v>
      </c>
    </row>
    <row r="185" spans="1:21" x14ac:dyDescent="0.25">
      <c r="A185" t="s">
        <v>197</v>
      </c>
      <c r="B185" t="str">
        <f>_xlfn.XLOOKUP(Table1[[#This Row],[date]],Table8[date],Table8[id_date])</f>
        <v>TGL0594</v>
      </c>
      <c r="C185" s="1">
        <v>45408</v>
      </c>
      <c r="D185" s="1" t="str">
        <f>_xlfn.XLOOKUP(Table1[[#This Row],[customer_name]],Table11[customer_name],Table11[id_cust])</f>
        <v>CNA0284</v>
      </c>
      <c r="E185" t="s">
        <v>1141</v>
      </c>
      <c r="F185">
        <v>21</v>
      </c>
      <c r="G185" t="str">
        <f>_xlfn.XLOOKUP(Table1[[#This Row],[branch_name]],Table3[branch_name],Table3[id_branch])</f>
        <v>BRCH001</v>
      </c>
      <c r="H185" t="s">
        <v>1213</v>
      </c>
      <c r="I185" t="str">
        <f>_xlfn.XLOOKUP(Table1[[#This Row],[city]],Table4[city],Table4[id_city])</f>
        <v>KOA0102</v>
      </c>
      <c r="J185" t="s">
        <v>1218</v>
      </c>
      <c r="K185" t="str">
        <f>_xlfn.XLOOKUP(Table1[[#This Row],[menu_name]],Table5[menu_name],Table5[id_menu])</f>
        <v>MENU008</v>
      </c>
      <c r="L185" t="s">
        <v>1230</v>
      </c>
      <c r="M185" t="str">
        <f>_xlfn.XLOOKUP(Table1[[#This Row],[category]],Table6[category],Table6[id_category])</f>
        <v>KTG0205</v>
      </c>
      <c r="N185" t="s">
        <v>1233</v>
      </c>
      <c r="O185">
        <v>1</v>
      </c>
      <c r="P185">
        <v>20000</v>
      </c>
      <c r="Q185">
        <v>15</v>
      </c>
      <c r="R185">
        <v>1.1000000000000001</v>
      </c>
      <c r="S185" t="str">
        <f>_xlfn.XLOOKUP(Table1[[#This Row],[method]],Table7[method],Table7[id_method])</f>
        <v>PAY0712</v>
      </c>
      <c r="T185" t="s">
        <v>1239</v>
      </c>
      <c r="U185">
        <v>17000</v>
      </c>
    </row>
    <row r="186" spans="1:21" x14ac:dyDescent="0.25">
      <c r="A186" t="s">
        <v>198</v>
      </c>
      <c r="B186" t="str">
        <f>_xlfn.XLOOKUP(Table1[[#This Row],[date]],Table8[date],Table8[id_date])</f>
        <v>TGL0595</v>
      </c>
      <c r="C186" s="1">
        <v>45409</v>
      </c>
      <c r="D186" s="1" t="str">
        <f>_xlfn.XLOOKUP(Table1[[#This Row],[customer_name]],Table11[customer_name],Table11[id_cust])</f>
        <v>CNA0158</v>
      </c>
      <c r="E186" t="s">
        <v>1066</v>
      </c>
      <c r="F186">
        <v>48</v>
      </c>
      <c r="G186" t="str">
        <f>_xlfn.XLOOKUP(Table1[[#This Row],[branch_name]],Table3[branch_name],Table3[id_branch])</f>
        <v>BRCH002</v>
      </c>
      <c r="H186" t="s">
        <v>1214</v>
      </c>
      <c r="I186" t="str">
        <f>_xlfn.XLOOKUP(Table1[[#This Row],[city]],Table4[city],Table4[id_city])</f>
        <v>KOA0103</v>
      </c>
      <c r="J186" t="s">
        <v>1219</v>
      </c>
      <c r="K186" t="str">
        <f>_xlfn.XLOOKUP(Table1[[#This Row],[menu_name]],Table5[menu_name],Table5[id_menu])</f>
        <v>MENU009</v>
      </c>
      <c r="L186" t="s">
        <v>1231</v>
      </c>
      <c r="M186" t="str">
        <f>_xlfn.XLOOKUP(Table1[[#This Row],[category]],Table6[category],Table6[id_category])</f>
        <v>KTG0206</v>
      </c>
      <c r="N186" t="s">
        <v>1234</v>
      </c>
      <c r="O186">
        <v>1</v>
      </c>
      <c r="P186">
        <v>18000</v>
      </c>
      <c r="Q186">
        <v>0</v>
      </c>
      <c r="R186">
        <v>2.7</v>
      </c>
      <c r="S186" t="str">
        <f>_xlfn.XLOOKUP(Table1[[#This Row],[method]],Table7[method],Table7[id_method])</f>
        <v>PAY0711</v>
      </c>
      <c r="T186" t="s">
        <v>1238</v>
      </c>
      <c r="U186">
        <v>18000</v>
      </c>
    </row>
    <row r="187" spans="1:21" x14ac:dyDescent="0.25">
      <c r="A187" t="s">
        <v>199</v>
      </c>
      <c r="B187" t="str">
        <f>_xlfn.XLOOKUP(Table1[[#This Row],[date]],Table8[date],Table8[id_date])</f>
        <v>TGL0595</v>
      </c>
      <c r="C187" s="1">
        <v>45409</v>
      </c>
      <c r="D187" s="1" t="str">
        <f>_xlfn.XLOOKUP(Table1[[#This Row],[customer_name]],Table11[customer_name],Table11[id_cust])</f>
        <v>CNA0263</v>
      </c>
      <c r="E187" t="s">
        <v>1131</v>
      </c>
      <c r="F187">
        <v>36</v>
      </c>
      <c r="G187" t="str">
        <f>_xlfn.XLOOKUP(Table1[[#This Row],[branch_name]],Table3[branch_name],Table3[id_branch])</f>
        <v>BRCH001</v>
      </c>
      <c r="H187" t="s">
        <v>1213</v>
      </c>
      <c r="I187" t="str">
        <f>_xlfn.XLOOKUP(Table1[[#This Row],[city]],Table4[city],Table4[id_city])</f>
        <v>KOA0102</v>
      </c>
      <c r="J187" t="s">
        <v>1218</v>
      </c>
      <c r="K187" t="str">
        <f>_xlfn.XLOOKUP(Table1[[#This Row],[menu_name]],Table5[menu_name],Table5[id_menu])</f>
        <v>MENU005</v>
      </c>
      <c r="L187" t="s">
        <v>1227</v>
      </c>
      <c r="M187" t="str">
        <f>_xlfn.XLOOKUP(Table1[[#This Row],[category]],Table6[category],Table6[id_category])</f>
        <v>KTG0206</v>
      </c>
      <c r="N187" t="s">
        <v>1234</v>
      </c>
      <c r="O187">
        <v>1</v>
      </c>
      <c r="P187">
        <v>23000</v>
      </c>
      <c r="Q187">
        <v>10</v>
      </c>
      <c r="R187">
        <v>4</v>
      </c>
      <c r="S187" t="str">
        <f>_xlfn.XLOOKUP(Table1[[#This Row],[method]],Table7[method],Table7[id_method])</f>
        <v>PAY0710</v>
      </c>
      <c r="T187" t="s">
        <v>1237</v>
      </c>
      <c r="U187">
        <v>20700</v>
      </c>
    </row>
    <row r="188" spans="1:21" x14ac:dyDescent="0.25">
      <c r="A188" t="s">
        <v>200</v>
      </c>
      <c r="B188" t="str">
        <f>_xlfn.XLOOKUP(Table1[[#This Row],[date]],Table8[date],Table8[id_date])</f>
        <v>TGL0595</v>
      </c>
      <c r="C188" s="1">
        <v>45409</v>
      </c>
      <c r="D188" s="1" t="str">
        <f>_xlfn.XLOOKUP(Table1[[#This Row],[customer_name]],Table11[customer_name],Table11[id_cust])</f>
        <v>CNA0287</v>
      </c>
      <c r="E188" t="s">
        <v>1142</v>
      </c>
      <c r="F188">
        <v>31</v>
      </c>
      <c r="G188" t="str">
        <f>_xlfn.XLOOKUP(Table1[[#This Row],[branch_name]],Table3[branch_name],Table3[id_branch])</f>
        <v>BRCH002</v>
      </c>
      <c r="H188" t="s">
        <v>1214</v>
      </c>
      <c r="I188" t="str">
        <f>_xlfn.XLOOKUP(Table1[[#This Row],[city]],Table4[city],Table4[id_city])</f>
        <v>KOA0103</v>
      </c>
      <c r="J188" t="s">
        <v>1219</v>
      </c>
      <c r="K188" t="str">
        <f>_xlfn.XLOOKUP(Table1[[#This Row],[menu_name]],Table5[menu_name],Table5[id_menu])</f>
        <v>MENU006</v>
      </c>
      <c r="L188" t="s">
        <v>1228</v>
      </c>
      <c r="M188" t="str">
        <f>_xlfn.XLOOKUP(Table1[[#This Row],[category]],Table6[category],Table6[id_category])</f>
        <v>KTG0206</v>
      </c>
      <c r="N188" t="s">
        <v>1234</v>
      </c>
      <c r="O188">
        <v>1</v>
      </c>
      <c r="P188">
        <v>32000</v>
      </c>
      <c r="Q188">
        <v>10</v>
      </c>
      <c r="R188">
        <v>3.3</v>
      </c>
      <c r="S188" t="str">
        <f>_xlfn.XLOOKUP(Table1[[#This Row],[method]],Table7[method],Table7[id_method])</f>
        <v>PAY0712</v>
      </c>
      <c r="T188" t="s">
        <v>1239</v>
      </c>
      <c r="U188">
        <v>28800</v>
      </c>
    </row>
    <row r="189" spans="1:21" x14ac:dyDescent="0.25">
      <c r="A189" t="s">
        <v>201</v>
      </c>
      <c r="B189" t="str">
        <f>_xlfn.XLOOKUP(Table1[[#This Row],[date]],Table8[date],Table8[id_date])</f>
        <v>TGL0595</v>
      </c>
      <c r="C189" s="1">
        <v>45409</v>
      </c>
      <c r="D189" s="1" t="str">
        <f>_xlfn.XLOOKUP(Table1[[#This Row],[customer_name]],Table11[customer_name],Table11[id_cust])</f>
        <v>CNA0148</v>
      </c>
      <c r="E189" t="s">
        <v>1057</v>
      </c>
      <c r="F189">
        <v>53</v>
      </c>
      <c r="G189" t="str">
        <f>_xlfn.XLOOKUP(Table1[[#This Row],[branch_name]],Table3[branch_name],Table3[id_branch])</f>
        <v>BRCH003</v>
      </c>
      <c r="H189" t="s">
        <v>1215</v>
      </c>
      <c r="I189" t="str">
        <f>_xlfn.XLOOKUP(Table1[[#This Row],[city]],Table4[city],Table4[id_city])</f>
        <v>KOA0104</v>
      </c>
      <c r="J189" t="s">
        <v>1220</v>
      </c>
      <c r="K189" t="str">
        <f>_xlfn.XLOOKUP(Table1[[#This Row],[menu_name]],Table5[menu_name],Table5[id_menu])</f>
        <v>MENU001</v>
      </c>
      <c r="L189" t="s">
        <v>1223</v>
      </c>
      <c r="M189" t="str">
        <f>_xlfn.XLOOKUP(Table1[[#This Row],[category]],Table6[category],Table6[id_category])</f>
        <v>KTG0205</v>
      </c>
      <c r="N189" t="s">
        <v>1233</v>
      </c>
      <c r="O189">
        <v>4</v>
      </c>
      <c r="P189">
        <v>25000</v>
      </c>
      <c r="Q189">
        <v>0</v>
      </c>
      <c r="R189">
        <v>1</v>
      </c>
      <c r="S189" t="str">
        <f>_xlfn.XLOOKUP(Table1[[#This Row],[method]],Table7[method],Table7[id_method])</f>
        <v>PAY0710</v>
      </c>
      <c r="T189" t="s">
        <v>1237</v>
      </c>
      <c r="U189">
        <v>100000</v>
      </c>
    </row>
    <row r="190" spans="1:21" x14ac:dyDescent="0.25">
      <c r="A190" t="s">
        <v>202</v>
      </c>
      <c r="B190" t="str">
        <f>_xlfn.XLOOKUP(Table1[[#This Row],[date]],Table8[date],Table8[id_date])</f>
        <v>TGL0595</v>
      </c>
      <c r="C190" s="1">
        <v>45409</v>
      </c>
      <c r="D190" s="1" t="str">
        <f>_xlfn.XLOOKUP(Table1[[#This Row],[customer_name]],Table11[customer_name],Table11[id_cust])</f>
        <v>CNA0289</v>
      </c>
      <c r="E190" t="s">
        <v>1143</v>
      </c>
      <c r="F190">
        <v>42</v>
      </c>
      <c r="G190" t="str">
        <f>_xlfn.XLOOKUP(Table1[[#This Row],[branch_name]],Table3[branch_name],Table3[id_branch])</f>
        <v>BRCH003</v>
      </c>
      <c r="H190" t="s">
        <v>1215</v>
      </c>
      <c r="I190" t="str">
        <f>_xlfn.XLOOKUP(Table1[[#This Row],[city]],Table4[city],Table4[id_city])</f>
        <v>KOA0104</v>
      </c>
      <c r="J190" t="s">
        <v>1220</v>
      </c>
      <c r="K190" t="str">
        <f>_xlfn.XLOOKUP(Table1[[#This Row],[menu_name]],Table5[menu_name],Table5[id_menu])</f>
        <v>MENU008</v>
      </c>
      <c r="L190" t="s">
        <v>1230</v>
      </c>
      <c r="M190" t="str">
        <f>_xlfn.XLOOKUP(Table1[[#This Row],[category]],Table6[category],Table6[id_category])</f>
        <v>KTG0205</v>
      </c>
      <c r="N190" t="s">
        <v>1233</v>
      </c>
      <c r="O190">
        <v>1</v>
      </c>
      <c r="P190">
        <v>20000</v>
      </c>
      <c r="Q190">
        <v>0</v>
      </c>
      <c r="R190">
        <v>4.0999999999999996</v>
      </c>
      <c r="S190" t="str">
        <f>_xlfn.XLOOKUP(Table1[[#This Row],[method]],Table7[method],Table7[id_method])</f>
        <v>PAY0709</v>
      </c>
      <c r="T190" t="s">
        <v>1236</v>
      </c>
      <c r="U190">
        <v>20000</v>
      </c>
    </row>
    <row r="191" spans="1:21" x14ac:dyDescent="0.25">
      <c r="A191" t="s">
        <v>203</v>
      </c>
      <c r="B191" t="str">
        <f>_xlfn.XLOOKUP(Table1[[#This Row],[date]],Table8[date],Table8[id_date])</f>
        <v>TGL0596</v>
      </c>
      <c r="C191" s="1">
        <v>45410</v>
      </c>
      <c r="D191" s="1" t="str">
        <f>_xlfn.XLOOKUP(Table1[[#This Row],[customer_name]],Table11[customer_name],Table11[id_cust])</f>
        <v>CNA0290</v>
      </c>
      <c r="E191" t="s">
        <v>1144</v>
      </c>
      <c r="F191">
        <v>30</v>
      </c>
      <c r="G191" t="str">
        <f>_xlfn.XLOOKUP(Table1[[#This Row],[branch_name]],Table3[branch_name],Table3[id_branch])</f>
        <v>BRCH004</v>
      </c>
      <c r="H191" t="s">
        <v>1216</v>
      </c>
      <c r="I191" t="str">
        <f>_xlfn.XLOOKUP(Table1[[#This Row],[city]],Table4[city],Table4[id_city])</f>
        <v>KOA0105</v>
      </c>
      <c r="J191" t="s">
        <v>1221</v>
      </c>
      <c r="K191" t="str">
        <f>_xlfn.XLOOKUP(Table1[[#This Row],[menu_name]],Table5[menu_name],Table5[id_menu])</f>
        <v>MENU007</v>
      </c>
      <c r="L191" t="s">
        <v>1229</v>
      </c>
      <c r="M191" t="str">
        <f>_xlfn.XLOOKUP(Table1[[#This Row],[category]],Table6[category],Table6[id_category])</f>
        <v>KTG0207</v>
      </c>
      <c r="N191" t="s">
        <v>1235</v>
      </c>
      <c r="O191">
        <v>5</v>
      </c>
      <c r="P191">
        <v>27000</v>
      </c>
      <c r="Q191">
        <v>0</v>
      </c>
      <c r="R191">
        <v>4.3</v>
      </c>
      <c r="S191" t="str">
        <f>_xlfn.XLOOKUP(Table1[[#This Row],[method]],Table7[method],Table7[id_method])</f>
        <v>PAY0712</v>
      </c>
      <c r="T191" t="s">
        <v>1239</v>
      </c>
      <c r="U191">
        <v>135000</v>
      </c>
    </row>
    <row r="192" spans="1:21" x14ac:dyDescent="0.25">
      <c r="A192" t="s">
        <v>204</v>
      </c>
      <c r="B192" t="str">
        <f>_xlfn.XLOOKUP(Table1[[#This Row],[date]],Table8[date],Table8[id_date])</f>
        <v>TGL0597</v>
      </c>
      <c r="C192" s="1">
        <v>45411</v>
      </c>
      <c r="D192" s="1" t="str">
        <f>_xlfn.XLOOKUP(Table1[[#This Row],[customer_name]],Table11[customer_name],Table11[id_cust])</f>
        <v>CNA0291</v>
      </c>
      <c r="E192" t="s">
        <v>1145</v>
      </c>
      <c r="F192">
        <v>39</v>
      </c>
      <c r="G192" t="str">
        <f>_xlfn.XLOOKUP(Table1[[#This Row],[branch_name]],Table3[branch_name],Table3[id_branch])</f>
        <v>BRCH001</v>
      </c>
      <c r="H192" t="s">
        <v>1213</v>
      </c>
      <c r="I192" t="str">
        <f>_xlfn.XLOOKUP(Table1[[#This Row],[city]],Table4[city],Table4[id_city])</f>
        <v>KOA0102</v>
      </c>
      <c r="J192" t="s">
        <v>1218</v>
      </c>
      <c r="K192" t="str">
        <f>_xlfn.XLOOKUP(Table1[[#This Row],[menu_name]],Table5[menu_name],Table5[id_menu])</f>
        <v>MENU006</v>
      </c>
      <c r="L192" t="s">
        <v>1228</v>
      </c>
      <c r="M192" t="str">
        <f>_xlfn.XLOOKUP(Table1[[#This Row],[category]],Table6[category],Table6[id_category])</f>
        <v>KTG0206</v>
      </c>
      <c r="N192" t="s">
        <v>1234</v>
      </c>
      <c r="O192">
        <v>1</v>
      </c>
      <c r="P192">
        <v>32000</v>
      </c>
      <c r="Q192">
        <v>0</v>
      </c>
      <c r="R192">
        <v>4.4000000000000004</v>
      </c>
      <c r="S192" t="str">
        <f>_xlfn.XLOOKUP(Table1[[#This Row],[method]],Table7[method],Table7[id_method])</f>
        <v>PAY0711</v>
      </c>
      <c r="T192" t="s">
        <v>1238</v>
      </c>
      <c r="U192">
        <v>32000</v>
      </c>
    </row>
    <row r="193" spans="1:21" x14ac:dyDescent="0.25">
      <c r="A193" t="s">
        <v>205</v>
      </c>
      <c r="B193" t="str">
        <f>_xlfn.XLOOKUP(Table1[[#This Row],[date]],Table8[date],Table8[id_date])</f>
        <v>TGL0597</v>
      </c>
      <c r="C193" s="1">
        <v>45411</v>
      </c>
      <c r="D193" s="1" t="str">
        <f>_xlfn.XLOOKUP(Table1[[#This Row],[customer_name]],Table11[customer_name],Table11[id_cust])</f>
        <v>CNA0292</v>
      </c>
      <c r="E193" t="s">
        <v>1146</v>
      </c>
      <c r="F193">
        <v>18</v>
      </c>
      <c r="G193" t="str">
        <f>_xlfn.XLOOKUP(Table1[[#This Row],[branch_name]],Table3[branch_name],Table3[id_branch])</f>
        <v>BRCH003</v>
      </c>
      <c r="H193" t="s">
        <v>1215</v>
      </c>
      <c r="I193" t="str">
        <f>_xlfn.XLOOKUP(Table1[[#This Row],[city]],Table4[city],Table4[id_city])</f>
        <v>KOA0104</v>
      </c>
      <c r="J193" t="s">
        <v>1220</v>
      </c>
      <c r="K193" t="str">
        <f>_xlfn.XLOOKUP(Table1[[#This Row],[menu_name]],Table5[menu_name],Table5[id_menu])</f>
        <v>MENU010</v>
      </c>
      <c r="L193" t="s">
        <v>1232</v>
      </c>
      <c r="M193" t="str">
        <f>_xlfn.XLOOKUP(Table1[[#This Row],[category]],Table6[category],Table6[id_category])</f>
        <v>KTG0205</v>
      </c>
      <c r="N193" t="s">
        <v>1233</v>
      </c>
      <c r="O193">
        <v>2</v>
      </c>
      <c r="P193">
        <v>18000</v>
      </c>
      <c r="Q193">
        <v>5</v>
      </c>
      <c r="R193">
        <v>2.2999999999999998</v>
      </c>
      <c r="S193" t="str">
        <f>_xlfn.XLOOKUP(Table1[[#This Row],[method]],Table7[method],Table7[id_method])</f>
        <v>PAY0710</v>
      </c>
      <c r="T193" t="s">
        <v>1237</v>
      </c>
      <c r="U193">
        <v>34200</v>
      </c>
    </row>
    <row r="194" spans="1:21" x14ac:dyDescent="0.25">
      <c r="A194" t="s">
        <v>206</v>
      </c>
      <c r="B194" t="str">
        <f>_xlfn.XLOOKUP(Table1[[#This Row],[date]],Table8[date],Table8[id_date])</f>
        <v>TGL0597</v>
      </c>
      <c r="C194" s="1">
        <v>45411</v>
      </c>
      <c r="D194" s="1" t="str">
        <f>_xlfn.XLOOKUP(Table1[[#This Row],[customer_name]],Table11[customer_name],Table11[id_cust])</f>
        <v>CNA0252</v>
      </c>
      <c r="E194" t="s">
        <v>1127</v>
      </c>
      <c r="F194">
        <v>43</v>
      </c>
      <c r="G194" t="str">
        <f>_xlfn.XLOOKUP(Table1[[#This Row],[branch_name]],Table3[branch_name],Table3[id_branch])</f>
        <v>BRCH004</v>
      </c>
      <c r="H194" t="s">
        <v>1216</v>
      </c>
      <c r="I194" t="str">
        <f>_xlfn.XLOOKUP(Table1[[#This Row],[city]],Table4[city],Table4[id_city])</f>
        <v>KOA0105</v>
      </c>
      <c r="J194" t="s">
        <v>1221</v>
      </c>
      <c r="K194" t="str">
        <f>_xlfn.XLOOKUP(Table1[[#This Row],[menu_name]],Table5[menu_name],Table5[id_menu])</f>
        <v>MENU002</v>
      </c>
      <c r="L194" t="s">
        <v>1224</v>
      </c>
      <c r="M194" t="str">
        <f>_xlfn.XLOOKUP(Table1[[#This Row],[category]],Table6[category],Table6[id_category])</f>
        <v>KTG0206</v>
      </c>
      <c r="N194" t="s">
        <v>1234</v>
      </c>
      <c r="O194">
        <v>3</v>
      </c>
      <c r="P194">
        <v>30000</v>
      </c>
      <c r="Q194">
        <v>20</v>
      </c>
      <c r="R194">
        <v>1.8</v>
      </c>
      <c r="S194" t="str">
        <f>_xlfn.XLOOKUP(Table1[[#This Row],[method]],Table7[method],Table7[id_method])</f>
        <v>PAY0712</v>
      </c>
      <c r="T194" t="s">
        <v>1239</v>
      </c>
      <c r="U194">
        <v>72000</v>
      </c>
    </row>
    <row r="195" spans="1:21" x14ac:dyDescent="0.25">
      <c r="A195" t="s">
        <v>207</v>
      </c>
      <c r="B195" t="str">
        <f>_xlfn.XLOOKUP(Table1[[#This Row],[date]],Table8[date],Table8[id_date])</f>
        <v>TGL0598</v>
      </c>
      <c r="C195" s="1">
        <v>45412</v>
      </c>
      <c r="D195" s="1" t="str">
        <f>_xlfn.XLOOKUP(Table1[[#This Row],[customer_name]],Table11[customer_name],Table11[id_cust])</f>
        <v>CNA0111</v>
      </c>
      <c r="E195" t="s">
        <v>1024</v>
      </c>
      <c r="F195">
        <v>40</v>
      </c>
      <c r="G195" t="str">
        <f>_xlfn.XLOOKUP(Table1[[#This Row],[branch_name]],Table3[branch_name],Table3[id_branch])</f>
        <v>BRCH003</v>
      </c>
      <c r="H195" t="s">
        <v>1215</v>
      </c>
      <c r="I195" t="str">
        <f>_xlfn.XLOOKUP(Table1[[#This Row],[city]],Table4[city],Table4[id_city])</f>
        <v>KOA0104</v>
      </c>
      <c r="J195" t="s">
        <v>1220</v>
      </c>
      <c r="K195" t="str">
        <f>_xlfn.XLOOKUP(Table1[[#This Row],[menu_name]],Table5[menu_name],Table5[id_menu])</f>
        <v>MENU002</v>
      </c>
      <c r="L195" t="s">
        <v>1224</v>
      </c>
      <c r="M195" t="str">
        <f>_xlfn.XLOOKUP(Table1[[#This Row],[category]],Table6[category],Table6[id_category])</f>
        <v>KTG0206</v>
      </c>
      <c r="N195" t="s">
        <v>1234</v>
      </c>
      <c r="O195">
        <v>1</v>
      </c>
      <c r="P195">
        <v>30000</v>
      </c>
      <c r="Q195">
        <v>0</v>
      </c>
      <c r="R195">
        <v>1.9</v>
      </c>
      <c r="S195" t="str">
        <f>_xlfn.XLOOKUP(Table1[[#This Row],[method]],Table7[method],Table7[id_method])</f>
        <v>PAY0709</v>
      </c>
      <c r="T195" t="s">
        <v>1236</v>
      </c>
      <c r="U195">
        <v>30000</v>
      </c>
    </row>
    <row r="196" spans="1:21" x14ac:dyDescent="0.25">
      <c r="A196" t="s">
        <v>208</v>
      </c>
      <c r="B196" t="str">
        <f>_xlfn.XLOOKUP(Table1[[#This Row],[date]],Table8[date],Table8[id_date])</f>
        <v>TGL0599</v>
      </c>
      <c r="C196" s="1">
        <v>45413</v>
      </c>
      <c r="D196" s="1" t="str">
        <f>_xlfn.XLOOKUP(Table1[[#This Row],[customer_name]],Table11[customer_name],Table11[id_cust])</f>
        <v>CNA0295</v>
      </c>
      <c r="E196" t="s">
        <v>1147</v>
      </c>
      <c r="F196">
        <v>42</v>
      </c>
      <c r="G196" t="str">
        <f>_xlfn.XLOOKUP(Table1[[#This Row],[branch_name]],Table3[branch_name],Table3[id_branch])</f>
        <v>BRCH002</v>
      </c>
      <c r="H196" t="s">
        <v>1214</v>
      </c>
      <c r="I196" t="str">
        <f>_xlfn.XLOOKUP(Table1[[#This Row],[city]],Table4[city],Table4[id_city])</f>
        <v>KOA0103</v>
      </c>
      <c r="J196" t="s">
        <v>1219</v>
      </c>
      <c r="K196" t="str">
        <f>_xlfn.XLOOKUP(Table1[[#This Row],[menu_name]],Table5[menu_name],Table5[id_menu])</f>
        <v>MENU007</v>
      </c>
      <c r="L196" t="s">
        <v>1229</v>
      </c>
      <c r="M196" t="str">
        <f>_xlfn.XLOOKUP(Table1[[#This Row],[category]],Table6[category],Table6[id_category])</f>
        <v>KTG0207</v>
      </c>
      <c r="N196" t="s">
        <v>1235</v>
      </c>
      <c r="O196">
        <v>4</v>
      </c>
      <c r="P196">
        <v>27000</v>
      </c>
      <c r="Q196">
        <v>20</v>
      </c>
      <c r="R196">
        <v>2.1</v>
      </c>
      <c r="S196" t="str">
        <f>_xlfn.XLOOKUP(Table1[[#This Row],[method]],Table7[method],Table7[id_method])</f>
        <v>PAY0709</v>
      </c>
      <c r="T196" t="s">
        <v>1236</v>
      </c>
      <c r="U196">
        <v>86400</v>
      </c>
    </row>
    <row r="197" spans="1:21" x14ac:dyDescent="0.25">
      <c r="A197" t="s">
        <v>209</v>
      </c>
      <c r="B197" t="str">
        <f>_xlfn.XLOOKUP(Table1[[#This Row],[date]],Table8[date],Table8[id_date])</f>
        <v>TGL0600</v>
      </c>
      <c r="C197" s="1">
        <v>45416</v>
      </c>
      <c r="D197" s="1" t="str">
        <f>_xlfn.XLOOKUP(Table1[[#This Row],[customer_name]],Table11[customer_name],Table11[id_cust])</f>
        <v>CNA0188</v>
      </c>
      <c r="E197" t="s">
        <v>1090</v>
      </c>
      <c r="F197">
        <v>19</v>
      </c>
      <c r="G197" t="str">
        <f>_xlfn.XLOOKUP(Table1[[#This Row],[branch_name]],Table3[branch_name],Table3[id_branch])</f>
        <v>BRCH001</v>
      </c>
      <c r="H197" t="s">
        <v>1213</v>
      </c>
      <c r="I197" t="str">
        <f>_xlfn.XLOOKUP(Table1[[#This Row],[city]],Table4[city],Table4[id_city])</f>
        <v>KOA0102</v>
      </c>
      <c r="J197" t="s">
        <v>1218</v>
      </c>
      <c r="K197" t="str">
        <f>_xlfn.XLOOKUP(Table1[[#This Row],[menu_name]],Table5[menu_name],Table5[id_menu])</f>
        <v>MENU007</v>
      </c>
      <c r="L197" t="s">
        <v>1229</v>
      </c>
      <c r="M197" t="str">
        <f>_xlfn.XLOOKUP(Table1[[#This Row],[category]],Table6[category],Table6[id_category])</f>
        <v>KTG0207</v>
      </c>
      <c r="N197" t="s">
        <v>1235</v>
      </c>
      <c r="O197">
        <v>1</v>
      </c>
      <c r="P197">
        <v>27000</v>
      </c>
      <c r="Q197">
        <v>0</v>
      </c>
      <c r="R197">
        <v>2.7</v>
      </c>
      <c r="S197" t="str">
        <f>_xlfn.XLOOKUP(Table1[[#This Row],[method]],Table7[method],Table7[id_method])</f>
        <v>PAY0709</v>
      </c>
      <c r="T197" t="s">
        <v>1236</v>
      </c>
      <c r="U197">
        <v>27000</v>
      </c>
    </row>
    <row r="198" spans="1:21" x14ac:dyDescent="0.25">
      <c r="A198" t="s">
        <v>210</v>
      </c>
      <c r="B198" t="str">
        <f>_xlfn.XLOOKUP(Table1[[#This Row],[date]],Table8[date],Table8[id_date])</f>
        <v>TGL0601</v>
      </c>
      <c r="C198" s="1">
        <v>45417</v>
      </c>
      <c r="D198" s="1" t="str">
        <f>_xlfn.XLOOKUP(Table1[[#This Row],[customer_name]],Table11[customer_name],Table11[id_cust])</f>
        <v>CNA0297</v>
      </c>
      <c r="E198" t="s">
        <v>1148</v>
      </c>
      <c r="F198">
        <v>28</v>
      </c>
      <c r="G198" t="str">
        <f>_xlfn.XLOOKUP(Table1[[#This Row],[branch_name]],Table3[branch_name],Table3[id_branch])</f>
        <v>BRCH002</v>
      </c>
      <c r="H198" t="s">
        <v>1214</v>
      </c>
      <c r="I198" t="str">
        <f>_xlfn.XLOOKUP(Table1[[#This Row],[city]],Table4[city],Table4[id_city])</f>
        <v>KOA0103</v>
      </c>
      <c r="J198" t="s">
        <v>1219</v>
      </c>
      <c r="K198" t="str">
        <f>_xlfn.XLOOKUP(Table1[[#This Row],[menu_name]],Table5[menu_name],Table5[id_menu])</f>
        <v>MENU007</v>
      </c>
      <c r="L198" t="s">
        <v>1229</v>
      </c>
      <c r="M198" t="str">
        <f>_xlfn.XLOOKUP(Table1[[#This Row],[category]],Table6[category],Table6[id_category])</f>
        <v>KTG0207</v>
      </c>
      <c r="N198" t="s">
        <v>1235</v>
      </c>
      <c r="O198">
        <v>1</v>
      </c>
      <c r="P198">
        <v>27000</v>
      </c>
      <c r="Q198">
        <v>5</v>
      </c>
      <c r="R198">
        <v>2.2000000000000002</v>
      </c>
      <c r="S198" t="str">
        <f>_xlfn.XLOOKUP(Table1[[#This Row],[method]],Table7[method],Table7[id_method])</f>
        <v>PAY0712</v>
      </c>
      <c r="T198" t="s">
        <v>1239</v>
      </c>
      <c r="U198">
        <v>25650</v>
      </c>
    </row>
    <row r="199" spans="1:21" x14ac:dyDescent="0.25">
      <c r="A199" t="s">
        <v>211</v>
      </c>
      <c r="B199" t="str">
        <f>_xlfn.XLOOKUP(Table1[[#This Row],[date]],Table8[date],Table8[id_date])</f>
        <v>TGL0601</v>
      </c>
      <c r="C199" s="1">
        <v>45417</v>
      </c>
      <c r="D199" s="1" t="str">
        <f>_xlfn.XLOOKUP(Table1[[#This Row],[customer_name]],Table11[customer_name],Table11[id_cust])</f>
        <v>CNA0188</v>
      </c>
      <c r="E199" t="s">
        <v>1090</v>
      </c>
      <c r="F199">
        <v>19</v>
      </c>
      <c r="G199" t="str">
        <f>_xlfn.XLOOKUP(Table1[[#This Row],[branch_name]],Table3[branch_name],Table3[id_branch])</f>
        <v>BRCH004</v>
      </c>
      <c r="H199" t="s">
        <v>1216</v>
      </c>
      <c r="I199" t="str">
        <f>_xlfn.XLOOKUP(Table1[[#This Row],[city]],Table4[city],Table4[id_city])</f>
        <v>KOA0105</v>
      </c>
      <c r="J199" t="s">
        <v>1221</v>
      </c>
      <c r="K199" t="str">
        <f>_xlfn.XLOOKUP(Table1[[#This Row],[menu_name]],Table5[menu_name],Table5[id_menu])</f>
        <v>MENU009</v>
      </c>
      <c r="L199" t="s">
        <v>1231</v>
      </c>
      <c r="M199" t="str">
        <f>_xlfn.XLOOKUP(Table1[[#This Row],[category]],Table6[category],Table6[id_category])</f>
        <v>KTG0206</v>
      </c>
      <c r="N199" t="s">
        <v>1234</v>
      </c>
      <c r="O199">
        <v>2</v>
      </c>
      <c r="P199">
        <v>18000</v>
      </c>
      <c r="Q199">
        <v>0</v>
      </c>
      <c r="R199">
        <v>2.4</v>
      </c>
      <c r="S199" t="str">
        <f>_xlfn.XLOOKUP(Table1[[#This Row],[method]],Table7[method],Table7[id_method])</f>
        <v>PAY0709</v>
      </c>
      <c r="T199" t="s">
        <v>1236</v>
      </c>
      <c r="U199">
        <v>36000</v>
      </c>
    </row>
    <row r="200" spans="1:21" x14ac:dyDescent="0.25">
      <c r="A200" t="s">
        <v>212</v>
      </c>
      <c r="B200" t="str">
        <f>_xlfn.XLOOKUP(Table1[[#This Row],[date]],Table8[date],Table8[id_date])</f>
        <v>TGL0601</v>
      </c>
      <c r="C200" s="1">
        <v>45417</v>
      </c>
      <c r="D200" s="1" t="str">
        <f>_xlfn.XLOOKUP(Table1[[#This Row],[customer_name]],Table11[customer_name],Table11[id_cust])</f>
        <v>CNA0299</v>
      </c>
      <c r="E200" t="s">
        <v>1149</v>
      </c>
      <c r="F200">
        <v>38</v>
      </c>
      <c r="G200" t="str">
        <f>_xlfn.XLOOKUP(Table1[[#This Row],[branch_name]],Table3[branch_name],Table3[id_branch])</f>
        <v>BRCH003</v>
      </c>
      <c r="H200" t="s">
        <v>1215</v>
      </c>
      <c r="I200" t="str">
        <f>_xlfn.XLOOKUP(Table1[[#This Row],[city]],Table4[city],Table4[id_city])</f>
        <v>KOA0104</v>
      </c>
      <c r="J200" t="s">
        <v>1220</v>
      </c>
      <c r="K200" t="str">
        <f>_xlfn.XLOOKUP(Table1[[#This Row],[menu_name]],Table5[menu_name],Table5[id_menu])</f>
        <v>MENU002</v>
      </c>
      <c r="L200" t="s">
        <v>1224</v>
      </c>
      <c r="M200" t="str">
        <f>_xlfn.XLOOKUP(Table1[[#This Row],[category]],Table6[category],Table6[id_category])</f>
        <v>KTG0206</v>
      </c>
      <c r="N200" t="s">
        <v>1234</v>
      </c>
      <c r="O200">
        <v>3</v>
      </c>
      <c r="P200">
        <v>30000</v>
      </c>
      <c r="Q200">
        <v>0</v>
      </c>
      <c r="R200">
        <v>1.9</v>
      </c>
      <c r="S200" t="str">
        <f>_xlfn.XLOOKUP(Table1[[#This Row],[method]],Table7[method],Table7[id_method])</f>
        <v>PAY0711</v>
      </c>
      <c r="T200" t="s">
        <v>1238</v>
      </c>
      <c r="U200">
        <v>90000</v>
      </c>
    </row>
    <row r="201" spans="1:21" x14ac:dyDescent="0.25">
      <c r="A201" t="s">
        <v>213</v>
      </c>
      <c r="B201" t="str">
        <f>_xlfn.XLOOKUP(Table1[[#This Row],[date]],Table8[date],Table8[id_date])</f>
        <v>TGL0602</v>
      </c>
      <c r="C201" s="1">
        <v>45418</v>
      </c>
      <c r="D201" s="1" t="str">
        <f>_xlfn.XLOOKUP(Table1[[#This Row],[customer_name]],Table11[customer_name],Table11[id_cust])</f>
        <v>CNA0124</v>
      </c>
      <c r="E201" t="s">
        <v>1037</v>
      </c>
      <c r="F201">
        <v>33</v>
      </c>
      <c r="G201" t="str">
        <f>_xlfn.XLOOKUP(Table1[[#This Row],[branch_name]],Table3[branch_name],Table3[id_branch])</f>
        <v>BRCH001</v>
      </c>
      <c r="H201" t="s">
        <v>1213</v>
      </c>
      <c r="I201" t="str">
        <f>_xlfn.XLOOKUP(Table1[[#This Row],[city]],Table4[city],Table4[id_city])</f>
        <v>KOA0102</v>
      </c>
      <c r="J201" t="s">
        <v>1218</v>
      </c>
      <c r="K201" t="str">
        <f>_xlfn.XLOOKUP(Table1[[#This Row],[menu_name]],Table5[menu_name],Table5[id_menu])</f>
        <v>MENU002</v>
      </c>
      <c r="L201" t="s">
        <v>1224</v>
      </c>
      <c r="M201" t="str">
        <f>_xlfn.XLOOKUP(Table1[[#This Row],[category]],Table6[category],Table6[id_category])</f>
        <v>KTG0206</v>
      </c>
      <c r="N201" t="s">
        <v>1234</v>
      </c>
      <c r="O201">
        <v>3</v>
      </c>
      <c r="P201">
        <v>30000</v>
      </c>
      <c r="Q201">
        <v>0</v>
      </c>
      <c r="R201">
        <v>3.5</v>
      </c>
      <c r="S201" t="str">
        <f>_xlfn.XLOOKUP(Table1[[#This Row],[method]],Table7[method],Table7[id_method])</f>
        <v>PAY0709</v>
      </c>
      <c r="T201" t="s">
        <v>1236</v>
      </c>
      <c r="U201">
        <v>90000</v>
      </c>
    </row>
    <row r="202" spans="1:21" x14ac:dyDescent="0.25">
      <c r="A202" t="s">
        <v>214</v>
      </c>
      <c r="B202" t="str">
        <f>_xlfn.XLOOKUP(Table1[[#This Row],[date]],Table8[date],Table8[id_date])</f>
        <v>TGL0602</v>
      </c>
      <c r="C202" s="1">
        <v>45418</v>
      </c>
      <c r="D202" s="1" t="str">
        <f>_xlfn.XLOOKUP(Table1[[#This Row],[customer_name]],Table11[customer_name],Table11[id_cust])</f>
        <v>CNA0301</v>
      </c>
      <c r="E202" t="s">
        <v>1150</v>
      </c>
      <c r="F202">
        <v>29</v>
      </c>
      <c r="G202" t="str">
        <f>_xlfn.XLOOKUP(Table1[[#This Row],[branch_name]],Table3[branch_name],Table3[id_branch])</f>
        <v>BRCH003</v>
      </c>
      <c r="H202" t="s">
        <v>1215</v>
      </c>
      <c r="I202" t="str">
        <f>_xlfn.XLOOKUP(Table1[[#This Row],[city]],Table4[city],Table4[id_city])</f>
        <v>KOA0104</v>
      </c>
      <c r="J202" t="s">
        <v>1220</v>
      </c>
      <c r="K202" t="str">
        <f>_xlfn.XLOOKUP(Table1[[#This Row],[menu_name]],Table5[menu_name],Table5[id_menu])</f>
        <v>MENU007</v>
      </c>
      <c r="L202" t="s">
        <v>1229</v>
      </c>
      <c r="M202" t="str">
        <f>_xlfn.XLOOKUP(Table1[[#This Row],[category]],Table6[category],Table6[id_category])</f>
        <v>KTG0207</v>
      </c>
      <c r="N202" t="s">
        <v>1235</v>
      </c>
      <c r="O202">
        <v>3</v>
      </c>
      <c r="P202">
        <v>27000</v>
      </c>
      <c r="Q202">
        <v>10</v>
      </c>
      <c r="R202">
        <v>4.3</v>
      </c>
      <c r="S202" t="str">
        <f>_xlfn.XLOOKUP(Table1[[#This Row],[method]],Table7[method],Table7[id_method])</f>
        <v>PAY0712</v>
      </c>
      <c r="T202" t="s">
        <v>1239</v>
      </c>
      <c r="U202">
        <v>72900</v>
      </c>
    </row>
    <row r="203" spans="1:21" x14ac:dyDescent="0.25">
      <c r="A203" t="s">
        <v>215</v>
      </c>
      <c r="B203" t="str">
        <f>_xlfn.XLOOKUP(Table1[[#This Row],[date]],Table8[date],Table8[id_date])</f>
        <v>TGL0603</v>
      </c>
      <c r="C203" s="1">
        <v>45419</v>
      </c>
      <c r="D203" s="1" t="str">
        <f>_xlfn.XLOOKUP(Table1[[#This Row],[customer_name]],Table11[customer_name],Table11[id_cust])</f>
        <v>CNA0302</v>
      </c>
      <c r="E203" t="s">
        <v>1151</v>
      </c>
      <c r="F203">
        <v>48</v>
      </c>
      <c r="G203" t="str">
        <f>_xlfn.XLOOKUP(Table1[[#This Row],[branch_name]],Table3[branch_name],Table3[id_branch])</f>
        <v>BRCH002</v>
      </c>
      <c r="H203" t="s">
        <v>1214</v>
      </c>
      <c r="I203" t="str">
        <f>_xlfn.XLOOKUP(Table1[[#This Row],[city]],Table4[city],Table4[id_city])</f>
        <v>KOA0103</v>
      </c>
      <c r="J203" t="s">
        <v>1219</v>
      </c>
      <c r="K203" t="str">
        <f>_xlfn.XLOOKUP(Table1[[#This Row],[menu_name]],Table5[menu_name],Table5[id_menu])</f>
        <v>MENU005</v>
      </c>
      <c r="L203" t="s">
        <v>1227</v>
      </c>
      <c r="M203" t="str">
        <f>_xlfn.XLOOKUP(Table1[[#This Row],[category]],Table6[category],Table6[id_category])</f>
        <v>KTG0206</v>
      </c>
      <c r="N203" t="s">
        <v>1234</v>
      </c>
      <c r="O203">
        <v>3</v>
      </c>
      <c r="P203">
        <v>23000</v>
      </c>
      <c r="Q203">
        <v>15</v>
      </c>
      <c r="R203">
        <v>4</v>
      </c>
      <c r="S203" t="str">
        <f>_xlfn.XLOOKUP(Table1[[#This Row],[method]],Table7[method],Table7[id_method])</f>
        <v>PAY0712</v>
      </c>
      <c r="T203" t="s">
        <v>1239</v>
      </c>
      <c r="U203">
        <v>58650</v>
      </c>
    </row>
    <row r="204" spans="1:21" x14ac:dyDescent="0.25">
      <c r="A204" t="s">
        <v>216</v>
      </c>
      <c r="B204" t="str">
        <f>_xlfn.XLOOKUP(Table1[[#This Row],[date]],Table8[date],Table8[id_date])</f>
        <v>TGL0604</v>
      </c>
      <c r="C204" s="1">
        <v>45421</v>
      </c>
      <c r="D204" s="1" t="str">
        <f>_xlfn.XLOOKUP(Table1[[#This Row],[customer_name]],Table11[customer_name],Table11[id_cust])</f>
        <v>CNA0303</v>
      </c>
      <c r="E204" t="s">
        <v>1152</v>
      </c>
      <c r="F204">
        <v>44</v>
      </c>
      <c r="G204" t="str">
        <f>_xlfn.XLOOKUP(Table1[[#This Row],[branch_name]],Table3[branch_name],Table3[id_branch])</f>
        <v>BRCH002</v>
      </c>
      <c r="H204" t="s">
        <v>1214</v>
      </c>
      <c r="I204" t="str">
        <f>_xlfn.XLOOKUP(Table1[[#This Row],[city]],Table4[city],Table4[id_city])</f>
        <v>KOA0103</v>
      </c>
      <c r="J204" t="s">
        <v>1219</v>
      </c>
      <c r="K204" t="str">
        <f>_xlfn.XLOOKUP(Table1[[#This Row],[menu_name]],Table5[menu_name],Table5[id_menu])</f>
        <v>MENU004</v>
      </c>
      <c r="L204" t="s">
        <v>1226</v>
      </c>
      <c r="M204" t="str">
        <f>_xlfn.XLOOKUP(Table1[[#This Row],[category]],Table6[category],Table6[id_category])</f>
        <v>KTG0207</v>
      </c>
      <c r="N204" t="s">
        <v>1235</v>
      </c>
      <c r="O204">
        <v>2</v>
      </c>
      <c r="P204">
        <v>28000</v>
      </c>
      <c r="Q204">
        <v>0</v>
      </c>
      <c r="R204">
        <v>2.7</v>
      </c>
      <c r="S204" t="str">
        <f>_xlfn.XLOOKUP(Table1[[#This Row],[method]],Table7[method],Table7[id_method])</f>
        <v>PAY0711</v>
      </c>
      <c r="T204" t="s">
        <v>1238</v>
      </c>
      <c r="U204">
        <v>56000</v>
      </c>
    </row>
    <row r="205" spans="1:21" x14ac:dyDescent="0.25">
      <c r="A205" t="s">
        <v>217</v>
      </c>
      <c r="B205" t="str">
        <f>_xlfn.XLOOKUP(Table1[[#This Row],[date]],Table8[date],Table8[id_date])</f>
        <v>TGL0605</v>
      </c>
      <c r="C205" s="1">
        <v>45422</v>
      </c>
      <c r="D205" s="1" t="str">
        <f>_xlfn.XLOOKUP(Table1[[#This Row],[customer_name]],Table11[customer_name],Table11[id_cust])</f>
        <v>CNA0203</v>
      </c>
      <c r="E205" t="s">
        <v>1098</v>
      </c>
      <c r="F205">
        <v>22</v>
      </c>
      <c r="G205" t="str">
        <f>_xlfn.XLOOKUP(Table1[[#This Row],[branch_name]],Table3[branch_name],Table3[id_branch])</f>
        <v>BRCH004</v>
      </c>
      <c r="H205" t="s">
        <v>1216</v>
      </c>
      <c r="I205" t="str">
        <f>_xlfn.XLOOKUP(Table1[[#This Row],[city]],Table4[city],Table4[id_city])</f>
        <v>KOA0105</v>
      </c>
      <c r="J205" t="s">
        <v>1221</v>
      </c>
      <c r="K205" t="str">
        <f>_xlfn.XLOOKUP(Table1[[#This Row],[menu_name]],Table5[menu_name],Table5[id_menu])</f>
        <v>MENU002</v>
      </c>
      <c r="L205" t="s">
        <v>1224</v>
      </c>
      <c r="M205" t="str">
        <f>_xlfn.XLOOKUP(Table1[[#This Row],[category]],Table6[category],Table6[id_category])</f>
        <v>KTG0206</v>
      </c>
      <c r="N205" t="s">
        <v>1234</v>
      </c>
      <c r="O205">
        <v>1</v>
      </c>
      <c r="P205">
        <v>30000</v>
      </c>
      <c r="Q205">
        <v>0</v>
      </c>
      <c r="R205">
        <v>1.4</v>
      </c>
      <c r="S205" t="str">
        <f>_xlfn.XLOOKUP(Table1[[#This Row],[method]],Table7[method],Table7[id_method])</f>
        <v>PAY0712</v>
      </c>
      <c r="T205" t="s">
        <v>1239</v>
      </c>
      <c r="U205">
        <v>30000</v>
      </c>
    </row>
    <row r="206" spans="1:21" x14ac:dyDescent="0.25">
      <c r="A206" t="s">
        <v>218</v>
      </c>
      <c r="B206" t="str">
        <f>_xlfn.XLOOKUP(Table1[[#This Row],[date]],Table8[date],Table8[id_date])</f>
        <v>TGL0606</v>
      </c>
      <c r="C206" s="1">
        <v>45423</v>
      </c>
      <c r="D206" s="1" t="str">
        <f>_xlfn.XLOOKUP(Table1[[#This Row],[customer_name]],Table11[customer_name],Table11[id_cust])</f>
        <v>CNA0222</v>
      </c>
      <c r="E206" t="s">
        <v>1109</v>
      </c>
      <c r="F206">
        <v>34</v>
      </c>
      <c r="G206" t="str">
        <f>_xlfn.XLOOKUP(Table1[[#This Row],[branch_name]],Table3[branch_name],Table3[id_branch])</f>
        <v>BRCH005</v>
      </c>
      <c r="H206" t="s">
        <v>1217</v>
      </c>
      <c r="I206" t="str">
        <f>_xlfn.XLOOKUP(Table1[[#This Row],[city]],Table4[city],Table4[id_city])</f>
        <v>KOA0106</v>
      </c>
      <c r="J206" t="s">
        <v>1222</v>
      </c>
      <c r="K206" t="str">
        <f>_xlfn.XLOOKUP(Table1[[#This Row],[menu_name]],Table5[menu_name],Table5[id_menu])</f>
        <v>MENU001</v>
      </c>
      <c r="L206" t="s">
        <v>1223</v>
      </c>
      <c r="M206" t="str">
        <f>_xlfn.XLOOKUP(Table1[[#This Row],[category]],Table6[category],Table6[id_category])</f>
        <v>KTG0205</v>
      </c>
      <c r="N206" t="s">
        <v>1233</v>
      </c>
      <c r="O206">
        <v>5</v>
      </c>
      <c r="P206">
        <v>25000</v>
      </c>
      <c r="Q206">
        <v>15</v>
      </c>
      <c r="R206">
        <v>3.3</v>
      </c>
      <c r="S206" t="str">
        <f>_xlfn.XLOOKUP(Table1[[#This Row],[method]],Table7[method],Table7[id_method])</f>
        <v>PAY0711</v>
      </c>
      <c r="T206" t="s">
        <v>1238</v>
      </c>
      <c r="U206">
        <v>106250</v>
      </c>
    </row>
    <row r="207" spans="1:21" x14ac:dyDescent="0.25">
      <c r="A207" t="s">
        <v>219</v>
      </c>
      <c r="B207" t="str">
        <f>_xlfn.XLOOKUP(Table1[[#This Row],[date]],Table8[date],Table8[id_date])</f>
        <v>TGL0606</v>
      </c>
      <c r="C207" s="1">
        <v>45423</v>
      </c>
      <c r="D207" s="1" t="str">
        <f>_xlfn.XLOOKUP(Table1[[#This Row],[customer_name]],Table11[customer_name],Table11[id_cust])</f>
        <v>CNA0109</v>
      </c>
      <c r="E207" t="s">
        <v>1022</v>
      </c>
      <c r="F207">
        <v>45</v>
      </c>
      <c r="G207" t="str">
        <f>_xlfn.XLOOKUP(Table1[[#This Row],[branch_name]],Table3[branch_name],Table3[id_branch])</f>
        <v>BRCH004</v>
      </c>
      <c r="H207" t="s">
        <v>1216</v>
      </c>
      <c r="I207" t="str">
        <f>_xlfn.XLOOKUP(Table1[[#This Row],[city]],Table4[city],Table4[id_city])</f>
        <v>KOA0105</v>
      </c>
      <c r="J207" t="s">
        <v>1221</v>
      </c>
      <c r="K207" t="str">
        <f>_xlfn.XLOOKUP(Table1[[#This Row],[menu_name]],Table5[menu_name],Table5[id_menu])</f>
        <v>MENU009</v>
      </c>
      <c r="L207" t="s">
        <v>1231</v>
      </c>
      <c r="M207" t="str">
        <f>_xlfn.XLOOKUP(Table1[[#This Row],[category]],Table6[category],Table6[id_category])</f>
        <v>KTG0206</v>
      </c>
      <c r="N207" t="s">
        <v>1234</v>
      </c>
      <c r="O207">
        <v>2</v>
      </c>
      <c r="P207">
        <v>18000</v>
      </c>
      <c r="Q207">
        <v>5</v>
      </c>
      <c r="R207">
        <v>1</v>
      </c>
      <c r="S207" t="str">
        <f>_xlfn.XLOOKUP(Table1[[#This Row],[method]],Table7[method],Table7[id_method])</f>
        <v>PAY0709</v>
      </c>
      <c r="T207" t="s">
        <v>1236</v>
      </c>
      <c r="U207">
        <v>34200</v>
      </c>
    </row>
    <row r="208" spans="1:21" x14ac:dyDescent="0.25">
      <c r="A208" t="s">
        <v>220</v>
      </c>
      <c r="B208" t="str">
        <f>_xlfn.XLOOKUP(Table1[[#This Row],[date]],Table8[date],Table8[id_date])</f>
        <v>TGL0607</v>
      </c>
      <c r="C208" s="1">
        <v>45424</v>
      </c>
      <c r="D208" s="1" t="str">
        <f>_xlfn.XLOOKUP(Table1[[#This Row],[customer_name]],Table11[customer_name],Table11[id_cust])</f>
        <v>CNA0152</v>
      </c>
      <c r="E208" t="s">
        <v>1061</v>
      </c>
      <c r="F208">
        <v>49</v>
      </c>
      <c r="G208" t="str">
        <f>_xlfn.XLOOKUP(Table1[[#This Row],[branch_name]],Table3[branch_name],Table3[id_branch])</f>
        <v>BRCH001</v>
      </c>
      <c r="H208" t="s">
        <v>1213</v>
      </c>
      <c r="I208" t="str">
        <f>_xlfn.XLOOKUP(Table1[[#This Row],[city]],Table4[city],Table4[id_city])</f>
        <v>KOA0102</v>
      </c>
      <c r="J208" t="s">
        <v>1218</v>
      </c>
      <c r="K208" t="str">
        <f>_xlfn.XLOOKUP(Table1[[#This Row],[menu_name]],Table5[menu_name],Table5[id_menu])</f>
        <v>MENU005</v>
      </c>
      <c r="L208" t="s">
        <v>1227</v>
      </c>
      <c r="M208" t="str">
        <f>_xlfn.XLOOKUP(Table1[[#This Row],[category]],Table6[category],Table6[id_category])</f>
        <v>KTG0206</v>
      </c>
      <c r="N208" t="s">
        <v>1234</v>
      </c>
      <c r="O208">
        <v>5</v>
      </c>
      <c r="P208">
        <v>23000</v>
      </c>
      <c r="Q208">
        <v>5</v>
      </c>
      <c r="R208">
        <v>2.8</v>
      </c>
      <c r="S208" t="str">
        <f>_xlfn.XLOOKUP(Table1[[#This Row],[method]],Table7[method],Table7[id_method])</f>
        <v>PAY0709</v>
      </c>
      <c r="T208" t="s">
        <v>1236</v>
      </c>
      <c r="U208">
        <v>109250</v>
      </c>
    </row>
    <row r="209" spans="1:21" x14ac:dyDescent="0.25">
      <c r="A209" t="s">
        <v>221</v>
      </c>
      <c r="B209" t="str">
        <f>_xlfn.XLOOKUP(Table1[[#This Row],[date]],Table8[date],Table8[id_date])</f>
        <v>TGL0607</v>
      </c>
      <c r="C209" s="1">
        <v>45424</v>
      </c>
      <c r="D209" s="1" t="str">
        <f>_xlfn.XLOOKUP(Table1[[#This Row],[customer_name]],Table11[customer_name],Table11[id_cust])</f>
        <v>CNA0144</v>
      </c>
      <c r="E209" t="s">
        <v>1053</v>
      </c>
      <c r="F209">
        <v>42</v>
      </c>
      <c r="G209" t="str">
        <f>_xlfn.XLOOKUP(Table1[[#This Row],[branch_name]],Table3[branch_name],Table3[id_branch])</f>
        <v>BRCH005</v>
      </c>
      <c r="H209" t="s">
        <v>1217</v>
      </c>
      <c r="I209" t="str">
        <f>_xlfn.XLOOKUP(Table1[[#This Row],[city]],Table4[city],Table4[id_city])</f>
        <v>KOA0106</v>
      </c>
      <c r="J209" t="s">
        <v>1222</v>
      </c>
      <c r="K209" t="str">
        <f>_xlfn.XLOOKUP(Table1[[#This Row],[menu_name]],Table5[menu_name],Table5[id_menu])</f>
        <v>MENU006</v>
      </c>
      <c r="L209" t="s">
        <v>1228</v>
      </c>
      <c r="M209" t="str">
        <f>_xlfn.XLOOKUP(Table1[[#This Row],[category]],Table6[category],Table6[id_category])</f>
        <v>KTG0206</v>
      </c>
      <c r="N209" t="s">
        <v>1234</v>
      </c>
      <c r="O209">
        <v>2</v>
      </c>
      <c r="P209">
        <v>32000</v>
      </c>
      <c r="Q209">
        <v>5</v>
      </c>
      <c r="R209">
        <v>4.5999999999999996</v>
      </c>
      <c r="S209" t="str">
        <f>_xlfn.XLOOKUP(Table1[[#This Row],[method]],Table7[method],Table7[id_method])</f>
        <v>PAY0710</v>
      </c>
      <c r="T209" t="s">
        <v>1237</v>
      </c>
      <c r="U209">
        <v>60800</v>
      </c>
    </row>
    <row r="210" spans="1:21" x14ac:dyDescent="0.25">
      <c r="A210" t="s">
        <v>222</v>
      </c>
      <c r="B210" t="str">
        <f>_xlfn.XLOOKUP(Table1[[#This Row],[date]],Table8[date],Table8[id_date])</f>
        <v>TGL0607</v>
      </c>
      <c r="C210" s="1">
        <v>45424</v>
      </c>
      <c r="D210" s="1" t="str">
        <f>_xlfn.XLOOKUP(Table1[[#This Row],[customer_name]],Table11[customer_name],Table11[id_cust])</f>
        <v>CNA0146</v>
      </c>
      <c r="E210" t="s">
        <v>1055</v>
      </c>
      <c r="F210">
        <v>37</v>
      </c>
      <c r="G210" t="str">
        <f>_xlfn.XLOOKUP(Table1[[#This Row],[branch_name]],Table3[branch_name],Table3[id_branch])</f>
        <v>BRCH004</v>
      </c>
      <c r="H210" t="s">
        <v>1216</v>
      </c>
      <c r="I210" t="str">
        <f>_xlfn.XLOOKUP(Table1[[#This Row],[city]],Table4[city],Table4[id_city])</f>
        <v>KOA0105</v>
      </c>
      <c r="J210" t="s">
        <v>1221</v>
      </c>
      <c r="K210" t="str">
        <f>_xlfn.XLOOKUP(Table1[[#This Row],[menu_name]],Table5[menu_name],Table5[id_menu])</f>
        <v>MENU005</v>
      </c>
      <c r="L210" t="s">
        <v>1227</v>
      </c>
      <c r="M210" t="str">
        <f>_xlfn.XLOOKUP(Table1[[#This Row],[category]],Table6[category],Table6[id_category])</f>
        <v>KTG0206</v>
      </c>
      <c r="N210" t="s">
        <v>1234</v>
      </c>
      <c r="O210">
        <v>4</v>
      </c>
      <c r="P210">
        <v>23000</v>
      </c>
      <c r="Q210">
        <v>0</v>
      </c>
      <c r="R210">
        <v>4.5999999999999996</v>
      </c>
      <c r="S210" t="str">
        <f>_xlfn.XLOOKUP(Table1[[#This Row],[method]],Table7[method],Table7[id_method])</f>
        <v>PAY0709</v>
      </c>
      <c r="T210" t="s">
        <v>1236</v>
      </c>
      <c r="U210">
        <v>92000</v>
      </c>
    </row>
    <row r="211" spans="1:21" x14ac:dyDescent="0.25">
      <c r="A211" t="s">
        <v>223</v>
      </c>
      <c r="B211" t="str">
        <f>_xlfn.XLOOKUP(Table1[[#This Row],[date]],Table8[date],Table8[id_date])</f>
        <v>TGL0608</v>
      </c>
      <c r="C211" s="1">
        <v>45425</v>
      </c>
      <c r="D211" s="1" t="str">
        <f>_xlfn.XLOOKUP(Table1[[#This Row],[customer_name]],Table11[customer_name],Table11[id_cust])</f>
        <v>CNA0310</v>
      </c>
      <c r="E211" t="s">
        <v>1153</v>
      </c>
      <c r="F211">
        <v>22</v>
      </c>
      <c r="G211" t="str">
        <f>_xlfn.XLOOKUP(Table1[[#This Row],[branch_name]],Table3[branch_name],Table3[id_branch])</f>
        <v>BRCH001</v>
      </c>
      <c r="H211" t="s">
        <v>1213</v>
      </c>
      <c r="I211" t="str">
        <f>_xlfn.XLOOKUP(Table1[[#This Row],[city]],Table4[city],Table4[id_city])</f>
        <v>KOA0102</v>
      </c>
      <c r="J211" t="s">
        <v>1218</v>
      </c>
      <c r="K211" t="str">
        <f>_xlfn.XLOOKUP(Table1[[#This Row],[menu_name]],Table5[menu_name],Table5[id_menu])</f>
        <v>MENU008</v>
      </c>
      <c r="L211" t="s">
        <v>1230</v>
      </c>
      <c r="M211" t="str">
        <f>_xlfn.XLOOKUP(Table1[[#This Row],[category]],Table6[category],Table6[id_category])</f>
        <v>KTG0205</v>
      </c>
      <c r="N211" t="s">
        <v>1233</v>
      </c>
      <c r="O211">
        <v>4</v>
      </c>
      <c r="P211">
        <v>20000</v>
      </c>
      <c r="Q211">
        <v>0</v>
      </c>
      <c r="R211">
        <v>2.2999999999999998</v>
      </c>
      <c r="S211" t="str">
        <f>_xlfn.XLOOKUP(Table1[[#This Row],[method]],Table7[method],Table7[id_method])</f>
        <v>PAY0710</v>
      </c>
      <c r="T211" t="s">
        <v>1237</v>
      </c>
      <c r="U211">
        <v>80000</v>
      </c>
    </row>
    <row r="212" spans="1:21" x14ac:dyDescent="0.25">
      <c r="A212" t="s">
        <v>224</v>
      </c>
      <c r="B212" t="str">
        <f>_xlfn.XLOOKUP(Table1[[#This Row],[date]],Table8[date],Table8[id_date])</f>
        <v>TGL0608</v>
      </c>
      <c r="C212" s="1">
        <v>45425</v>
      </c>
      <c r="D212" s="1" t="str">
        <f>_xlfn.XLOOKUP(Table1[[#This Row],[customer_name]],Table11[customer_name],Table11[id_cust])</f>
        <v>CNA0115</v>
      </c>
      <c r="E212" t="s">
        <v>1028</v>
      </c>
      <c r="F212">
        <v>46</v>
      </c>
      <c r="G212" t="str">
        <f>_xlfn.XLOOKUP(Table1[[#This Row],[branch_name]],Table3[branch_name],Table3[id_branch])</f>
        <v>BRCH005</v>
      </c>
      <c r="H212" t="s">
        <v>1217</v>
      </c>
      <c r="I212" t="str">
        <f>_xlfn.XLOOKUP(Table1[[#This Row],[city]],Table4[city],Table4[id_city])</f>
        <v>KOA0106</v>
      </c>
      <c r="J212" t="s">
        <v>1222</v>
      </c>
      <c r="K212" t="str">
        <f>_xlfn.XLOOKUP(Table1[[#This Row],[menu_name]],Table5[menu_name],Table5[id_menu])</f>
        <v>MENU007</v>
      </c>
      <c r="L212" t="s">
        <v>1229</v>
      </c>
      <c r="M212" t="str">
        <f>_xlfn.XLOOKUP(Table1[[#This Row],[category]],Table6[category],Table6[id_category])</f>
        <v>KTG0207</v>
      </c>
      <c r="N212" t="s">
        <v>1235</v>
      </c>
      <c r="O212">
        <v>4</v>
      </c>
      <c r="P212">
        <v>27000</v>
      </c>
      <c r="Q212">
        <v>0</v>
      </c>
      <c r="R212">
        <v>2</v>
      </c>
      <c r="S212" t="str">
        <f>_xlfn.XLOOKUP(Table1[[#This Row],[method]],Table7[method],Table7[id_method])</f>
        <v>PAY0710</v>
      </c>
      <c r="T212" t="s">
        <v>1237</v>
      </c>
      <c r="U212">
        <v>108000</v>
      </c>
    </row>
    <row r="213" spans="1:21" x14ac:dyDescent="0.25">
      <c r="A213" t="s">
        <v>225</v>
      </c>
      <c r="B213" t="str">
        <f>_xlfn.XLOOKUP(Table1[[#This Row],[date]],Table8[date],Table8[id_date])</f>
        <v>TGL0609</v>
      </c>
      <c r="C213" s="1">
        <v>45426</v>
      </c>
      <c r="D213" s="1" t="str">
        <f>_xlfn.XLOOKUP(Table1[[#This Row],[customer_name]],Table11[customer_name],Table11[id_cust])</f>
        <v>CNA0312</v>
      </c>
      <c r="E213" t="s">
        <v>1154</v>
      </c>
      <c r="F213">
        <v>49</v>
      </c>
      <c r="G213" t="str">
        <f>_xlfn.XLOOKUP(Table1[[#This Row],[branch_name]],Table3[branch_name],Table3[id_branch])</f>
        <v>BRCH002</v>
      </c>
      <c r="H213" t="s">
        <v>1214</v>
      </c>
      <c r="I213" t="str">
        <f>_xlfn.XLOOKUP(Table1[[#This Row],[city]],Table4[city],Table4[id_city])</f>
        <v>KOA0103</v>
      </c>
      <c r="J213" t="s">
        <v>1219</v>
      </c>
      <c r="K213" t="str">
        <f>_xlfn.XLOOKUP(Table1[[#This Row],[menu_name]],Table5[menu_name],Table5[id_menu])</f>
        <v>MENU004</v>
      </c>
      <c r="L213" t="s">
        <v>1226</v>
      </c>
      <c r="M213" t="str">
        <f>_xlfn.XLOOKUP(Table1[[#This Row],[category]],Table6[category],Table6[id_category])</f>
        <v>KTG0207</v>
      </c>
      <c r="N213" t="s">
        <v>1235</v>
      </c>
      <c r="O213">
        <v>1</v>
      </c>
      <c r="P213">
        <v>28000</v>
      </c>
      <c r="Q213">
        <v>10</v>
      </c>
      <c r="R213">
        <v>3.1</v>
      </c>
      <c r="S213" t="str">
        <f>_xlfn.XLOOKUP(Table1[[#This Row],[method]],Table7[method],Table7[id_method])</f>
        <v>PAY0710</v>
      </c>
      <c r="T213" t="s">
        <v>1237</v>
      </c>
      <c r="U213">
        <v>25200</v>
      </c>
    </row>
    <row r="214" spans="1:21" x14ac:dyDescent="0.25">
      <c r="A214" t="s">
        <v>226</v>
      </c>
      <c r="B214" t="str">
        <f>_xlfn.XLOOKUP(Table1[[#This Row],[date]],Table8[date],Table8[id_date])</f>
        <v>TGL0610</v>
      </c>
      <c r="C214" s="1">
        <v>45428</v>
      </c>
      <c r="D214" s="1" t="str">
        <f>_xlfn.XLOOKUP(Table1[[#This Row],[customer_name]],Table11[customer_name],Table11[id_cust])</f>
        <v>CNA0280</v>
      </c>
      <c r="E214" t="s">
        <v>1140</v>
      </c>
      <c r="F214">
        <v>25</v>
      </c>
      <c r="G214" t="str">
        <f>_xlfn.XLOOKUP(Table1[[#This Row],[branch_name]],Table3[branch_name],Table3[id_branch])</f>
        <v>BRCH001</v>
      </c>
      <c r="H214" t="s">
        <v>1213</v>
      </c>
      <c r="I214" t="str">
        <f>_xlfn.XLOOKUP(Table1[[#This Row],[city]],Table4[city],Table4[id_city])</f>
        <v>KOA0102</v>
      </c>
      <c r="J214" t="s">
        <v>1218</v>
      </c>
      <c r="K214" t="str">
        <f>_xlfn.XLOOKUP(Table1[[#This Row],[menu_name]],Table5[menu_name],Table5[id_menu])</f>
        <v>MENU010</v>
      </c>
      <c r="L214" t="s">
        <v>1232</v>
      </c>
      <c r="M214" t="str">
        <f>_xlfn.XLOOKUP(Table1[[#This Row],[category]],Table6[category],Table6[id_category])</f>
        <v>KTG0205</v>
      </c>
      <c r="N214" t="s">
        <v>1233</v>
      </c>
      <c r="O214">
        <v>5</v>
      </c>
      <c r="P214">
        <v>18000</v>
      </c>
      <c r="Q214">
        <v>0</v>
      </c>
      <c r="R214">
        <v>2.4</v>
      </c>
      <c r="S214" t="str">
        <f>_xlfn.XLOOKUP(Table1[[#This Row],[method]],Table7[method],Table7[id_method])</f>
        <v>PAY0709</v>
      </c>
      <c r="T214" t="s">
        <v>1236</v>
      </c>
      <c r="U214">
        <v>90000</v>
      </c>
    </row>
    <row r="215" spans="1:21" x14ac:dyDescent="0.25">
      <c r="A215" t="s">
        <v>227</v>
      </c>
      <c r="B215" t="str">
        <f>_xlfn.XLOOKUP(Table1[[#This Row],[date]],Table8[date],Table8[id_date])</f>
        <v>TGL0610</v>
      </c>
      <c r="C215" s="1">
        <v>45428</v>
      </c>
      <c r="D215" s="1" t="str">
        <f>_xlfn.XLOOKUP(Table1[[#This Row],[customer_name]],Table11[customer_name],Table11[id_cust])</f>
        <v>CNA0277</v>
      </c>
      <c r="E215" t="s">
        <v>1138</v>
      </c>
      <c r="F215">
        <v>52</v>
      </c>
      <c r="G215" t="str">
        <f>_xlfn.XLOOKUP(Table1[[#This Row],[branch_name]],Table3[branch_name],Table3[id_branch])</f>
        <v>BRCH004</v>
      </c>
      <c r="H215" t="s">
        <v>1216</v>
      </c>
      <c r="I215" t="str">
        <f>_xlfn.XLOOKUP(Table1[[#This Row],[city]],Table4[city],Table4[id_city])</f>
        <v>KOA0105</v>
      </c>
      <c r="J215" t="s">
        <v>1221</v>
      </c>
      <c r="K215" t="str">
        <f>_xlfn.XLOOKUP(Table1[[#This Row],[menu_name]],Table5[menu_name],Table5[id_menu])</f>
        <v>MENU007</v>
      </c>
      <c r="L215" t="s">
        <v>1229</v>
      </c>
      <c r="M215" t="str">
        <f>_xlfn.XLOOKUP(Table1[[#This Row],[category]],Table6[category],Table6[id_category])</f>
        <v>KTG0207</v>
      </c>
      <c r="N215" t="s">
        <v>1235</v>
      </c>
      <c r="O215">
        <v>3</v>
      </c>
      <c r="P215">
        <v>27000</v>
      </c>
      <c r="Q215">
        <v>5</v>
      </c>
      <c r="R215">
        <v>3.2</v>
      </c>
      <c r="S215" t="str">
        <f>_xlfn.XLOOKUP(Table1[[#This Row],[method]],Table7[method],Table7[id_method])</f>
        <v>PAY0711</v>
      </c>
      <c r="T215" t="s">
        <v>1238</v>
      </c>
      <c r="U215">
        <v>76950</v>
      </c>
    </row>
    <row r="216" spans="1:21" x14ac:dyDescent="0.25">
      <c r="A216" t="s">
        <v>228</v>
      </c>
      <c r="B216" t="str">
        <f>_xlfn.XLOOKUP(Table1[[#This Row],[date]],Table8[date],Table8[id_date])</f>
        <v>TGL0610</v>
      </c>
      <c r="C216" s="1">
        <v>45428</v>
      </c>
      <c r="D216" s="1" t="str">
        <f>_xlfn.XLOOKUP(Table1[[#This Row],[customer_name]],Table11[customer_name],Table11[id_cust])</f>
        <v>CNA0315</v>
      </c>
      <c r="E216" t="s">
        <v>1155</v>
      </c>
      <c r="F216">
        <v>51</v>
      </c>
      <c r="G216" t="str">
        <f>_xlfn.XLOOKUP(Table1[[#This Row],[branch_name]],Table3[branch_name],Table3[id_branch])</f>
        <v>BRCH003</v>
      </c>
      <c r="H216" t="s">
        <v>1215</v>
      </c>
      <c r="I216" t="str">
        <f>_xlfn.XLOOKUP(Table1[[#This Row],[city]],Table4[city],Table4[id_city])</f>
        <v>KOA0104</v>
      </c>
      <c r="J216" t="s">
        <v>1220</v>
      </c>
      <c r="K216" t="str">
        <f>_xlfn.XLOOKUP(Table1[[#This Row],[menu_name]],Table5[menu_name],Table5[id_menu])</f>
        <v>MENU006</v>
      </c>
      <c r="L216" t="s">
        <v>1228</v>
      </c>
      <c r="M216" t="str">
        <f>_xlfn.XLOOKUP(Table1[[#This Row],[category]],Table6[category],Table6[id_category])</f>
        <v>KTG0206</v>
      </c>
      <c r="N216" t="s">
        <v>1234</v>
      </c>
      <c r="O216">
        <v>2</v>
      </c>
      <c r="P216">
        <v>32000</v>
      </c>
      <c r="Q216">
        <v>0</v>
      </c>
      <c r="R216">
        <v>2.7</v>
      </c>
      <c r="S216" t="str">
        <f>_xlfn.XLOOKUP(Table1[[#This Row],[method]],Table7[method],Table7[id_method])</f>
        <v>PAY0711</v>
      </c>
      <c r="T216" t="s">
        <v>1238</v>
      </c>
      <c r="U216">
        <v>64000</v>
      </c>
    </row>
    <row r="217" spans="1:21" x14ac:dyDescent="0.25">
      <c r="A217" t="s">
        <v>229</v>
      </c>
      <c r="B217" t="str">
        <f>_xlfn.XLOOKUP(Table1[[#This Row],[date]],Table8[date],Table8[id_date])</f>
        <v>TGL0611</v>
      </c>
      <c r="C217" s="1">
        <v>45429</v>
      </c>
      <c r="D217" s="1" t="str">
        <f>_xlfn.XLOOKUP(Table1[[#This Row],[customer_name]],Table11[customer_name],Table11[id_cust])</f>
        <v>CNA0124</v>
      </c>
      <c r="E217" t="s">
        <v>1037</v>
      </c>
      <c r="F217">
        <v>33</v>
      </c>
      <c r="G217" t="str">
        <f>_xlfn.XLOOKUP(Table1[[#This Row],[branch_name]],Table3[branch_name],Table3[id_branch])</f>
        <v>BRCH003</v>
      </c>
      <c r="H217" t="s">
        <v>1215</v>
      </c>
      <c r="I217" t="str">
        <f>_xlfn.XLOOKUP(Table1[[#This Row],[city]],Table4[city],Table4[id_city])</f>
        <v>KOA0104</v>
      </c>
      <c r="J217" t="s">
        <v>1220</v>
      </c>
      <c r="K217" t="str">
        <f>_xlfn.XLOOKUP(Table1[[#This Row],[menu_name]],Table5[menu_name],Table5[id_menu])</f>
        <v>MENU009</v>
      </c>
      <c r="L217" t="s">
        <v>1231</v>
      </c>
      <c r="M217" t="str">
        <f>_xlfn.XLOOKUP(Table1[[#This Row],[category]],Table6[category],Table6[id_category])</f>
        <v>KTG0206</v>
      </c>
      <c r="N217" t="s">
        <v>1234</v>
      </c>
      <c r="O217">
        <v>2</v>
      </c>
      <c r="P217">
        <v>18000</v>
      </c>
      <c r="Q217">
        <v>10</v>
      </c>
      <c r="R217">
        <v>1.2</v>
      </c>
      <c r="S217" t="str">
        <f>_xlfn.XLOOKUP(Table1[[#This Row],[method]],Table7[method],Table7[id_method])</f>
        <v>PAY0712</v>
      </c>
      <c r="T217" t="s">
        <v>1239</v>
      </c>
      <c r="U217">
        <v>32400</v>
      </c>
    </row>
    <row r="218" spans="1:21" x14ac:dyDescent="0.25">
      <c r="A218" t="s">
        <v>230</v>
      </c>
      <c r="B218" t="str">
        <f>_xlfn.XLOOKUP(Table1[[#This Row],[date]],Table8[date],Table8[id_date])</f>
        <v>TGL0612</v>
      </c>
      <c r="C218" s="1">
        <v>45430</v>
      </c>
      <c r="D218" s="1" t="str">
        <f>_xlfn.XLOOKUP(Table1[[#This Row],[customer_name]],Table11[customer_name],Table11[id_cust])</f>
        <v>CNA0317</v>
      </c>
      <c r="E218" t="s">
        <v>1156</v>
      </c>
      <c r="F218">
        <v>31</v>
      </c>
      <c r="G218" t="str">
        <f>_xlfn.XLOOKUP(Table1[[#This Row],[branch_name]],Table3[branch_name],Table3[id_branch])</f>
        <v>BRCH003</v>
      </c>
      <c r="H218" t="s">
        <v>1215</v>
      </c>
      <c r="I218" t="str">
        <f>_xlfn.XLOOKUP(Table1[[#This Row],[city]],Table4[city],Table4[id_city])</f>
        <v>KOA0104</v>
      </c>
      <c r="J218" t="s">
        <v>1220</v>
      </c>
      <c r="K218" t="str">
        <f>_xlfn.XLOOKUP(Table1[[#This Row],[menu_name]],Table5[menu_name],Table5[id_menu])</f>
        <v>MENU009</v>
      </c>
      <c r="L218" t="s">
        <v>1231</v>
      </c>
      <c r="M218" t="str">
        <f>_xlfn.XLOOKUP(Table1[[#This Row],[category]],Table6[category],Table6[id_category])</f>
        <v>KTG0206</v>
      </c>
      <c r="N218" t="s">
        <v>1234</v>
      </c>
      <c r="O218">
        <v>4</v>
      </c>
      <c r="P218">
        <v>18000</v>
      </c>
      <c r="Q218">
        <v>0</v>
      </c>
      <c r="R218">
        <v>4.5999999999999996</v>
      </c>
      <c r="S218" t="str">
        <f>_xlfn.XLOOKUP(Table1[[#This Row],[method]],Table7[method],Table7[id_method])</f>
        <v>PAY0711</v>
      </c>
      <c r="T218" t="s">
        <v>1238</v>
      </c>
      <c r="U218">
        <v>72000</v>
      </c>
    </row>
    <row r="219" spans="1:21" x14ac:dyDescent="0.25">
      <c r="A219" t="s">
        <v>231</v>
      </c>
      <c r="B219" t="str">
        <f>_xlfn.XLOOKUP(Table1[[#This Row],[date]],Table8[date],Table8[id_date])</f>
        <v>TGL0613</v>
      </c>
      <c r="C219" s="1">
        <v>45431</v>
      </c>
      <c r="D219" s="1" t="str">
        <f>_xlfn.XLOOKUP(Table1[[#This Row],[customer_name]],Table11[customer_name],Table11[id_cust])</f>
        <v>CNA0318</v>
      </c>
      <c r="E219" t="s">
        <v>1157</v>
      </c>
      <c r="F219">
        <v>27</v>
      </c>
      <c r="G219" t="str">
        <f>_xlfn.XLOOKUP(Table1[[#This Row],[branch_name]],Table3[branch_name],Table3[id_branch])</f>
        <v>BRCH005</v>
      </c>
      <c r="H219" t="s">
        <v>1217</v>
      </c>
      <c r="I219" t="str">
        <f>_xlfn.XLOOKUP(Table1[[#This Row],[city]],Table4[city],Table4[id_city])</f>
        <v>KOA0106</v>
      </c>
      <c r="J219" t="s">
        <v>1222</v>
      </c>
      <c r="K219" t="str">
        <f>_xlfn.XLOOKUP(Table1[[#This Row],[menu_name]],Table5[menu_name],Table5[id_menu])</f>
        <v>MENU003</v>
      </c>
      <c r="L219" t="s">
        <v>1225</v>
      </c>
      <c r="M219" t="str">
        <f>_xlfn.XLOOKUP(Table1[[#This Row],[category]],Table6[category],Table6[id_category])</f>
        <v>KTG0205</v>
      </c>
      <c r="N219" t="s">
        <v>1233</v>
      </c>
      <c r="O219">
        <v>3</v>
      </c>
      <c r="P219">
        <v>22000</v>
      </c>
      <c r="Q219">
        <v>0</v>
      </c>
      <c r="R219">
        <v>4.3</v>
      </c>
      <c r="S219" t="str">
        <f>_xlfn.XLOOKUP(Table1[[#This Row],[method]],Table7[method],Table7[id_method])</f>
        <v>PAY0710</v>
      </c>
      <c r="T219" t="s">
        <v>1237</v>
      </c>
      <c r="U219">
        <v>66000</v>
      </c>
    </row>
    <row r="220" spans="1:21" x14ac:dyDescent="0.25">
      <c r="A220" t="s">
        <v>232</v>
      </c>
      <c r="B220" t="str">
        <f>_xlfn.XLOOKUP(Table1[[#This Row],[date]],Table8[date],Table8[id_date])</f>
        <v>TGL0614</v>
      </c>
      <c r="C220" s="1">
        <v>45432</v>
      </c>
      <c r="D220" s="1" t="str">
        <f>_xlfn.XLOOKUP(Table1[[#This Row],[customer_name]],Table11[customer_name],Table11[id_cust])</f>
        <v>CNA0319</v>
      </c>
      <c r="E220" t="s">
        <v>1158</v>
      </c>
      <c r="F220">
        <v>31</v>
      </c>
      <c r="G220" t="str">
        <f>_xlfn.XLOOKUP(Table1[[#This Row],[branch_name]],Table3[branch_name],Table3[id_branch])</f>
        <v>BRCH002</v>
      </c>
      <c r="H220" t="s">
        <v>1214</v>
      </c>
      <c r="I220" t="str">
        <f>_xlfn.XLOOKUP(Table1[[#This Row],[city]],Table4[city],Table4[id_city])</f>
        <v>KOA0103</v>
      </c>
      <c r="J220" t="s">
        <v>1219</v>
      </c>
      <c r="K220" t="str">
        <f>_xlfn.XLOOKUP(Table1[[#This Row],[menu_name]],Table5[menu_name],Table5[id_menu])</f>
        <v>MENU003</v>
      </c>
      <c r="L220" t="s">
        <v>1225</v>
      </c>
      <c r="M220" t="str">
        <f>_xlfn.XLOOKUP(Table1[[#This Row],[category]],Table6[category],Table6[id_category])</f>
        <v>KTG0205</v>
      </c>
      <c r="N220" t="s">
        <v>1233</v>
      </c>
      <c r="O220">
        <v>1</v>
      </c>
      <c r="P220">
        <v>22000</v>
      </c>
      <c r="Q220">
        <v>0</v>
      </c>
      <c r="R220">
        <v>3</v>
      </c>
      <c r="S220" t="str">
        <f>_xlfn.XLOOKUP(Table1[[#This Row],[method]],Table7[method],Table7[id_method])</f>
        <v>PAY0711</v>
      </c>
      <c r="T220" t="s">
        <v>1238</v>
      </c>
      <c r="U220">
        <v>22000</v>
      </c>
    </row>
    <row r="221" spans="1:21" x14ac:dyDescent="0.25">
      <c r="A221" t="s">
        <v>233</v>
      </c>
      <c r="B221" t="str">
        <f>_xlfn.XLOOKUP(Table1[[#This Row],[date]],Table8[date],Table8[id_date])</f>
        <v>TGL0614</v>
      </c>
      <c r="C221" s="1">
        <v>45432</v>
      </c>
      <c r="D221" s="1" t="str">
        <f>_xlfn.XLOOKUP(Table1[[#This Row],[customer_name]],Table11[customer_name],Table11[id_cust])</f>
        <v>CNA0158</v>
      </c>
      <c r="E221" t="s">
        <v>1066</v>
      </c>
      <c r="F221">
        <v>48</v>
      </c>
      <c r="G221" t="str">
        <f>_xlfn.XLOOKUP(Table1[[#This Row],[branch_name]],Table3[branch_name],Table3[id_branch])</f>
        <v>BRCH001</v>
      </c>
      <c r="H221" t="s">
        <v>1213</v>
      </c>
      <c r="I221" t="str">
        <f>_xlfn.XLOOKUP(Table1[[#This Row],[city]],Table4[city],Table4[id_city])</f>
        <v>KOA0102</v>
      </c>
      <c r="J221" t="s">
        <v>1218</v>
      </c>
      <c r="K221" t="str">
        <f>_xlfn.XLOOKUP(Table1[[#This Row],[menu_name]],Table5[menu_name],Table5[id_menu])</f>
        <v>MENU003</v>
      </c>
      <c r="L221" t="s">
        <v>1225</v>
      </c>
      <c r="M221" t="str">
        <f>_xlfn.XLOOKUP(Table1[[#This Row],[category]],Table6[category],Table6[id_category])</f>
        <v>KTG0205</v>
      </c>
      <c r="N221" t="s">
        <v>1233</v>
      </c>
      <c r="O221">
        <v>4</v>
      </c>
      <c r="P221">
        <v>22000</v>
      </c>
      <c r="Q221">
        <v>0</v>
      </c>
      <c r="R221">
        <v>2.8</v>
      </c>
      <c r="S221" t="str">
        <f>_xlfn.XLOOKUP(Table1[[#This Row],[method]],Table7[method],Table7[id_method])</f>
        <v>PAY0712</v>
      </c>
      <c r="T221" t="s">
        <v>1239</v>
      </c>
      <c r="U221">
        <v>88000</v>
      </c>
    </row>
    <row r="222" spans="1:21" x14ac:dyDescent="0.25">
      <c r="A222" t="s">
        <v>234</v>
      </c>
      <c r="B222" t="str">
        <f>_xlfn.XLOOKUP(Table1[[#This Row],[date]],Table8[date],Table8[id_date])</f>
        <v>TGL0615</v>
      </c>
      <c r="C222" s="1">
        <v>45434</v>
      </c>
      <c r="D222" s="1" t="str">
        <f>_xlfn.XLOOKUP(Table1[[#This Row],[customer_name]],Table11[customer_name],Table11[id_cust])</f>
        <v>CNA0139</v>
      </c>
      <c r="E222" t="s">
        <v>1050</v>
      </c>
      <c r="F222">
        <v>51</v>
      </c>
      <c r="G222" t="str">
        <f>_xlfn.XLOOKUP(Table1[[#This Row],[branch_name]],Table3[branch_name],Table3[id_branch])</f>
        <v>BRCH003</v>
      </c>
      <c r="H222" t="s">
        <v>1215</v>
      </c>
      <c r="I222" t="str">
        <f>_xlfn.XLOOKUP(Table1[[#This Row],[city]],Table4[city],Table4[id_city])</f>
        <v>KOA0104</v>
      </c>
      <c r="J222" t="s">
        <v>1220</v>
      </c>
      <c r="K222" t="str">
        <f>_xlfn.XLOOKUP(Table1[[#This Row],[menu_name]],Table5[menu_name],Table5[id_menu])</f>
        <v>MENU004</v>
      </c>
      <c r="L222" t="s">
        <v>1226</v>
      </c>
      <c r="M222" t="str">
        <f>_xlfn.XLOOKUP(Table1[[#This Row],[category]],Table6[category],Table6[id_category])</f>
        <v>KTG0207</v>
      </c>
      <c r="N222" t="s">
        <v>1235</v>
      </c>
      <c r="O222">
        <v>4</v>
      </c>
      <c r="P222">
        <v>28000</v>
      </c>
      <c r="Q222">
        <v>20</v>
      </c>
      <c r="R222">
        <v>2.1</v>
      </c>
      <c r="S222" t="str">
        <f>_xlfn.XLOOKUP(Table1[[#This Row],[method]],Table7[method],Table7[id_method])</f>
        <v>PAY0709</v>
      </c>
      <c r="T222" t="s">
        <v>1236</v>
      </c>
      <c r="U222">
        <v>89600</v>
      </c>
    </row>
    <row r="223" spans="1:21" x14ac:dyDescent="0.25">
      <c r="A223" t="s">
        <v>235</v>
      </c>
      <c r="B223" t="str">
        <f>_xlfn.XLOOKUP(Table1[[#This Row],[date]],Table8[date],Table8[id_date])</f>
        <v>TGL0615</v>
      </c>
      <c r="C223" s="1">
        <v>45434</v>
      </c>
      <c r="D223" s="1" t="str">
        <f>_xlfn.XLOOKUP(Table1[[#This Row],[customer_name]],Table11[customer_name],Table11[id_cust])</f>
        <v>CNA0262</v>
      </c>
      <c r="E223" t="s">
        <v>1130</v>
      </c>
      <c r="F223">
        <v>30</v>
      </c>
      <c r="G223" t="str">
        <f>_xlfn.XLOOKUP(Table1[[#This Row],[branch_name]],Table3[branch_name],Table3[id_branch])</f>
        <v>BRCH003</v>
      </c>
      <c r="H223" t="s">
        <v>1215</v>
      </c>
      <c r="I223" t="str">
        <f>_xlfn.XLOOKUP(Table1[[#This Row],[city]],Table4[city],Table4[id_city])</f>
        <v>KOA0104</v>
      </c>
      <c r="J223" t="s">
        <v>1220</v>
      </c>
      <c r="K223" t="str">
        <f>_xlfn.XLOOKUP(Table1[[#This Row],[menu_name]],Table5[menu_name],Table5[id_menu])</f>
        <v>MENU009</v>
      </c>
      <c r="L223" t="s">
        <v>1231</v>
      </c>
      <c r="M223" t="str">
        <f>_xlfn.XLOOKUP(Table1[[#This Row],[category]],Table6[category],Table6[id_category])</f>
        <v>KTG0206</v>
      </c>
      <c r="N223" t="s">
        <v>1234</v>
      </c>
      <c r="O223">
        <v>2</v>
      </c>
      <c r="P223">
        <v>18000</v>
      </c>
      <c r="Q223">
        <v>15</v>
      </c>
      <c r="R223">
        <v>2.6</v>
      </c>
      <c r="S223" t="str">
        <f>_xlfn.XLOOKUP(Table1[[#This Row],[method]],Table7[method],Table7[id_method])</f>
        <v>PAY0710</v>
      </c>
      <c r="T223" t="s">
        <v>1237</v>
      </c>
      <c r="U223">
        <v>30600</v>
      </c>
    </row>
    <row r="224" spans="1:21" x14ac:dyDescent="0.25">
      <c r="A224" t="s">
        <v>236</v>
      </c>
      <c r="B224" t="str">
        <f>_xlfn.XLOOKUP(Table1[[#This Row],[date]],Table8[date],Table8[id_date])</f>
        <v>TGL0615</v>
      </c>
      <c r="C224" s="1">
        <v>45434</v>
      </c>
      <c r="D224" s="1" t="str">
        <f>_xlfn.XLOOKUP(Table1[[#This Row],[customer_name]],Table11[customer_name],Table11[id_cust])</f>
        <v>CNA0323</v>
      </c>
      <c r="E224" t="s">
        <v>1159</v>
      </c>
      <c r="F224">
        <v>18</v>
      </c>
      <c r="G224" t="str">
        <f>_xlfn.XLOOKUP(Table1[[#This Row],[branch_name]],Table3[branch_name],Table3[id_branch])</f>
        <v>BRCH002</v>
      </c>
      <c r="H224" t="s">
        <v>1214</v>
      </c>
      <c r="I224" t="str">
        <f>_xlfn.XLOOKUP(Table1[[#This Row],[city]],Table4[city],Table4[id_city])</f>
        <v>KOA0103</v>
      </c>
      <c r="J224" t="s">
        <v>1219</v>
      </c>
      <c r="K224" t="str">
        <f>_xlfn.XLOOKUP(Table1[[#This Row],[menu_name]],Table5[menu_name],Table5[id_menu])</f>
        <v>MENU009</v>
      </c>
      <c r="L224" t="s">
        <v>1231</v>
      </c>
      <c r="M224" t="str">
        <f>_xlfn.XLOOKUP(Table1[[#This Row],[category]],Table6[category],Table6[id_category])</f>
        <v>KTG0206</v>
      </c>
      <c r="N224" t="s">
        <v>1234</v>
      </c>
      <c r="O224">
        <v>3</v>
      </c>
      <c r="P224">
        <v>18000</v>
      </c>
      <c r="Q224">
        <v>0</v>
      </c>
      <c r="R224">
        <v>3.3</v>
      </c>
      <c r="S224" t="str">
        <f>_xlfn.XLOOKUP(Table1[[#This Row],[method]],Table7[method],Table7[id_method])</f>
        <v>PAY0712</v>
      </c>
      <c r="T224" t="s">
        <v>1239</v>
      </c>
      <c r="U224">
        <v>54000</v>
      </c>
    </row>
    <row r="225" spans="1:21" x14ac:dyDescent="0.25">
      <c r="A225" t="s">
        <v>237</v>
      </c>
      <c r="B225" t="str">
        <f>_xlfn.XLOOKUP(Table1[[#This Row],[date]],Table8[date],Table8[id_date])</f>
        <v>TGL0616</v>
      </c>
      <c r="C225" s="1">
        <v>45435</v>
      </c>
      <c r="D225" s="1" t="str">
        <f>_xlfn.XLOOKUP(Table1[[#This Row],[customer_name]],Table11[customer_name],Table11[id_cust])</f>
        <v>CNA0317</v>
      </c>
      <c r="E225" t="s">
        <v>1156</v>
      </c>
      <c r="F225">
        <v>31</v>
      </c>
      <c r="G225" t="str">
        <f>_xlfn.XLOOKUP(Table1[[#This Row],[branch_name]],Table3[branch_name],Table3[id_branch])</f>
        <v>BRCH004</v>
      </c>
      <c r="H225" t="s">
        <v>1216</v>
      </c>
      <c r="I225" t="str">
        <f>_xlfn.XLOOKUP(Table1[[#This Row],[city]],Table4[city],Table4[id_city])</f>
        <v>KOA0105</v>
      </c>
      <c r="J225" t="s">
        <v>1221</v>
      </c>
      <c r="K225" t="str">
        <f>_xlfn.XLOOKUP(Table1[[#This Row],[menu_name]],Table5[menu_name],Table5[id_menu])</f>
        <v>MENU007</v>
      </c>
      <c r="L225" t="s">
        <v>1229</v>
      </c>
      <c r="M225" t="str">
        <f>_xlfn.XLOOKUP(Table1[[#This Row],[category]],Table6[category],Table6[id_category])</f>
        <v>KTG0207</v>
      </c>
      <c r="N225" t="s">
        <v>1235</v>
      </c>
      <c r="O225">
        <v>1</v>
      </c>
      <c r="P225">
        <v>27000</v>
      </c>
      <c r="Q225">
        <v>0</v>
      </c>
      <c r="R225">
        <v>2.4</v>
      </c>
      <c r="S225" t="str">
        <f>_xlfn.XLOOKUP(Table1[[#This Row],[method]],Table7[method],Table7[id_method])</f>
        <v>PAY0710</v>
      </c>
      <c r="T225" t="s">
        <v>1237</v>
      </c>
      <c r="U225">
        <v>27000</v>
      </c>
    </row>
    <row r="226" spans="1:21" x14ac:dyDescent="0.25">
      <c r="A226" t="s">
        <v>238</v>
      </c>
      <c r="B226" t="str">
        <f>_xlfn.XLOOKUP(Table1[[#This Row],[date]],Table8[date],Table8[id_date])</f>
        <v>TGL0616</v>
      </c>
      <c r="C226" s="1">
        <v>45435</v>
      </c>
      <c r="D226" s="1" t="str">
        <f>_xlfn.XLOOKUP(Table1[[#This Row],[customer_name]],Table11[customer_name],Table11[id_cust])</f>
        <v>CNA0325</v>
      </c>
      <c r="E226" t="s">
        <v>1160</v>
      </c>
      <c r="F226">
        <v>45</v>
      </c>
      <c r="G226" t="str">
        <f>_xlfn.XLOOKUP(Table1[[#This Row],[branch_name]],Table3[branch_name],Table3[id_branch])</f>
        <v>BRCH002</v>
      </c>
      <c r="H226" t="s">
        <v>1214</v>
      </c>
      <c r="I226" t="str">
        <f>_xlfn.XLOOKUP(Table1[[#This Row],[city]],Table4[city],Table4[id_city])</f>
        <v>KOA0103</v>
      </c>
      <c r="J226" t="s">
        <v>1219</v>
      </c>
      <c r="K226" t="str">
        <f>_xlfn.XLOOKUP(Table1[[#This Row],[menu_name]],Table5[menu_name],Table5[id_menu])</f>
        <v>MENU001</v>
      </c>
      <c r="L226" t="s">
        <v>1223</v>
      </c>
      <c r="M226" t="str">
        <f>_xlfn.XLOOKUP(Table1[[#This Row],[category]],Table6[category],Table6[id_category])</f>
        <v>KTG0205</v>
      </c>
      <c r="N226" t="s">
        <v>1233</v>
      </c>
      <c r="O226">
        <v>4</v>
      </c>
      <c r="P226">
        <v>25000</v>
      </c>
      <c r="Q226">
        <v>20</v>
      </c>
      <c r="R226">
        <v>2.4</v>
      </c>
      <c r="S226" t="str">
        <f>_xlfn.XLOOKUP(Table1[[#This Row],[method]],Table7[method],Table7[id_method])</f>
        <v>PAY0710</v>
      </c>
      <c r="T226" t="s">
        <v>1237</v>
      </c>
      <c r="U226">
        <v>80000</v>
      </c>
    </row>
    <row r="227" spans="1:21" x14ac:dyDescent="0.25">
      <c r="A227" t="s">
        <v>239</v>
      </c>
      <c r="B227" t="str">
        <f>_xlfn.XLOOKUP(Table1[[#This Row],[date]],Table8[date],Table8[id_date])</f>
        <v>TGL0616</v>
      </c>
      <c r="C227" s="1">
        <v>45435</v>
      </c>
      <c r="D227" s="1" t="str">
        <f>_xlfn.XLOOKUP(Table1[[#This Row],[customer_name]],Table11[customer_name],Table11[id_cust])</f>
        <v>CNA0242</v>
      </c>
      <c r="E227" t="s">
        <v>1123</v>
      </c>
      <c r="F227">
        <v>40</v>
      </c>
      <c r="G227" t="str">
        <f>_xlfn.XLOOKUP(Table1[[#This Row],[branch_name]],Table3[branch_name],Table3[id_branch])</f>
        <v>BRCH005</v>
      </c>
      <c r="H227" t="s">
        <v>1217</v>
      </c>
      <c r="I227" t="str">
        <f>_xlfn.XLOOKUP(Table1[[#This Row],[city]],Table4[city],Table4[id_city])</f>
        <v>KOA0106</v>
      </c>
      <c r="J227" t="s">
        <v>1222</v>
      </c>
      <c r="K227" t="str">
        <f>_xlfn.XLOOKUP(Table1[[#This Row],[menu_name]],Table5[menu_name],Table5[id_menu])</f>
        <v>MENU006</v>
      </c>
      <c r="L227" t="s">
        <v>1228</v>
      </c>
      <c r="M227" t="str">
        <f>_xlfn.XLOOKUP(Table1[[#This Row],[category]],Table6[category],Table6[id_category])</f>
        <v>KTG0206</v>
      </c>
      <c r="N227" t="s">
        <v>1234</v>
      </c>
      <c r="O227">
        <v>4</v>
      </c>
      <c r="P227">
        <v>32000</v>
      </c>
      <c r="Q227">
        <v>5</v>
      </c>
      <c r="R227">
        <v>2.8</v>
      </c>
      <c r="S227" t="str">
        <f>_xlfn.XLOOKUP(Table1[[#This Row],[method]],Table7[method],Table7[id_method])</f>
        <v>PAY0710</v>
      </c>
      <c r="T227" t="s">
        <v>1237</v>
      </c>
      <c r="U227">
        <v>121600</v>
      </c>
    </row>
    <row r="228" spans="1:21" x14ac:dyDescent="0.25">
      <c r="A228" t="s">
        <v>240</v>
      </c>
      <c r="B228" t="str">
        <f>_xlfn.XLOOKUP(Table1[[#This Row],[date]],Table8[date],Table8[id_date])</f>
        <v>TGL0616</v>
      </c>
      <c r="C228" s="1">
        <v>45435</v>
      </c>
      <c r="D228" s="1" t="str">
        <f>_xlfn.XLOOKUP(Table1[[#This Row],[customer_name]],Table11[customer_name],Table11[id_cust])</f>
        <v>CNA0299</v>
      </c>
      <c r="E228" t="s">
        <v>1149</v>
      </c>
      <c r="F228">
        <v>38</v>
      </c>
      <c r="G228" t="str">
        <f>_xlfn.XLOOKUP(Table1[[#This Row],[branch_name]],Table3[branch_name],Table3[id_branch])</f>
        <v>BRCH001</v>
      </c>
      <c r="H228" t="s">
        <v>1213</v>
      </c>
      <c r="I228" t="str">
        <f>_xlfn.XLOOKUP(Table1[[#This Row],[city]],Table4[city],Table4[id_city])</f>
        <v>KOA0102</v>
      </c>
      <c r="J228" t="s">
        <v>1218</v>
      </c>
      <c r="K228" t="str">
        <f>_xlfn.XLOOKUP(Table1[[#This Row],[menu_name]],Table5[menu_name],Table5[id_menu])</f>
        <v>MENU002</v>
      </c>
      <c r="L228" t="s">
        <v>1224</v>
      </c>
      <c r="M228" t="str">
        <f>_xlfn.XLOOKUP(Table1[[#This Row],[category]],Table6[category],Table6[id_category])</f>
        <v>KTG0206</v>
      </c>
      <c r="N228" t="s">
        <v>1234</v>
      </c>
      <c r="O228">
        <v>4</v>
      </c>
      <c r="P228">
        <v>30000</v>
      </c>
      <c r="Q228">
        <v>15</v>
      </c>
      <c r="R228">
        <v>4.8</v>
      </c>
      <c r="S228" t="str">
        <f>_xlfn.XLOOKUP(Table1[[#This Row],[method]],Table7[method],Table7[id_method])</f>
        <v>PAY0709</v>
      </c>
      <c r="T228" t="s">
        <v>1236</v>
      </c>
      <c r="U228">
        <v>102000</v>
      </c>
    </row>
    <row r="229" spans="1:21" x14ac:dyDescent="0.25">
      <c r="A229" t="s">
        <v>241</v>
      </c>
      <c r="B229" t="str">
        <f>_xlfn.XLOOKUP(Table1[[#This Row],[date]],Table8[date],Table8[id_date])</f>
        <v>TGL0617</v>
      </c>
      <c r="C229" s="1">
        <v>45436</v>
      </c>
      <c r="D229" s="1" t="str">
        <f>_xlfn.XLOOKUP(Table1[[#This Row],[customer_name]],Table11[customer_name],Table11[id_cust])</f>
        <v>CNA0188</v>
      </c>
      <c r="E229" t="s">
        <v>1090</v>
      </c>
      <c r="F229">
        <v>19</v>
      </c>
      <c r="G229" t="str">
        <f>_xlfn.XLOOKUP(Table1[[#This Row],[branch_name]],Table3[branch_name],Table3[id_branch])</f>
        <v>BRCH005</v>
      </c>
      <c r="H229" t="s">
        <v>1217</v>
      </c>
      <c r="I229" t="str">
        <f>_xlfn.XLOOKUP(Table1[[#This Row],[city]],Table4[city],Table4[id_city])</f>
        <v>KOA0106</v>
      </c>
      <c r="J229" t="s">
        <v>1222</v>
      </c>
      <c r="K229" t="str">
        <f>_xlfn.XLOOKUP(Table1[[#This Row],[menu_name]],Table5[menu_name],Table5[id_menu])</f>
        <v>MENU010</v>
      </c>
      <c r="L229" t="s">
        <v>1232</v>
      </c>
      <c r="M229" t="str">
        <f>_xlfn.XLOOKUP(Table1[[#This Row],[category]],Table6[category],Table6[id_category])</f>
        <v>KTG0205</v>
      </c>
      <c r="N229" t="s">
        <v>1233</v>
      </c>
      <c r="O229">
        <v>2</v>
      </c>
      <c r="P229">
        <v>18000</v>
      </c>
      <c r="Q229">
        <v>0</v>
      </c>
      <c r="R229">
        <v>3.7</v>
      </c>
      <c r="S229" t="str">
        <f>_xlfn.XLOOKUP(Table1[[#This Row],[method]],Table7[method],Table7[id_method])</f>
        <v>PAY0709</v>
      </c>
      <c r="T229" t="s">
        <v>1236</v>
      </c>
      <c r="U229">
        <v>36000</v>
      </c>
    </row>
    <row r="230" spans="1:21" x14ac:dyDescent="0.25">
      <c r="A230" t="s">
        <v>242</v>
      </c>
      <c r="B230" t="str">
        <f>_xlfn.XLOOKUP(Table1[[#This Row],[date]],Table8[date],Table8[id_date])</f>
        <v>TGL0617</v>
      </c>
      <c r="C230" s="1">
        <v>45436</v>
      </c>
      <c r="D230" s="1" t="str">
        <f>_xlfn.XLOOKUP(Table1[[#This Row],[customer_name]],Table11[customer_name],Table11[id_cust])</f>
        <v>CNA0292</v>
      </c>
      <c r="E230" t="s">
        <v>1146</v>
      </c>
      <c r="F230">
        <v>18</v>
      </c>
      <c r="G230" t="str">
        <f>_xlfn.XLOOKUP(Table1[[#This Row],[branch_name]],Table3[branch_name],Table3[id_branch])</f>
        <v>BRCH005</v>
      </c>
      <c r="H230" t="s">
        <v>1217</v>
      </c>
      <c r="I230" t="str">
        <f>_xlfn.XLOOKUP(Table1[[#This Row],[city]],Table4[city],Table4[id_city])</f>
        <v>KOA0106</v>
      </c>
      <c r="J230" t="s">
        <v>1222</v>
      </c>
      <c r="K230" t="str">
        <f>_xlfn.XLOOKUP(Table1[[#This Row],[menu_name]],Table5[menu_name],Table5[id_menu])</f>
        <v>MENU003</v>
      </c>
      <c r="L230" t="s">
        <v>1225</v>
      </c>
      <c r="M230" t="str">
        <f>_xlfn.XLOOKUP(Table1[[#This Row],[category]],Table6[category],Table6[id_category])</f>
        <v>KTG0205</v>
      </c>
      <c r="N230" t="s">
        <v>1233</v>
      </c>
      <c r="O230">
        <v>2</v>
      </c>
      <c r="P230">
        <v>22000</v>
      </c>
      <c r="Q230">
        <v>10</v>
      </c>
      <c r="R230">
        <v>3.1</v>
      </c>
      <c r="S230" t="str">
        <f>_xlfn.XLOOKUP(Table1[[#This Row],[method]],Table7[method],Table7[id_method])</f>
        <v>PAY0709</v>
      </c>
      <c r="T230" t="s">
        <v>1236</v>
      </c>
      <c r="U230">
        <v>39600</v>
      </c>
    </row>
    <row r="231" spans="1:21" x14ac:dyDescent="0.25">
      <c r="A231" t="s">
        <v>243</v>
      </c>
      <c r="B231" t="str">
        <f>_xlfn.XLOOKUP(Table1[[#This Row],[date]],Table8[date],Table8[id_date])</f>
        <v>TGL0617</v>
      </c>
      <c r="C231" s="1">
        <v>45436</v>
      </c>
      <c r="D231" s="1" t="str">
        <f>_xlfn.XLOOKUP(Table1[[#This Row],[customer_name]],Table11[customer_name],Table11[id_cust])</f>
        <v>CNA0128</v>
      </c>
      <c r="E231" t="s">
        <v>1040</v>
      </c>
      <c r="F231">
        <v>36</v>
      </c>
      <c r="G231" t="str">
        <f>_xlfn.XLOOKUP(Table1[[#This Row],[branch_name]],Table3[branch_name],Table3[id_branch])</f>
        <v>BRCH005</v>
      </c>
      <c r="H231" t="s">
        <v>1217</v>
      </c>
      <c r="I231" t="str">
        <f>_xlfn.XLOOKUP(Table1[[#This Row],[city]],Table4[city],Table4[id_city])</f>
        <v>KOA0106</v>
      </c>
      <c r="J231" t="s">
        <v>1222</v>
      </c>
      <c r="K231" t="str">
        <f>_xlfn.XLOOKUP(Table1[[#This Row],[menu_name]],Table5[menu_name],Table5[id_menu])</f>
        <v>MENU006</v>
      </c>
      <c r="L231" t="s">
        <v>1228</v>
      </c>
      <c r="M231" t="str">
        <f>_xlfn.XLOOKUP(Table1[[#This Row],[category]],Table6[category],Table6[id_category])</f>
        <v>KTG0206</v>
      </c>
      <c r="N231" t="s">
        <v>1234</v>
      </c>
      <c r="O231">
        <v>5</v>
      </c>
      <c r="P231">
        <v>32000</v>
      </c>
      <c r="Q231">
        <v>20</v>
      </c>
      <c r="R231">
        <v>2.8</v>
      </c>
      <c r="S231" t="str">
        <f>_xlfn.XLOOKUP(Table1[[#This Row],[method]],Table7[method],Table7[id_method])</f>
        <v>PAY0710</v>
      </c>
      <c r="T231" t="s">
        <v>1237</v>
      </c>
      <c r="U231">
        <v>128000</v>
      </c>
    </row>
    <row r="232" spans="1:21" x14ac:dyDescent="0.25">
      <c r="A232" t="s">
        <v>244</v>
      </c>
      <c r="B232" t="str">
        <f>_xlfn.XLOOKUP(Table1[[#This Row],[date]],Table8[date],Table8[id_date])</f>
        <v>TGL0617</v>
      </c>
      <c r="C232" s="1">
        <v>45436</v>
      </c>
      <c r="D232" s="1" t="str">
        <f>_xlfn.XLOOKUP(Table1[[#This Row],[customer_name]],Table11[customer_name],Table11[id_cust])</f>
        <v>CNA0114</v>
      </c>
      <c r="E232" t="s">
        <v>1027</v>
      </c>
      <c r="F232">
        <v>51</v>
      </c>
      <c r="G232" t="str">
        <f>_xlfn.XLOOKUP(Table1[[#This Row],[branch_name]],Table3[branch_name],Table3[id_branch])</f>
        <v>BRCH001</v>
      </c>
      <c r="H232" t="s">
        <v>1213</v>
      </c>
      <c r="I232" t="str">
        <f>_xlfn.XLOOKUP(Table1[[#This Row],[city]],Table4[city],Table4[id_city])</f>
        <v>KOA0102</v>
      </c>
      <c r="J232" t="s">
        <v>1218</v>
      </c>
      <c r="K232" t="str">
        <f>_xlfn.XLOOKUP(Table1[[#This Row],[menu_name]],Table5[menu_name],Table5[id_menu])</f>
        <v>MENU007</v>
      </c>
      <c r="L232" t="s">
        <v>1229</v>
      </c>
      <c r="M232" t="str">
        <f>_xlfn.XLOOKUP(Table1[[#This Row],[category]],Table6[category],Table6[id_category])</f>
        <v>KTG0207</v>
      </c>
      <c r="N232" t="s">
        <v>1235</v>
      </c>
      <c r="O232">
        <v>3</v>
      </c>
      <c r="P232">
        <v>27000</v>
      </c>
      <c r="Q232">
        <v>10</v>
      </c>
      <c r="R232">
        <v>4</v>
      </c>
      <c r="S232" t="str">
        <f>_xlfn.XLOOKUP(Table1[[#This Row],[method]],Table7[method],Table7[id_method])</f>
        <v>PAY0710</v>
      </c>
      <c r="T232" t="s">
        <v>1237</v>
      </c>
      <c r="U232">
        <v>72900</v>
      </c>
    </row>
    <row r="233" spans="1:21" x14ac:dyDescent="0.25">
      <c r="A233" t="s">
        <v>245</v>
      </c>
      <c r="B233" t="str">
        <f>_xlfn.XLOOKUP(Table1[[#This Row],[date]],Table8[date],Table8[id_date])</f>
        <v>TGL0618</v>
      </c>
      <c r="C233" s="1">
        <v>45437</v>
      </c>
      <c r="D233" s="1" t="str">
        <f>_xlfn.XLOOKUP(Table1[[#This Row],[customer_name]],Table11[customer_name],Table11[id_cust])</f>
        <v>CNA0169</v>
      </c>
      <c r="E233" t="s">
        <v>1074</v>
      </c>
      <c r="F233">
        <v>53</v>
      </c>
      <c r="G233" t="str">
        <f>_xlfn.XLOOKUP(Table1[[#This Row],[branch_name]],Table3[branch_name],Table3[id_branch])</f>
        <v>BRCH005</v>
      </c>
      <c r="H233" t="s">
        <v>1217</v>
      </c>
      <c r="I233" t="str">
        <f>_xlfn.XLOOKUP(Table1[[#This Row],[city]],Table4[city],Table4[id_city])</f>
        <v>KOA0106</v>
      </c>
      <c r="J233" t="s">
        <v>1222</v>
      </c>
      <c r="K233" t="str">
        <f>_xlfn.XLOOKUP(Table1[[#This Row],[menu_name]],Table5[menu_name],Table5[id_menu])</f>
        <v>MENU002</v>
      </c>
      <c r="L233" t="s">
        <v>1224</v>
      </c>
      <c r="M233" t="str">
        <f>_xlfn.XLOOKUP(Table1[[#This Row],[category]],Table6[category],Table6[id_category])</f>
        <v>KTG0206</v>
      </c>
      <c r="N233" t="s">
        <v>1234</v>
      </c>
      <c r="O233">
        <v>5</v>
      </c>
      <c r="P233">
        <v>30000</v>
      </c>
      <c r="Q233">
        <v>20</v>
      </c>
      <c r="R233">
        <v>4.8</v>
      </c>
      <c r="S233" t="str">
        <f>_xlfn.XLOOKUP(Table1[[#This Row],[method]],Table7[method],Table7[id_method])</f>
        <v>PAY0709</v>
      </c>
      <c r="T233" t="s">
        <v>1236</v>
      </c>
      <c r="U233">
        <v>120000</v>
      </c>
    </row>
    <row r="234" spans="1:21" x14ac:dyDescent="0.25">
      <c r="A234" t="s">
        <v>246</v>
      </c>
      <c r="B234" t="str">
        <f>_xlfn.XLOOKUP(Table1[[#This Row],[date]],Table8[date],Table8[id_date])</f>
        <v>TGL0618</v>
      </c>
      <c r="C234" s="1">
        <v>45437</v>
      </c>
      <c r="D234" s="1" t="str">
        <f>_xlfn.XLOOKUP(Table1[[#This Row],[customer_name]],Table11[customer_name],Table11[id_cust])</f>
        <v>CNA0333</v>
      </c>
      <c r="E234" t="s">
        <v>1161</v>
      </c>
      <c r="F234">
        <v>27</v>
      </c>
      <c r="G234" t="str">
        <f>_xlfn.XLOOKUP(Table1[[#This Row],[branch_name]],Table3[branch_name],Table3[id_branch])</f>
        <v>BRCH001</v>
      </c>
      <c r="H234" t="s">
        <v>1213</v>
      </c>
      <c r="I234" t="str">
        <f>_xlfn.XLOOKUP(Table1[[#This Row],[city]],Table4[city],Table4[id_city])</f>
        <v>KOA0102</v>
      </c>
      <c r="J234" t="s">
        <v>1218</v>
      </c>
      <c r="K234" t="str">
        <f>_xlfn.XLOOKUP(Table1[[#This Row],[menu_name]],Table5[menu_name],Table5[id_menu])</f>
        <v>MENU010</v>
      </c>
      <c r="L234" t="s">
        <v>1232</v>
      </c>
      <c r="M234" t="str">
        <f>_xlfn.XLOOKUP(Table1[[#This Row],[category]],Table6[category],Table6[id_category])</f>
        <v>KTG0205</v>
      </c>
      <c r="N234" t="s">
        <v>1233</v>
      </c>
      <c r="O234">
        <v>5</v>
      </c>
      <c r="P234">
        <v>18000</v>
      </c>
      <c r="Q234">
        <v>0</v>
      </c>
      <c r="R234">
        <v>3.1</v>
      </c>
      <c r="S234" t="str">
        <f>_xlfn.XLOOKUP(Table1[[#This Row],[method]],Table7[method],Table7[id_method])</f>
        <v>PAY0709</v>
      </c>
      <c r="T234" t="s">
        <v>1236</v>
      </c>
      <c r="U234">
        <v>90000</v>
      </c>
    </row>
    <row r="235" spans="1:21" x14ac:dyDescent="0.25">
      <c r="A235" t="s">
        <v>247</v>
      </c>
      <c r="B235" t="str">
        <f>_xlfn.XLOOKUP(Table1[[#This Row],[date]],Table8[date],Table8[id_date])</f>
        <v>TGL0619</v>
      </c>
      <c r="C235" s="1">
        <v>45439</v>
      </c>
      <c r="D235" s="1" t="str">
        <f>_xlfn.XLOOKUP(Table1[[#This Row],[customer_name]],Table11[customer_name],Table11[id_cust])</f>
        <v>CNA0228</v>
      </c>
      <c r="E235" t="s">
        <v>1114</v>
      </c>
      <c r="F235">
        <v>40</v>
      </c>
      <c r="G235" t="str">
        <f>_xlfn.XLOOKUP(Table1[[#This Row],[branch_name]],Table3[branch_name],Table3[id_branch])</f>
        <v>BRCH005</v>
      </c>
      <c r="H235" t="s">
        <v>1217</v>
      </c>
      <c r="I235" t="str">
        <f>_xlfn.XLOOKUP(Table1[[#This Row],[city]],Table4[city],Table4[id_city])</f>
        <v>KOA0106</v>
      </c>
      <c r="J235" t="s">
        <v>1222</v>
      </c>
      <c r="K235" t="str">
        <f>_xlfn.XLOOKUP(Table1[[#This Row],[menu_name]],Table5[menu_name],Table5[id_menu])</f>
        <v>MENU006</v>
      </c>
      <c r="L235" t="s">
        <v>1228</v>
      </c>
      <c r="M235" t="str">
        <f>_xlfn.XLOOKUP(Table1[[#This Row],[category]],Table6[category],Table6[id_category])</f>
        <v>KTG0206</v>
      </c>
      <c r="N235" t="s">
        <v>1234</v>
      </c>
      <c r="O235">
        <v>2</v>
      </c>
      <c r="P235">
        <v>32000</v>
      </c>
      <c r="Q235">
        <v>0</v>
      </c>
      <c r="R235">
        <v>4.3</v>
      </c>
      <c r="S235" t="str">
        <f>_xlfn.XLOOKUP(Table1[[#This Row],[method]],Table7[method],Table7[id_method])</f>
        <v>PAY0709</v>
      </c>
      <c r="T235" t="s">
        <v>1236</v>
      </c>
      <c r="U235">
        <v>64000</v>
      </c>
    </row>
    <row r="236" spans="1:21" x14ac:dyDescent="0.25">
      <c r="A236" t="s">
        <v>248</v>
      </c>
      <c r="B236" t="str">
        <f>_xlfn.XLOOKUP(Table1[[#This Row],[date]],Table8[date],Table8[id_date])</f>
        <v>TGL0620</v>
      </c>
      <c r="C236" s="1">
        <v>45440</v>
      </c>
      <c r="D236" s="1" t="str">
        <f>_xlfn.XLOOKUP(Table1[[#This Row],[customer_name]],Table11[customer_name],Table11[id_cust])</f>
        <v>CNA0317</v>
      </c>
      <c r="E236" t="s">
        <v>1156</v>
      </c>
      <c r="F236">
        <v>31</v>
      </c>
      <c r="G236" t="str">
        <f>_xlfn.XLOOKUP(Table1[[#This Row],[branch_name]],Table3[branch_name],Table3[id_branch])</f>
        <v>BRCH001</v>
      </c>
      <c r="H236" t="s">
        <v>1213</v>
      </c>
      <c r="I236" t="str">
        <f>_xlfn.XLOOKUP(Table1[[#This Row],[city]],Table4[city],Table4[id_city])</f>
        <v>KOA0102</v>
      </c>
      <c r="J236" t="s">
        <v>1218</v>
      </c>
      <c r="K236" t="str">
        <f>_xlfn.XLOOKUP(Table1[[#This Row],[menu_name]],Table5[menu_name],Table5[id_menu])</f>
        <v>MENU003</v>
      </c>
      <c r="L236" t="s">
        <v>1225</v>
      </c>
      <c r="M236" t="str">
        <f>_xlfn.XLOOKUP(Table1[[#This Row],[category]],Table6[category],Table6[id_category])</f>
        <v>KTG0205</v>
      </c>
      <c r="N236" t="s">
        <v>1233</v>
      </c>
      <c r="O236">
        <v>1</v>
      </c>
      <c r="P236">
        <v>22000</v>
      </c>
      <c r="Q236">
        <v>5</v>
      </c>
      <c r="R236">
        <v>4</v>
      </c>
      <c r="S236" t="str">
        <f>_xlfn.XLOOKUP(Table1[[#This Row],[method]],Table7[method],Table7[id_method])</f>
        <v>PAY0712</v>
      </c>
      <c r="T236" t="s">
        <v>1239</v>
      </c>
      <c r="U236">
        <v>20900</v>
      </c>
    </row>
    <row r="237" spans="1:21" x14ac:dyDescent="0.25">
      <c r="A237" t="s">
        <v>249</v>
      </c>
      <c r="B237" t="str">
        <f>_xlfn.XLOOKUP(Table1[[#This Row],[date]],Table8[date],Table8[id_date])</f>
        <v>TGL0621</v>
      </c>
      <c r="C237" s="1">
        <v>45441</v>
      </c>
      <c r="D237" s="1" t="str">
        <f>_xlfn.XLOOKUP(Table1[[#This Row],[customer_name]],Table11[customer_name],Table11[id_cust])</f>
        <v>CNA0106</v>
      </c>
      <c r="E237" t="s">
        <v>1019</v>
      </c>
      <c r="F237">
        <v>30</v>
      </c>
      <c r="G237" t="str">
        <f>_xlfn.XLOOKUP(Table1[[#This Row],[branch_name]],Table3[branch_name],Table3[id_branch])</f>
        <v>BRCH005</v>
      </c>
      <c r="H237" t="s">
        <v>1217</v>
      </c>
      <c r="I237" t="str">
        <f>_xlfn.XLOOKUP(Table1[[#This Row],[city]],Table4[city],Table4[id_city])</f>
        <v>KOA0106</v>
      </c>
      <c r="J237" t="s">
        <v>1222</v>
      </c>
      <c r="K237" t="str">
        <f>_xlfn.XLOOKUP(Table1[[#This Row],[menu_name]],Table5[menu_name],Table5[id_menu])</f>
        <v>MENU008</v>
      </c>
      <c r="L237" t="s">
        <v>1230</v>
      </c>
      <c r="M237" t="str">
        <f>_xlfn.XLOOKUP(Table1[[#This Row],[category]],Table6[category],Table6[id_category])</f>
        <v>KTG0205</v>
      </c>
      <c r="N237" t="s">
        <v>1233</v>
      </c>
      <c r="O237">
        <v>1</v>
      </c>
      <c r="P237">
        <v>20000</v>
      </c>
      <c r="Q237">
        <v>0</v>
      </c>
      <c r="R237">
        <v>1.5</v>
      </c>
      <c r="S237" t="str">
        <f>_xlfn.XLOOKUP(Table1[[#This Row],[method]],Table7[method],Table7[id_method])</f>
        <v>PAY0712</v>
      </c>
      <c r="T237" t="s">
        <v>1239</v>
      </c>
      <c r="U237">
        <v>20000</v>
      </c>
    </row>
    <row r="238" spans="1:21" x14ac:dyDescent="0.25">
      <c r="A238" t="s">
        <v>250</v>
      </c>
      <c r="B238" t="str">
        <f>_xlfn.XLOOKUP(Table1[[#This Row],[date]],Table8[date],Table8[id_date])</f>
        <v>TGL0622</v>
      </c>
      <c r="C238" s="1">
        <v>45442</v>
      </c>
      <c r="D238" s="1" t="str">
        <f>_xlfn.XLOOKUP(Table1[[#This Row],[customer_name]],Table11[customer_name],Table11[id_cust])</f>
        <v>CNA0225</v>
      </c>
      <c r="E238" t="s">
        <v>1112</v>
      </c>
      <c r="F238">
        <v>25</v>
      </c>
      <c r="G238" t="str">
        <f>_xlfn.XLOOKUP(Table1[[#This Row],[branch_name]],Table3[branch_name],Table3[id_branch])</f>
        <v>BRCH005</v>
      </c>
      <c r="H238" t="s">
        <v>1217</v>
      </c>
      <c r="I238" t="str">
        <f>_xlfn.XLOOKUP(Table1[[#This Row],[city]],Table4[city],Table4[id_city])</f>
        <v>KOA0106</v>
      </c>
      <c r="J238" t="s">
        <v>1222</v>
      </c>
      <c r="K238" t="str">
        <f>_xlfn.XLOOKUP(Table1[[#This Row],[menu_name]],Table5[menu_name],Table5[id_menu])</f>
        <v>MENU008</v>
      </c>
      <c r="L238" t="s">
        <v>1230</v>
      </c>
      <c r="M238" t="str">
        <f>_xlfn.XLOOKUP(Table1[[#This Row],[category]],Table6[category],Table6[id_category])</f>
        <v>KTG0205</v>
      </c>
      <c r="N238" t="s">
        <v>1233</v>
      </c>
      <c r="O238">
        <v>1</v>
      </c>
      <c r="P238">
        <v>20000</v>
      </c>
      <c r="Q238">
        <v>15</v>
      </c>
      <c r="R238">
        <v>3.7</v>
      </c>
      <c r="S238" t="str">
        <f>_xlfn.XLOOKUP(Table1[[#This Row],[method]],Table7[method],Table7[id_method])</f>
        <v>PAY0710</v>
      </c>
      <c r="T238" t="s">
        <v>1237</v>
      </c>
      <c r="U238">
        <v>17000</v>
      </c>
    </row>
    <row r="239" spans="1:21" x14ac:dyDescent="0.25">
      <c r="A239" t="s">
        <v>251</v>
      </c>
      <c r="B239" t="str">
        <f>_xlfn.XLOOKUP(Table1[[#This Row],[date]],Table8[date],Table8[id_date])</f>
        <v>TGL0622</v>
      </c>
      <c r="C239" s="1">
        <v>45442</v>
      </c>
      <c r="D239" s="1" t="str">
        <f>_xlfn.XLOOKUP(Table1[[#This Row],[customer_name]],Table11[customer_name],Table11[id_cust])</f>
        <v>CNA0177</v>
      </c>
      <c r="E239" t="s">
        <v>1082</v>
      </c>
      <c r="F239">
        <v>38</v>
      </c>
      <c r="G239" t="str">
        <f>_xlfn.XLOOKUP(Table1[[#This Row],[branch_name]],Table3[branch_name],Table3[id_branch])</f>
        <v>BRCH001</v>
      </c>
      <c r="H239" t="s">
        <v>1213</v>
      </c>
      <c r="I239" t="str">
        <f>_xlfn.XLOOKUP(Table1[[#This Row],[city]],Table4[city],Table4[id_city])</f>
        <v>KOA0102</v>
      </c>
      <c r="J239" t="s">
        <v>1218</v>
      </c>
      <c r="K239" t="str">
        <f>_xlfn.XLOOKUP(Table1[[#This Row],[menu_name]],Table5[menu_name],Table5[id_menu])</f>
        <v>MENU007</v>
      </c>
      <c r="L239" t="s">
        <v>1229</v>
      </c>
      <c r="M239" t="str">
        <f>_xlfn.XLOOKUP(Table1[[#This Row],[category]],Table6[category],Table6[id_category])</f>
        <v>KTG0207</v>
      </c>
      <c r="N239" t="s">
        <v>1235</v>
      </c>
      <c r="O239">
        <v>2</v>
      </c>
      <c r="P239">
        <v>27000</v>
      </c>
      <c r="Q239">
        <v>0</v>
      </c>
      <c r="R239">
        <v>4.7</v>
      </c>
      <c r="S239" t="str">
        <f>_xlfn.XLOOKUP(Table1[[#This Row],[method]],Table7[method],Table7[id_method])</f>
        <v>PAY0712</v>
      </c>
      <c r="T239" t="s">
        <v>1239</v>
      </c>
      <c r="U239">
        <v>54000</v>
      </c>
    </row>
    <row r="240" spans="1:21" x14ac:dyDescent="0.25">
      <c r="A240" t="s">
        <v>252</v>
      </c>
      <c r="B240" t="str">
        <f>_xlfn.XLOOKUP(Table1[[#This Row],[date]],Table8[date],Table8[id_date])</f>
        <v>TGL0623</v>
      </c>
      <c r="C240" s="1">
        <v>45443</v>
      </c>
      <c r="D240" s="1" t="str">
        <f>_xlfn.XLOOKUP(Table1[[#This Row],[customer_name]],Table11[customer_name],Table11[id_cust])</f>
        <v>CNA0208</v>
      </c>
      <c r="E240" t="s">
        <v>1102</v>
      </c>
      <c r="F240">
        <v>21</v>
      </c>
      <c r="G240" t="str">
        <f>_xlfn.XLOOKUP(Table1[[#This Row],[branch_name]],Table3[branch_name],Table3[id_branch])</f>
        <v>BRCH001</v>
      </c>
      <c r="H240" t="s">
        <v>1213</v>
      </c>
      <c r="I240" t="str">
        <f>_xlfn.XLOOKUP(Table1[[#This Row],[city]],Table4[city],Table4[id_city])</f>
        <v>KOA0102</v>
      </c>
      <c r="J240" t="s">
        <v>1218</v>
      </c>
      <c r="K240" t="str">
        <f>_xlfn.XLOOKUP(Table1[[#This Row],[menu_name]],Table5[menu_name],Table5[id_menu])</f>
        <v>MENU006</v>
      </c>
      <c r="L240" t="s">
        <v>1228</v>
      </c>
      <c r="M240" t="str">
        <f>_xlfn.XLOOKUP(Table1[[#This Row],[category]],Table6[category],Table6[id_category])</f>
        <v>KTG0206</v>
      </c>
      <c r="N240" t="s">
        <v>1234</v>
      </c>
      <c r="O240">
        <v>2</v>
      </c>
      <c r="P240">
        <v>32000</v>
      </c>
      <c r="Q240">
        <v>0</v>
      </c>
      <c r="R240">
        <v>3.5</v>
      </c>
      <c r="S240" t="str">
        <f>_xlfn.XLOOKUP(Table1[[#This Row],[method]],Table7[method],Table7[id_method])</f>
        <v>PAY0709</v>
      </c>
      <c r="T240" t="s">
        <v>1236</v>
      </c>
      <c r="U240">
        <v>64000</v>
      </c>
    </row>
    <row r="241" spans="1:21" x14ac:dyDescent="0.25">
      <c r="A241" t="s">
        <v>253</v>
      </c>
      <c r="B241" t="str">
        <f>_xlfn.XLOOKUP(Table1[[#This Row],[date]],Table8[date],Table8[id_date])</f>
        <v>TGL0624</v>
      </c>
      <c r="C241" s="1">
        <v>45444</v>
      </c>
      <c r="D241" s="1" t="str">
        <f>_xlfn.XLOOKUP(Table1[[#This Row],[customer_name]],Table11[customer_name],Table11[id_cust])</f>
        <v>CNA0167</v>
      </c>
      <c r="E241" t="s">
        <v>1072</v>
      </c>
      <c r="F241">
        <v>38</v>
      </c>
      <c r="G241" t="str">
        <f>_xlfn.XLOOKUP(Table1[[#This Row],[branch_name]],Table3[branch_name],Table3[id_branch])</f>
        <v>BRCH001</v>
      </c>
      <c r="H241" t="s">
        <v>1213</v>
      </c>
      <c r="I241" t="str">
        <f>_xlfn.XLOOKUP(Table1[[#This Row],[city]],Table4[city],Table4[id_city])</f>
        <v>KOA0102</v>
      </c>
      <c r="J241" t="s">
        <v>1218</v>
      </c>
      <c r="K241" t="str">
        <f>_xlfn.XLOOKUP(Table1[[#This Row],[menu_name]],Table5[menu_name],Table5[id_menu])</f>
        <v>MENU010</v>
      </c>
      <c r="L241" t="s">
        <v>1232</v>
      </c>
      <c r="M241" t="str">
        <f>_xlfn.XLOOKUP(Table1[[#This Row],[category]],Table6[category],Table6[id_category])</f>
        <v>KTG0205</v>
      </c>
      <c r="N241" t="s">
        <v>1233</v>
      </c>
      <c r="O241">
        <v>5</v>
      </c>
      <c r="P241">
        <v>18000</v>
      </c>
      <c r="Q241">
        <v>10</v>
      </c>
      <c r="R241">
        <v>2.1</v>
      </c>
      <c r="S241" t="str">
        <f>_xlfn.XLOOKUP(Table1[[#This Row],[method]],Table7[method],Table7[id_method])</f>
        <v>PAY0709</v>
      </c>
      <c r="T241" t="s">
        <v>1236</v>
      </c>
      <c r="U241">
        <v>81000</v>
      </c>
    </row>
    <row r="242" spans="1:21" x14ac:dyDescent="0.25">
      <c r="A242" t="s">
        <v>254</v>
      </c>
      <c r="B242" t="str">
        <f>_xlfn.XLOOKUP(Table1[[#This Row],[date]],Table8[date],Table8[id_date])</f>
        <v>TGL0625</v>
      </c>
      <c r="C242" s="1">
        <v>45445</v>
      </c>
      <c r="D242" s="1" t="str">
        <f>_xlfn.XLOOKUP(Table1[[#This Row],[customer_name]],Table11[customer_name],Table11[id_cust])</f>
        <v>CNA0252</v>
      </c>
      <c r="E242" t="s">
        <v>1127</v>
      </c>
      <c r="F242">
        <v>43</v>
      </c>
      <c r="G242" t="str">
        <f>_xlfn.XLOOKUP(Table1[[#This Row],[branch_name]],Table3[branch_name],Table3[id_branch])</f>
        <v>BRCH002</v>
      </c>
      <c r="H242" t="s">
        <v>1214</v>
      </c>
      <c r="I242" t="str">
        <f>_xlfn.XLOOKUP(Table1[[#This Row],[city]],Table4[city],Table4[id_city])</f>
        <v>KOA0103</v>
      </c>
      <c r="J242" t="s">
        <v>1219</v>
      </c>
      <c r="K242" t="str">
        <f>_xlfn.XLOOKUP(Table1[[#This Row],[menu_name]],Table5[menu_name],Table5[id_menu])</f>
        <v>MENU002</v>
      </c>
      <c r="L242" t="s">
        <v>1224</v>
      </c>
      <c r="M242" t="str">
        <f>_xlfn.XLOOKUP(Table1[[#This Row],[category]],Table6[category],Table6[id_category])</f>
        <v>KTG0206</v>
      </c>
      <c r="N242" t="s">
        <v>1234</v>
      </c>
      <c r="O242">
        <v>4</v>
      </c>
      <c r="P242">
        <v>30000</v>
      </c>
      <c r="Q242">
        <v>0</v>
      </c>
      <c r="R242">
        <v>4.5999999999999996</v>
      </c>
      <c r="S242" t="str">
        <f>_xlfn.XLOOKUP(Table1[[#This Row],[method]],Table7[method],Table7[id_method])</f>
        <v>PAY0710</v>
      </c>
      <c r="T242" t="s">
        <v>1237</v>
      </c>
      <c r="U242">
        <v>120000</v>
      </c>
    </row>
    <row r="243" spans="1:21" x14ac:dyDescent="0.25">
      <c r="A243" t="s">
        <v>255</v>
      </c>
      <c r="B243" t="str">
        <f>_xlfn.XLOOKUP(Table1[[#This Row],[date]],Table8[date],Table8[id_date])</f>
        <v>TGL0625</v>
      </c>
      <c r="C243" s="1">
        <v>45445</v>
      </c>
      <c r="D243" s="1" t="str">
        <f>_xlfn.XLOOKUP(Table1[[#This Row],[customer_name]],Table11[customer_name],Table11[id_cust])</f>
        <v>CNA0342</v>
      </c>
      <c r="E243" t="s">
        <v>1162</v>
      </c>
      <c r="F243">
        <v>35</v>
      </c>
      <c r="G243" t="str">
        <f>_xlfn.XLOOKUP(Table1[[#This Row],[branch_name]],Table3[branch_name],Table3[id_branch])</f>
        <v>BRCH003</v>
      </c>
      <c r="H243" t="s">
        <v>1215</v>
      </c>
      <c r="I243" t="str">
        <f>_xlfn.XLOOKUP(Table1[[#This Row],[city]],Table4[city],Table4[id_city])</f>
        <v>KOA0104</v>
      </c>
      <c r="J243" t="s">
        <v>1220</v>
      </c>
      <c r="K243" t="str">
        <f>_xlfn.XLOOKUP(Table1[[#This Row],[menu_name]],Table5[menu_name],Table5[id_menu])</f>
        <v>MENU008</v>
      </c>
      <c r="L243" t="s">
        <v>1230</v>
      </c>
      <c r="M243" t="str">
        <f>_xlfn.XLOOKUP(Table1[[#This Row],[category]],Table6[category],Table6[id_category])</f>
        <v>KTG0205</v>
      </c>
      <c r="N243" t="s">
        <v>1233</v>
      </c>
      <c r="O243">
        <v>5</v>
      </c>
      <c r="P243">
        <v>20000</v>
      </c>
      <c r="Q243">
        <v>10</v>
      </c>
      <c r="R243">
        <v>2.2000000000000002</v>
      </c>
      <c r="S243" t="str">
        <f>_xlfn.XLOOKUP(Table1[[#This Row],[method]],Table7[method],Table7[id_method])</f>
        <v>PAY0709</v>
      </c>
      <c r="T243" t="s">
        <v>1236</v>
      </c>
      <c r="U243">
        <v>90000</v>
      </c>
    </row>
    <row r="244" spans="1:21" x14ac:dyDescent="0.25">
      <c r="A244" t="s">
        <v>256</v>
      </c>
      <c r="B244" t="str">
        <f>_xlfn.XLOOKUP(Table1[[#This Row],[date]],Table8[date],Table8[id_date])</f>
        <v>TGL0626</v>
      </c>
      <c r="C244" s="1">
        <v>45446</v>
      </c>
      <c r="D244" s="1" t="str">
        <f>_xlfn.XLOOKUP(Table1[[#This Row],[customer_name]],Table11[customer_name],Table11[id_cust])</f>
        <v>CNA0111</v>
      </c>
      <c r="E244" t="s">
        <v>1024</v>
      </c>
      <c r="F244">
        <v>40</v>
      </c>
      <c r="G244" t="str">
        <f>_xlfn.XLOOKUP(Table1[[#This Row],[branch_name]],Table3[branch_name],Table3[id_branch])</f>
        <v>BRCH003</v>
      </c>
      <c r="H244" t="s">
        <v>1215</v>
      </c>
      <c r="I244" t="str">
        <f>_xlfn.XLOOKUP(Table1[[#This Row],[city]],Table4[city],Table4[id_city])</f>
        <v>KOA0104</v>
      </c>
      <c r="J244" t="s">
        <v>1220</v>
      </c>
      <c r="K244" t="str">
        <f>_xlfn.XLOOKUP(Table1[[#This Row],[menu_name]],Table5[menu_name],Table5[id_menu])</f>
        <v>MENU002</v>
      </c>
      <c r="L244" t="s">
        <v>1224</v>
      </c>
      <c r="M244" t="str">
        <f>_xlfn.XLOOKUP(Table1[[#This Row],[category]],Table6[category],Table6[id_category])</f>
        <v>KTG0206</v>
      </c>
      <c r="N244" t="s">
        <v>1234</v>
      </c>
      <c r="O244">
        <v>5</v>
      </c>
      <c r="P244">
        <v>30000</v>
      </c>
      <c r="Q244">
        <v>5</v>
      </c>
      <c r="R244">
        <v>2.6</v>
      </c>
      <c r="S244" t="str">
        <f>_xlfn.XLOOKUP(Table1[[#This Row],[method]],Table7[method],Table7[id_method])</f>
        <v>PAY0711</v>
      </c>
      <c r="T244" t="s">
        <v>1238</v>
      </c>
      <c r="U244">
        <v>142500</v>
      </c>
    </row>
    <row r="245" spans="1:21" x14ac:dyDescent="0.25">
      <c r="A245" t="s">
        <v>257</v>
      </c>
      <c r="B245" t="str">
        <f>_xlfn.XLOOKUP(Table1[[#This Row],[date]],Table8[date],Table8[id_date])</f>
        <v>TGL0627</v>
      </c>
      <c r="C245" s="1">
        <v>45447</v>
      </c>
      <c r="D245" s="1" t="str">
        <f>_xlfn.XLOOKUP(Table1[[#This Row],[customer_name]],Table11[customer_name],Table11[id_cust])</f>
        <v>CNA0344</v>
      </c>
      <c r="E245" t="s">
        <v>1163</v>
      </c>
      <c r="F245">
        <v>43</v>
      </c>
      <c r="G245" t="str">
        <f>_xlfn.XLOOKUP(Table1[[#This Row],[branch_name]],Table3[branch_name],Table3[id_branch])</f>
        <v>BRCH001</v>
      </c>
      <c r="H245" t="s">
        <v>1213</v>
      </c>
      <c r="I245" t="str">
        <f>_xlfn.XLOOKUP(Table1[[#This Row],[city]],Table4[city],Table4[id_city])</f>
        <v>KOA0102</v>
      </c>
      <c r="J245" t="s">
        <v>1218</v>
      </c>
      <c r="K245" t="str">
        <f>_xlfn.XLOOKUP(Table1[[#This Row],[menu_name]],Table5[menu_name],Table5[id_menu])</f>
        <v>MENU010</v>
      </c>
      <c r="L245" t="s">
        <v>1232</v>
      </c>
      <c r="M245" t="str">
        <f>_xlfn.XLOOKUP(Table1[[#This Row],[category]],Table6[category],Table6[id_category])</f>
        <v>KTG0205</v>
      </c>
      <c r="N245" t="s">
        <v>1233</v>
      </c>
      <c r="O245">
        <v>2</v>
      </c>
      <c r="P245">
        <v>18000</v>
      </c>
      <c r="Q245">
        <v>0</v>
      </c>
      <c r="R245">
        <v>3.4</v>
      </c>
      <c r="S245" t="str">
        <f>_xlfn.XLOOKUP(Table1[[#This Row],[method]],Table7[method],Table7[id_method])</f>
        <v>PAY0711</v>
      </c>
      <c r="T245" t="s">
        <v>1238</v>
      </c>
      <c r="U245">
        <v>36000</v>
      </c>
    </row>
    <row r="246" spans="1:21" x14ac:dyDescent="0.25">
      <c r="A246" t="s">
        <v>258</v>
      </c>
      <c r="B246" t="str">
        <f>_xlfn.XLOOKUP(Table1[[#This Row],[date]],Table8[date],Table8[id_date])</f>
        <v>TGL0628</v>
      </c>
      <c r="C246" s="1">
        <v>45448</v>
      </c>
      <c r="D246" s="1" t="str">
        <f>_xlfn.XLOOKUP(Table1[[#This Row],[customer_name]],Table11[customer_name],Table11[id_cust])</f>
        <v>CNA0310</v>
      </c>
      <c r="E246" t="s">
        <v>1153</v>
      </c>
      <c r="F246">
        <v>22</v>
      </c>
      <c r="G246" t="str">
        <f>_xlfn.XLOOKUP(Table1[[#This Row],[branch_name]],Table3[branch_name],Table3[id_branch])</f>
        <v>BRCH001</v>
      </c>
      <c r="H246" t="s">
        <v>1213</v>
      </c>
      <c r="I246" t="str">
        <f>_xlfn.XLOOKUP(Table1[[#This Row],[city]],Table4[city],Table4[id_city])</f>
        <v>KOA0102</v>
      </c>
      <c r="J246" t="s">
        <v>1218</v>
      </c>
      <c r="K246" t="str">
        <f>_xlfn.XLOOKUP(Table1[[#This Row],[menu_name]],Table5[menu_name],Table5[id_menu])</f>
        <v>MENU004</v>
      </c>
      <c r="L246" t="s">
        <v>1226</v>
      </c>
      <c r="M246" t="str">
        <f>_xlfn.XLOOKUP(Table1[[#This Row],[category]],Table6[category],Table6[id_category])</f>
        <v>KTG0207</v>
      </c>
      <c r="N246" t="s">
        <v>1235</v>
      </c>
      <c r="O246">
        <v>1</v>
      </c>
      <c r="P246">
        <v>28000</v>
      </c>
      <c r="Q246">
        <v>0</v>
      </c>
      <c r="R246">
        <v>1.7</v>
      </c>
      <c r="S246" t="str">
        <f>_xlfn.XLOOKUP(Table1[[#This Row],[method]],Table7[method],Table7[id_method])</f>
        <v>PAY0710</v>
      </c>
      <c r="T246" t="s">
        <v>1237</v>
      </c>
      <c r="U246">
        <v>28000</v>
      </c>
    </row>
    <row r="247" spans="1:21" x14ac:dyDescent="0.25">
      <c r="A247" t="s">
        <v>259</v>
      </c>
      <c r="B247" t="str">
        <f>_xlfn.XLOOKUP(Table1[[#This Row],[date]],Table8[date],Table8[id_date])</f>
        <v>TGL0628</v>
      </c>
      <c r="C247" s="1">
        <v>45448</v>
      </c>
      <c r="D247" s="1" t="str">
        <f>_xlfn.XLOOKUP(Table1[[#This Row],[customer_name]],Table11[customer_name],Table11[id_cust])</f>
        <v>CNA0116</v>
      </c>
      <c r="E247" t="s">
        <v>1029</v>
      </c>
      <c r="F247">
        <v>45</v>
      </c>
      <c r="G247" t="str">
        <f>_xlfn.XLOOKUP(Table1[[#This Row],[branch_name]],Table3[branch_name],Table3[id_branch])</f>
        <v>BRCH002</v>
      </c>
      <c r="H247" t="s">
        <v>1214</v>
      </c>
      <c r="I247" t="str">
        <f>_xlfn.XLOOKUP(Table1[[#This Row],[city]],Table4[city],Table4[id_city])</f>
        <v>KOA0103</v>
      </c>
      <c r="J247" t="s">
        <v>1219</v>
      </c>
      <c r="K247" t="str">
        <f>_xlfn.XLOOKUP(Table1[[#This Row],[menu_name]],Table5[menu_name],Table5[id_menu])</f>
        <v>MENU008</v>
      </c>
      <c r="L247" t="s">
        <v>1230</v>
      </c>
      <c r="M247" t="str">
        <f>_xlfn.XLOOKUP(Table1[[#This Row],[category]],Table6[category],Table6[id_category])</f>
        <v>KTG0205</v>
      </c>
      <c r="N247" t="s">
        <v>1233</v>
      </c>
      <c r="O247">
        <v>2</v>
      </c>
      <c r="P247">
        <v>20000</v>
      </c>
      <c r="Q247">
        <v>0</v>
      </c>
      <c r="R247">
        <v>3.1</v>
      </c>
      <c r="S247" t="str">
        <f>_xlfn.XLOOKUP(Table1[[#This Row],[method]],Table7[method],Table7[id_method])</f>
        <v>PAY0709</v>
      </c>
      <c r="T247" t="s">
        <v>1236</v>
      </c>
      <c r="U247">
        <v>40000</v>
      </c>
    </row>
    <row r="248" spans="1:21" x14ac:dyDescent="0.25">
      <c r="A248" t="s">
        <v>260</v>
      </c>
      <c r="B248" t="str">
        <f>_xlfn.XLOOKUP(Table1[[#This Row],[date]],Table8[date],Table8[id_date])</f>
        <v>TGL0628</v>
      </c>
      <c r="C248" s="1">
        <v>45448</v>
      </c>
      <c r="D248" s="1" t="str">
        <f>_xlfn.XLOOKUP(Table1[[#This Row],[customer_name]],Table11[customer_name],Table11[id_cust])</f>
        <v>CNA0215</v>
      </c>
      <c r="E248" t="s">
        <v>1106</v>
      </c>
      <c r="F248">
        <v>52</v>
      </c>
      <c r="G248" t="str">
        <f>_xlfn.XLOOKUP(Table1[[#This Row],[branch_name]],Table3[branch_name],Table3[id_branch])</f>
        <v>BRCH002</v>
      </c>
      <c r="H248" t="s">
        <v>1214</v>
      </c>
      <c r="I248" t="str">
        <f>_xlfn.XLOOKUP(Table1[[#This Row],[city]],Table4[city],Table4[id_city])</f>
        <v>KOA0103</v>
      </c>
      <c r="J248" t="s">
        <v>1219</v>
      </c>
      <c r="K248" t="str">
        <f>_xlfn.XLOOKUP(Table1[[#This Row],[menu_name]],Table5[menu_name],Table5[id_menu])</f>
        <v>MENU007</v>
      </c>
      <c r="L248" t="s">
        <v>1229</v>
      </c>
      <c r="M248" t="str">
        <f>_xlfn.XLOOKUP(Table1[[#This Row],[category]],Table6[category],Table6[id_category])</f>
        <v>KTG0207</v>
      </c>
      <c r="N248" t="s">
        <v>1235</v>
      </c>
      <c r="O248">
        <v>1</v>
      </c>
      <c r="P248">
        <v>27000</v>
      </c>
      <c r="Q248">
        <v>0</v>
      </c>
      <c r="R248">
        <v>4.0999999999999996</v>
      </c>
      <c r="S248" t="str">
        <f>_xlfn.XLOOKUP(Table1[[#This Row],[method]],Table7[method],Table7[id_method])</f>
        <v>PAY0709</v>
      </c>
      <c r="T248" t="s">
        <v>1236</v>
      </c>
      <c r="U248">
        <v>27000</v>
      </c>
    </row>
    <row r="249" spans="1:21" x14ac:dyDescent="0.25">
      <c r="A249" t="s">
        <v>261</v>
      </c>
      <c r="B249" t="str">
        <f>_xlfn.XLOOKUP(Table1[[#This Row],[date]],Table8[date],Table8[id_date])</f>
        <v>TGL0629</v>
      </c>
      <c r="C249" s="1">
        <v>45449</v>
      </c>
      <c r="D249" s="1" t="str">
        <f>_xlfn.XLOOKUP(Table1[[#This Row],[customer_name]],Table11[customer_name],Table11[id_cust])</f>
        <v>CNA0348</v>
      </c>
      <c r="E249" t="s">
        <v>1164</v>
      </c>
      <c r="F249">
        <v>42</v>
      </c>
      <c r="G249" t="str">
        <f>_xlfn.XLOOKUP(Table1[[#This Row],[branch_name]],Table3[branch_name],Table3[id_branch])</f>
        <v>BRCH004</v>
      </c>
      <c r="H249" t="s">
        <v>1216</v>
      </c>
      <c r="I249" t="str">
        <f>_xlfn.XLOOKUP(Table1[[#This Row],[city]],Table4[city],Table4[id_city])</f>
        <v>KOA0105</v>
      </c>
      <c r="J249" t="s">
        <v>1221</v>
      </c>
      <c r="K249" t="str">
        <f>_xlfn.XLOOKUP(Table1[[#This Row],[menu_name]],Table5[menu_name],Table5[id_menu])</f>
        <v>MENU006</v>
      </c>
      <c r="L249" t="s">
        <v>1228</v>
      </c>
      <c r="M249" t="str">
        <f>_xlfn.XLOOKUP(Table1[[#This Row],[category]],Table6[category],Table6[id_category])</f>
        <v>KTG0206</v>
      </c>
      <c r="N249" t="s">
        <v>1234</v>
      </c>
      <c r="O249">
        <v>4</v>
      </c>
      <c r="P249">
        <v>32000</v>
      </c>
      <c r="Q249">
        <v>20</v>
      </c>
      <c r="R249">
        <v>1.3</v>
      </c>
      <c r="S249" t="str">
        <f>_xlfn.XLOOKUP(Table1[[#This Row],[method]],Table7[method],Table7[id_method])</f>
        <v>PAY0712</v>
      </c>
      <c r="T249" t="s">
        <v>1239</v>
      </c>
      <c r="U249">
        <v>102400</v>
      </c>
    </row>
    <row r="250" spans="1:21" x14ac:dyDescent="0.25">
      <c r="A250" t="s">
        <v>262</v>
      </c>
      <c r="B250" t="str">
        <f>_xlfn.XLOOKUP(Table1[[#This Row],[date]],Table8[date],Table8[id_date])</f>
        <v>TGL0630</v>
      </c>
      <c r="C250" s="1">
        <v>45450</v>
      </c>
      <c r="D250" s="1" t="str">
        <f>_xlfn.XLOOKUP(Table1[[#This Row],[customer_name]],Table11[customer_name],Table11[id_cust])</f>
        <v>CNA0114</v>
      </c>
      <c r="E250" t="s">
        <v>1027</v>
      </c>
      <c r="F250">
        <v>51</v>
      </c>
      <c r="G250" t="str">
        <f>_xlfn.XLOOKUP(Table1[[#This Row],[branch_name]],Table3[branch_name],Table3[id_branch])</f>
        <v>BRCH004</v>
      </c>
      <c r="H250" t="s">
        <v>1216</v>
      </c>
      <c r="I250" t="str">
        <f>_xlfn.XLOOKUP(Table1[[#This Row],[city]],Table4[city],Table4[id_city])</f>
        <v>KOA0105</v>
      </c>
      <c r="J250" t="s">
        <v>1221</v>
      </c>
      <c r="K250" t="str">
        <f>_xlfn.XLOOKUP(Table1[[#This Row],[menu_name]],Table5[menu_name],Table5[id_menu])</f>
        <v>MENU010</v>
      </c>
      <c r="L250" t="s">
        <v>1232</v>
      </c>
      <c r="M250" t="str">
        <f>_xlfn.XLOOKUP(Table1[[#This Row],[category]],Table6[category],Table6[id_category])</f>
        <v>KTG0205</v>
      </c>
      <c r="N250" t="s">
        <v>1233</v>
      </c>
      <c r="O250">
        <v>3</v>
      </c>
      <c r="P250">
        <v>18000</v>
      </c>
      <c r="Q250">
        <v>15</v>
      </c>
      <c r="R250">
        <v>3.5</v>
      </c>
      <c r="S250" t="str">
        <f>_xlfn.XLOOKUP(Table1[[#This Row],[method]],Table7[method],Table7[id_method])</f>
        <v>PAY0709</v>
      </c>
      <c r="T250" t="s">
        <v>1236</v>
      </c>
      <c r="U250">
        <v>45900</v>
      </c>
    </row>
    <row r="251" spans="1:21" x14ac:dyDescent="0.25">
      <c r="A251" t="s">
        <v>263</v>
      </c>
      <c r="B251" t="str">
        <f>_xlfn.XLOOKUP(Table1[[#This Row],[date]],Table8[date],Table8[id_date])</f>
        <v>TGL0631</v>
      </c>
      <c r="C251" s="1">
        <v>45451</v>
      </c>
      <c r="D251" s="1" t="str">
        <f>_xlfn.XLOOKUP(Table1[[#This Row],[customer_name]],Table11[customer_name],Table11[id_cust])</f>
        <v>CNA0350</v>
      </c>
      <c r="E251" t="s">
        <v>1165</v>
      </c>
      <c r="F251">
        <v>52</v>
      </c>
      <c r="G251" t="str">
        <f>_xlfn.XLOOKUP(Table1[[#This Row],[branch_name]],Table3[branch_name],Table3[id_branch])</f>
        <v>BRCH004</v>
      </c>
      <c r="H251" t="s">
        <v>1216</v>
      </c>
      <c r="I251" t="str">
        <f>_xlfn.XLOOKUP(Table1[[#This Row],[city]],Table4[city],Table4[id_city])</f>
        <v>KOA0105</v>
      </c>
      <c r="J251" t="s">
        <v>1221</v>
      </c>
      <c r="K251" t="str">
        <f>_xlfn.XLOOKUP(Table1[[#This Row],[menu_name]],Table5[menu_name],Table5[id_menu])</f>
        <v>MENU009</v>
      </c>
      <c r="L251" t="s">
        <v>1231</v>
      </c>
      <c r="M251" t="str">
        <f>_xlfn.XLOOKUP(Table1[[#This Row],[category]],Table6[category],Table6[id_category])</f>
        <v>KTG0206</v>
      </c>
      <c r="N251" t="s">
        <v>1234</v>
      </c>
      <c r="O251">
        <v>5</v>
      </c>
      <c r="P251">
        <v>18000</v>
      </c>
      <c r="Q251">
        <v>15</v>
      </c>
      <c r="R251">
        <v>3.2</v>
      </c>
      <c r="S251" t="str">
        <f>_xlfn.XLOOKUP(Table1[[#This Row],[method]],Table7[method],Table7[id_method])</f>
        <v>PAY0709</v>
      </c>
      <c r="T251" t="s">
        <v>1236</v>
      </c>
      <c r="U251">
        <v>76500</v>
      </c>
    </row>
    <row r="252" spans="1:21" x14ac:dyDescent="0.25">
      <c r="A252" t="s">
        <v>264</v>
      </c>
      <c r="B252" t="str">
        <f>_xlfn.XLOOKUP(Table1[[#This Row],[date]],Table8[date],Table8[id_date])</f>
        <v>TGL0631</v>
      </c>
      <c r="C252" s="1">
        <v>45451</v>
      </c>
      <c r="D252" s="1" t="str">
        <f>_xlfn.XLOOKUP(Table1[[#This Row],[customer_name]],Table11[customer_name],Table11[id_cust])</f>
        <v>CNA0224</v>
      </c>
      <c r="E252" t="s">
        <v>1111</v>
      </c>
      <c r="F252">
        <v>49</v>
      </c>
      <c r="G252" t="str">
        <f>_xlfn.XLOOKUP(Table1[[#This Row],[branch_name]],Table3[branch_name],Table3[id_branch])</f>
        <v>BRCH001</v>
      </c>
      <c r="H252" t="s">
        <v>1213</v>
      </c>
      <c r="I252" t="str">
        <f>_xlfn.XLOOKUP(Table1[[#This Row],[city]],Table4[city],Table4[id_city])</f>
        <v>KOA0102</v>
      </c>
      <c r="J252" t="s">
        <v>1218</v>
      </c>
      <c r="K252" t="str">
        <f>_xlfn.XLOOKUP(Table1[[#This Row],[menu_name]],Table5[menu_name],Table5[id_menu])</f>
        <v>MENU002</v>
      </c>
      <c r="L252" t="s">
        <v>1224</v>
      </c>
      <c r="M252" t="str">
        <f>_xlfn.XLOOKUP(Table1[[#This Row],[category]],Table6[category],Table6[id_category])</f>
        <v>KTG0206</v>
      </c>
      <c r="N252" t="s">
        <v>1234</v>
      </c>
      <c r="O252">
        <v>3</v>
      </c>
      <c r="P252">
        <v>30000</v>
      </c>
      <c r="Q252">
        <v>15</v>
      </c>
      <c r="R252">
        <v>2.7</v>
      </c>
      <c r="S252" t="str">
        <f>_xlfn.XLOOKUP(Table1[[#This Row],[method]],Table7[method],Table7[id_method])</f>
        <v>PAY0711</v>
      </c>
      <c r="T252" t="s">
        <v>1238</v>
      </c>
      <c r="U252">
        <v>76500</v>
      </c>
    </row>
    <row r="253" spans="1:21" x14ac:dyDescent="0.25">
      <c r="A253" t="s">
        <v>265</v>
      </c>
      <c r="B253" t="str">
        <f>_xlfn.XLOOKUP(Table1[[#This Row],[date]],Table8[date],Table8[id_date])</f>
        <v>TGL0632</v>
      </c>
      <c r="C253" s="1">
        <v>45452</v>
      </c>
      <c r="D253" s="1" t="str">
        <f>_xlfn.XLOOKUP(Table1[[#This Row],[customer_name]],Table11[customer_name],Table11[id_cust])</f>
        <v>CNA0177</v>
      </c>
      <c r="E253" t="s">
        <v>1082</v>
      </c>
      <c r="F253">
        <v>38</v>
      </c>
      <c r="G253" t="str">
        <f>_xlfn.XLOOKUP(Table1[[#This Row],[branch_name]],Table3[branch_name],Table3[id_branch])</f>
        <v>BRCH003</v>
      </c>
      <c r="H253" t="s">
        <v>1215</v>
      </c>
      <c r="I253" t="str">
        <f>_xlfn.XLOOKUP(Table1[[#This Row],[city]],Table4[city],Table4[id_city])</f>
        <v>KOA0104</v>
      </c>
      <c r="J253" t="s">
        <v>1220</v>
      </c>
      <c r="K253" t="str">
        <f>_xlfn.XLOOKUP(Table1[[#This Row],[menu_name]],Table5[menu_name],Table5[id_menu])</f>
        <v>MENU001</v>
      </c>
      <c r="L253" t="s">
        <v>1223</v>
      </c>
      <c r="M253" t="str">
        <f>_xlfn.XLOOKUP(Table1[[#This Row],[category]],Table6[category],Table6[id_category])</f>
        <v>KTG0205</v>
      </c>
      <c r="N253" t="s">
        <v>1233</v>
      </c>
      <c r="O253">
        <v>5</v>
      </c>
      <c r="P253">
        <v>25000</v>
      </c>
      <c r="Q253">
        <v>0</v>
      </c>
      <c r="R253">
        <v>4</v>
      </c>
      <c r="S253" t="str">
        <f>_xlfn.XLOOKUP(Table1[[#This Row],[method]],Table7[method],Table7[id_method])</f>
        <v>PAY0709</v>
      </c>
      <c r="T253" t="s">
        <v>1236</v>
      </c>
      <c r="U253">
        <v>125000</v>
      </c>
    </row>
    <row r="254" spans="1:21" x14ac:dyDescent="0.25">
      <c r="A254" t="s">
        <v>266</v>
      </c>
      <c r="B254" t="str">
        <f>_xlfn.XLOOKUP(Table1[[#This Row],[date]],Table8[date],Table8[id_date])</f>
        <v>TGL0632</v>
      </c>
      <c r="C254" s="1">
        <v>45452</v>
      </c>
      <c r="D254" s="1" t="str">
        <f>_xlfn.XLOOKUP(Table1[[#This Row],[customer_name]],Table11[customer_name],Table11[id_cust])</f>
        <v>CNA0214</v>
      </c>
      <c r="E254" t="s">
        <v>1105</v>
      </c>
      <c r="F254">
        <v>18</v>
      </c>
      <c r="G254" t="str">
        <f>_xlfn.XLOOKUP(Table1[[#This Row],[branch_name]],Table3[branch_name],Table3[id_branch])</f>
        <v>BRCH002</v>
      </c>
      <c r="H254" t="s">
        <v>1214</v>
      </c>
      <c r="I254" t="str">
        <f>_xlfn.XLOOKUP(Table1[[#This Row],[city]],Table4[city],Table4[id_city])</f>
        <v>KOA0103</v>
      </c>
      <c r="J254" t="s">
        <v>1219</v>
      </c>
      <c r="K254" t="str">
        <f>_xlfn.XLOOKUP(Table1[[#This Row],[menu_name]],Table5[menu_name],Table5[id_menu])</f>
        <v>MENU010</v>
      </c>
      <c r="L254" t="s">
        <v>1232</v>
      </c>
      <c r="M254" t="str">
        <f>_xlfn.XLOOKUP(Table1[[#This Row],[category]],Table6[category],Table6[id_category])</f>
        <v>KTG0205</v>
      </c>
      <c r="N254" t="s">
        <v>1233</v>
      </c>
      <c r="O254">
        <v>3</v>
      </c>
      <c r="P254">
        <v>18000</v>
      </c>
      <c r="Q254">
        <v>20</v>
      </c>
      <c r="R254">
        <v>2.8</v>
      </c>
      <c r="S254" t="str">
        <f>_xlfn.XLOOKUP(Table1[[#This Row],[method]],Table7[method],Table7[id_method])</f>
        <v>PAY0711</v>
      </c>
      <c r="T254" t="s">
        <v>1238</v>
      </c>
      <c r="U254">
        <v>43200</v>
      </c>
    </row>
    <row r="255" spans="1:21" x14ac:dyDescent="0.25">
      <c r="A255" t="s">
        <v>267</v>
      </c>
      <c r="B255" t="str">
        <f>_xlfn.XLOOKUP(Table1[[#This Row],[date]],Table8[date],Table8[id_date])</f>
        <v>TGL0632</v>
      </c>
      <c r="C255" s="1">
        <v>45452</v>
      </c>
      <c r="D255" s="1" t="str">
        <f>_xlfn.XLOOKUP(Table1[[#This Row],[customer_name]],Table11[customer_name],Table11[id_cust])</f>
        <v>CNA0177</v>
      </c>
      <c r="E255" t="s">
        <v>1082</v>
      </c>
      <c r="F255">
        <v>38</v>
      </c>
      <c r="G255" t="str">
        <f>_xlfn.XLOOKUP(Table1[[#This Row],[branch_name]],Table3[branch_name],Table3[id_branch])</f>
        <v>BRCH004</v>
      </c>
      <c r="H255" t="s">
        <v>1216</v>
      </c>
      <c r="I255" t="str">
        <f>_xlfn.XLOOKUP(Table1[[#This Row],[city]],Table4[city],Table4[id_city])</f>
        <v>KOA0105</v>
      </c>
      <c r="J255" t="s">
        <v>1221</v>
      </c>
      <c r="K255" t="str">
        <f>_xlfn.XLOOKUP(Table1[[#This Row],[menu_name]],Table5[menu_name],Table5[id_menu])</f>
        <v>MENU007</v>
      </c>
      <c r="L255" t="s">
        <v>1229</v>
      </c>
      <c r="M255" t="str">
        <f>_xlfn.XLOOKUP(Table1[[#This Row],[category]],Table6[category],Table6[id_category])</f>
        <v>KTG0207</v>
      </c>
      <c r="N255" t="s">
        <v>1235</v>
      </c>
      <c r="O255">
        <v>1</v>
      </c>
      <c r="P255">
        <v>27000</v>
      </c>
      <c r="Q255">
        <v>0</v>
      </c>
      <c r="R255">
        <v>2.8</v>
      </c>
      <c r="S255" t="str">
        <f>_xlfn.XLOOKUP(Table1[[#This Row],[method]],Table7[method],Table7[id_method])</f>
        <v>PAY0712</v>
      </c>
      <c r="T255" t="s">
        <v>1239</v>
      </c>
      <c r="U255">
        <v>27000</v>
      </c>
    </row>
    <row r="256" spans="1:21" x14ac:dyDescent="0.25">
      <c r="A256" t="s">
        <v>268</v>
      </c>
      <c r="B256" t="str">
        <f>_xlfn.XLOOKUP(Table1[[#This Row],[date]],Table8[date],Table8[id_date])</f>
        <v>TGL0633</v>
      </c>
      <c r="C256" s="1">
        <v>45453</v>
      </c>
      <c r="D256" s="1" t="str">
        <f>_xlfn.XLOOKUP(Table1[[#This Row],[customer_name]],Table11[customer_name],Table11[id_cust])</f>
        <v>CNA0297</v>
      </c>
      <c r="E256" t="s">
        <v>1148</v>
      </c>
      <c r="F256">
        <v>28</v>
      </c>
      <c r="G256" t="str">
        <f>_xlfn.XLOOKUP(Table1[[#This Row],[branch_name]],Table3[branch_name],Table3[id_branch])</f>
        <v>BRCH003</v>
      </c>
      <c r="H256" t="s">
        <v>1215</v>
      </c>
      <c r="I256" t="str">
        <f>_xlfn.XLOOKUP(Table1[[#This Row],[city]],Table4[city],Table4[id_city])</f>
        <v>KOA0104</v>
      </c>
      <c r="J256" t="s">
        <v>1220</v>
      </c>
      <c r="K256" t="str">
        <f>_xlfn.XLOOKUP(Table1[[#This Row],[menu_name]],Table5[menu_name],Table5[id_menu])</f>
        <v>MENU002</v>
      </c>
      <c r="L256" t="s">
        <v>1224</v>
      </c>
      <c r="M256" t="str">
        <f>_xlfn.XLOOKUP(Table1[[#This Row],[category]],Table6[category],Table6[id_category])</f>
        <v>KTG0206</v>
      </c>
      <c r="N256" t="s">
        <v>1234</v>
      </c>
      <c r="O256">
        <v>2</v>
      </c>
      <c r="P256">
        <v>30000</v>
      </c>
      <c r="Q256">
        <v>0</v>
      </c>
      <c r="R256">
        <v>5</v>
      </c>
      <c r="S256" t="str">
        <f>_xlfn.XLOOKUP(Table1[[#This Row],[method]],Table7[method],Table7[id_method])</f>
        <v>PAY0709</v>
      </c>
      <c r="T256" t="s">
        <v>1236</v>
      </c>
      <c r="U256">
        <v>60000</v>
      </c>
    </row>
    <row r="257" spans="1:21" x14ac:dyDescent="0.25">
      <c r="A257" t="s">
        <v>269</v>
      </c>
      <c r="B257" t="str">
        <f>_xlfn.XLOOKUP(Table1[[#This Row],[date]],Table8[date],Table8[id_date])</f>
        <v>TGL0634</v>
      </c>
      <c r="C257" s="1">
        <v>45454</v>
      </c>
      <c r="D257" s="1" t="str">
        <f>_xlfn.XLOOKUP(Table1[[#This Row],[customer_name]],Table11[customer_name],Table11[id_cust])</f>
        <v>CNA0228</v>
      </c>
      <c r="E257" t="s">
        <v>1114</v>
      </c>
      <c r="F257">
        <v>40</v>
      </c>
      <c r="G257" t="str">
        <f>_xlfn.XLOOKUP(Table1[[#This Row],[branch_name]],Table3[branch_name],Table3[id_branch])</f>
        <v>BRCH005</v>
      </c>
      <c r="H257" t="s">
        <v>1217</v>
      </c>
      <c r="I257" t="str">
        <f>_xlfn.XLOOKUP(Table1[[#This Row],[city]],Table4[city],Table4[id_city])</f>
        <v>KOA0106</v>
      </c>
      <c r="J257" t="s">
        <v>1222</v>
      </c>
      <c r="K257" t="str">
        <f>_xlfn.XLOOKUP(Table1[[#This Row],[menu_name]],Table5[menu_name],Table5[id_menu])</f>
        <v>MENU006</v>
      </c>
      <c r="L257" t="s">
        <v>1228</v>
      </c>
      <c r="M257" t="str">
        <f>_xlfn.XLOOKUP(Table1[[#This Row],[category]],Table6[category],Table6[id_category])</f>
        <v>KTG0206</v>
      </c>
      <c r="N257" t="s">
        <v>1234</v>
      </c>
      <c r="O257">
        <v>5</v>
      </c>
      <c r="P257">
        <v>32000</v>
      </c>
      <c r="Q257">
        <v>0</v>
      </c>
      <c r="R257">
        <v>4.0999999999999996</v>
      </c>
      <c r="S257" t="str">
        <f>_xlfn.XLOOKUP(Table1[[#This Row],[method]],Table7[method],Table7[id_method])</f>
        <v>PAY0710</v>
      </c>
      <c r="T257" t="s">
        <v>1237</v>
      </c>
      <c r="U257">
        <v>160000</v>
      </c>
    </row>
    <row r="258" spans="1:21" x14ac:dyDescent="0.25">
      <c r="A258" t="s">
        <v>270</v>
      </c>
      <c r="B258" t="str">
        <f>_xlfn.XLOOKUP(Table1[[#This Row],[date]],Table8[date],Table8[id_date])</f>
        <v>TGL0634</v>
      </c>
      <c r="C258" s="1">
        <v>45454</v>
      </c>
      <c r="D258" s="1" t="str">
        <f>_xlfn.XLOOKUP(Table1[[#This Row],[customer_name]],Table11[customer_name],Table11[id_cust])</f>
        <v>CNA0357</v>
      </c>
      <c r="E258" t="s">
        <v>1166</v>
      </c>
      <c r="F258">
        <v>25</v>
      </c>
      <c r="G258" t="str">
        <f>_xlfn.XLOOKUP(Table1[[#This Row],[branch_name]],Table3[branch_name],Table3[id_branch])</f>
        <v>BRCH001</v>
      </c>
      <c r="H258" t="s">
        <v>1213</v>
      </c>
      <c r="I258" t="str">
        <f>_xlfn.XLOOKUP(Table1[[#This Row],[city]],Table4[city],Table4[id_city])</f>
        <v>KOA0102</v>
      </c>
      <c r="J258" t="s">
        <v>1218</v>
      </c>
      <c r="K258" t="str">
        <f>_xlfn.XLOOKUP(Table1[[#This Row],[menu_name]],Table5[menu_name],Table5[id_menu])</f>
        <v>MENU004</v>
      </c>
      <c r="L258" t="s">
        <v>1226</v>
      </c>
      <c r="M258" t="str">
        <f>_xlfn.XLOOKUP(Table1[[#This Row],[category]],Table6[category],Table6[id_category])</f>
        <v>KTG0207</v>
      </c>
      <c r="N258" t="s">
        <v>1235</v>
      </c>
      <c r="O258">
        <v>1</v>
      </c>
      <c r="P258">
        <v>28000</v>
      </c>
      <c r="Q258">
        <v>0</v>
      </c>
      <c r="R258">
        <v>4.3</v>
      </c>
      <c r="S258" t="str">
        <f>_xlfn.XLOOKUP(Table1[[#This Row],[method]],Table7[method],Table7[id_method])</f>
        <v>PAY0711</v>
      </c>
      <c r="T258" t="s">
        <v>1238</v>
      </c>
      <c r="U258">
        <v>28000</v>
      </c>
    </row>
    <row r="259" spans="1:21" x14ac:dyDescent="0.25">
      <c r="A259" t="s">
        <v>271</v>
      </c>
      <c r="B259" t="str">
        <f>_xlfn.XLOOKUP(Table1[[#This Row],[date]],Table8[date],Table8[id_date])</f>
        <v>TGL0635</v>
      </c>
      <c r="C259" s="1">
        <v>45456</v>
      </c>
      <c r="D259" s="1" t="str">
        <f>_xlfn.XLOOKUP(Table1[[#This Row],[customer_name]],Table11[customer_name],Table11[id_cust])</f>
        <v>CNA0265</v>
      </c>
      <c r="E259" t="s">
        <v>1132</v>
      </c>
      <c r="F259">
        <v>42</v>
      </c>
      <c r="G259" t="str">
        <f>_xlfn.XLOOKUP(Table1[[#This Row],[branch_name]],Table3[branch_name],Table3[id_branch])</f>
        <v>BRCH003</v>
      </c>
      <c r="H259" t="s">
        <v>1215</v>
      </c>
      <c r="I259" t="str">
        <f>_xlfn.XLOOKUP(Table1[[#This Row],[city]],Table4[city],Table4[id_city])</f>
        <v>KOA0104</v>
      </c>
      <c r="J259" t="s">
        <v>1220</v>
      </c>
      <c r="K259" t="str">
        <f>_xlfn.XLOOKUP(Table1[[#This Row],[menu_name]],Table5[menu_name],Table5[id_menu])</f>
        <v>MENU002</v>
      </c>
      <c r="L259" t="s">
        <v>1224</v>
      </c>
      <c r="M259" t="str">
        <f>_xlfn.XLOOKUP(Table1[[#This Row],[category]],Table6[category],Table6[id_category])</f>
        <v>KTG0206</v>
      </c>
      <c r="N259" t="s">
        <v>1234</v>
      </c>
      <c r="O259">
        <v>3</v>
      </c>
      <c r="P259">
        <v>30000</v>
      </c>
      <c r="Q259">
        <v>5</v>
      </c>
      <c r="R259">
        <v>1.3</v>
      </c>
      <c r="S259" t="str">
        <f>_xlfn.XLOOKUP(Table1[[#This Row],[method]],Table7[method],Table7[id_method])</f>
        <v>PAY0710</v>
      </c>
      <c r="T259" t="s">
        <v>1237</v>
      </c>
      <c r="U259">
        <v>85500</v>
      </c>
    </row>
    <row r="260" spans="1:21" x14ac:dyDescent="0.25">
      <c r="A260" t="s">
        <v>272</v>
      </c>
      <c r="B260" t="str">
        <f>_xlfn.XLOOKUP(Table1[[#This Row],[date]],Table8[date],Table8[id_date])</f>
        <v>TGL0635</v>
      </c>
      <c r="C260" s="1">
        <v>45456</v>
      </c>
      <c r="D260" s="1" t="str">
        <f>_xlfn.XLOOKUP(Table1[[#This Row],[customer_name]],Table11[customer_name],Table11[id_cust])</f>
        <v>CNA0230</v>
      </c>
      <c r="E260" t="s">
        <v>1115</v>
      </c>
      <c r="F260">
        <v>23</v>
      </c>
      <c r="G260" t="str">
        <f>_xlfn.XLOOKUP(Table1[[#This Row],[branch_name]],Table3[branch_name],Table3[id_branch])</f>
        <v>BRCH003</v>
      </c>
      <c r="H260" t="s">
        <v>1215</v>
      </c>
      <c r="I260" t="str">
        <f>_xlfn.XLOOKUP(Table1[[#This Row],[city]],Table4[city],Table4[id_city])</f>
        <v>KOA0104</v>
      </c>
      <c r="J260" t="s">
        <v>1220</v>
      </c>
      <c r="K260" t="str">
        <f>_xlfn.XLOOKUP(Table1[[#This Row],[menu_name]],Table5[menu_name],Table5[id_menu])</f>
        <v>MENU010</v>
      </c>
      <c r="L260" t="s">
        <v>1232</v>
      </c>
      <c r="M260" t="str">
        <f>_xlfn.XLOOKUP(Table1[[#This Row],[category]],Table6[category],Table6[id_category])</f>
        <v>KTG0205</v>
      </c>
      <c r="N260" t="s">
        <v>1233</v>
      </c>
      <c r="O260">
        <v>2</v>
      </c>
      <c r="P260">
        <v>18000</v>
      </c>
      <c r="Q260">
        <v>0</v>
      </c>
      <c r="R260">
        <v>1.3</v>
      </c>
      <c r="S260" t="str">
        <f>_xlfn.XLOOKUP(Table1[[#This Row],[method]],Table7[method],Table7[id_method])</f>
        <v>PAY0711</v>
      </c>
      <c r="T260" t="s">
        <v>1238</v>
      </c>
      <c r="U260">
        <v>36000</v>
      </c>
    </row>
    <row r="261" spans="1:21" x14ac:dyDescent="0.25">
      <c r="A261" t="s">
        <v>273</v>
      </c>
      <c r="B261" t="str">
        <f>_xlfn.XLOOKUP(Table1[[#This Row],[date]],Table8[date],Table8[id_date])</f>
        <v>TGL0635</v>
      </c>
      <c r="C261" s="1">
        <v>45456</v>
      </c>
      <c r="D261" s="1" t="str">
        <f>_xlfn.XLOOKUP(Table1[[#This Row],[customer_name]],Table11[customer_name],Table11[id_cust])</f>
        <v>CNA0107</v>
      </c>
      <c r="E261" t="s">
        <v>1020</v>
      </c>
      <c r="F261">
        <v>19</v>
      </c>
      <c r="G261" t="str">
        <f>_xlfn.XLOOKUP(Table1[[#This Row],[branch_name]],Table3[branch_name],Table3[id_branch])</f>
        <v>BRCH005</v>
      </c>
      <c r="H261" t="s">
        <v>1217</v>
      </c>
      <c r="I261" t="str">
        <f>_xlfn.XLOOKUP(Table1[[#This Row],[city]],Table4[city],Table4[id_city])</f>
        <v>KOA0106</v>
      </c>
      <c r="J261" t="s">
        <v>1222</v>
      </c>
      <c r="K261" t="str">
        <f>_xlfn.XLOOKUP(Table1[[#This Row],[menu_name]],Table5[menu_name],Table5[id_menu])</f>
        <v>MENU005</v>
      </c>
      <c r="L261" t="s">
        <v>1227</v>
      </c>
      <c r="M261" t="str">
        <f>_xlfn.XLOOKUP(Table1[[#This Row],[category]],Table6[category],Table6[id_category])</f>
        <v>KTG0206</v>
      </c>
      <c r="N261" t="s">
        <v>1234</v>
      </c>
      <c r="O261">
        <v>3</v>
      </c>
      <c r="P261">
        <v>23000</v>
      </c>
      <c r="Q261">
        <v>20</v>
      </c>
      <c r="R261">
        <v>2.7</v>
      </c>
      <c r="S261" t="str">
        <f>_xlfn.XLOOKUP(Table1[[#This Row],[method]],Table7[method],Table7[id_method])</f>
        <v>PAY0712</v>
      </c>
      <c r="T261" t="s">
        <v>1239</v>
      </c>
      <c r="U261">
        <v>55200</v>
      </c>
    </row>
    <row r="262" spans="1:21" x14ac:dyDescent="0.25">
      <c r="A262" t="s">
        <v>274</v>
      </c>
      <c r="B262" t="str">
        <f>_xlfn.XLOOKUP(Table1[[#This Row],[date]],Table8[date],Table8[id_date])</f>
        <v>TGL0636</v>
      </c>
      <c r="C262" s="1">
        <v>45457</v>
      </c>
      <c r="D262" s="1" t="str">
        <f>_xlfn.XLOOKUP(Table1[[#This Row],[customer_name]],Table11[customer_name],Table11[id_cust])</f>
        <v>CNA0204</v>
      </c>
      <c r="E262" t="s">
        <v>1099</v>
      </c>
      <c r="F262">
        <v>40</v>
      </c>
      <c r="G262" t="str">
        <f>_xlfn.XLOOKUP(Table1[[#This Row],[branch_name]],Table3[branch_name],Table3[id_branch])</f>
        <v>BRCH004</v>
      </c>
      <c r="H262" t="s">
        <v>1216</v>
      </c>
      <c r="I262" t="str">
        <f>_xlfn.XLOOKUP(Table1[[#This Row],[city]],Table4[city],Table4[id_city])</f>
        <v>KOA0105</v>
      </c>
      <c r="J262" t="s">
        <v>1221</v>
      </c>
      <c r="K262" t="str">
        <f>_xlfn.XLOOKUP(Table1[[#This Row],[menu_name]],Table5[menu_name],Table5[id_menu])</f>
        <v>MENU007</v>
      </c>
      <c r="L262" t="s">
        <v>1229</v>
      </c>
      <c r="M262" t="str">
        <f>_xlfn.XLOOKUP(Table1[[#This Row],[category]],Table6[category],Table6[id_category])</f>
        <v>KTG0207</v>
      </c>
      <c r="N262" t="s">
        <v>1235</v>
      </c>
      <c r="O262">
        <v>3</v>
      </c>
      <c r="P262">
        <v>27000</v>
      </c>
      <c r="Q262">
        <v>0</v>
      </c>
      <c r="R262">
        <v>2.8</v>
      </c>
      <c r="S262" t="str">
        <f>_xlfn.XLOOKUP(Table1[[#This Row],[method]],Table7[method],Table7[id_method])</f>
        <v>PAY0710</v>
      </c>
      <c r="T262" t="s">
        <v>1237</v>
      </c>
      <c r="U262">
        <v>81000</v>
      </c>
    </row>
    <row r="263" spans="1:21" x14ac:dyDescent="0.25">
      <c r="A263" t="s">
        <v>275</v>
      </c>
      <c r="B263" t="str">
        <f>_xlfn.XLOOKUP(Table1[[#This Row],[date]],Table8[date],Table8[id_date])</f>
        <v>TGL0637</v>
      </c>
      <c r="C263" s="1">
        <v>45458</v>
      </c>
      <c r="D263" s="1" t="str">
        <f>_xlfn.XLOOKUP(Table1[[#This Row],[customer_name]],Table11[customer_name],Table11[id_cust])</f>
        <v>CNA0172</v>
      </c>
      <c r="E263" t="s">
        <v>1077</v>
      </c>
      <c r="F263">
        <v>51</v>
      </c>
      <c r="G263" t="str">
        <f>_xlfn.XLOOKUP(Table1[[#This Row],[branch_name]],Table3[branch_name],Table3[id_branch])</f>
        <v>BRCH005</v>
      </c>
      <c r="H263" t="s">
        <v>1217</v>
      </c>
      <c r="I263" t="str">
        <f>_xlfn.XLOOKUP(Table1[[#This Row],[city]],Table4[city],Table4[id_city])</f>
        <v>KOA0106</v>
      </c>
      <c r="J263" t="s">
        <v>1222</v>
      </c>
      <c r="K263" t="str">
        <f>_xlfn.XLOOKUP(Table1[[#This Row],[menu_name]],Table5[menu_name],Table5[id_menu])</f>
        <v>MENU009</v>
      </c>
      <c r="L263" t="s">
        <v>1231</v>
      </c>
      <c r="M263" t="str">
        <f>_xlfn.XLOOKUP(Table1[[#This Row],[category]],Table6[category],Table6[id_category])</f>
        <v>KTG0206</v>
      </c>
      <c r="N263" t="s">
        <v>1234</v>
      </c>
      <c r="O263">
        <v>2</v>
      </c>
      <c r="P263">
        <v>18000</v>
      </c>
      <c r="Q263">
        <v>0</v>
      </c>
      <c r="R263">
        <v>3.8</v>
      </c>
      <c r="S263" t="str">
        <f>_xlfn.XLOOKUP(Table1[[#This Row],[method]],Table7[method],Table7[id_method])</f>
        <v>PAY0711</v>
      </c>
      <c r="T263" t="s">
        <v>1238</v>
      </c>
      <c r="U263">
        <v>36000</v>
      </c>
    </row>
    <row r="264" spans="1:21" x14ac:dyDescent="0.25">
      <c r="A264" t="s">
        <v>276</v>
      </c>
      <c r="B264" t="str">
        <f>_xlfn.XLOOKUP(Table1[[#This Row],[date]],Table8[date],Table8[id_date])</f>
        <v>TGL0638</v>
      </c>
      <c r="C264" s="1">
        <v>45459</v>
      </c>
      <c r="D264" s="1" t="str">
        <f>_xlfn.XLOOKUP(Table1[[#This Row],[customer_name]],Table11[customer_name],Table11[id_cust])</f>
        <v>CNA0127</v>
      </c>
      <c r="E264" t="s">
        <v>1039</v>
      </c>
      <c r="F264">
        <v>48</v>
      </c>
      <c r="G264" t="str">
        <f>_xlfn.XLOOKUP(Table1[[#This Row],[branch_name]],Table3[branch_name],Table3[id_branch])</f>
        <v>BRCH001</v>
      </c>
      <c r="H264" t="s">
        <v>1213</v>
      </c>
      <c r="I264" t="str">
        <f>_xlfn.XLOOKUP(Table1[[#This Row],[city]],Table4[city],Table4[id_city])</f>
        <v>KOA0102</v>
      </c>
      <c r="J264" t="s">
        <v>1218</v>
      </c>
      <c r="K264" t="str">
        <f>_xlfn.XLOOKUP(Table1[[#This Row],[menu_name]],Table5[menu_name],Table5[id_menu])</f>
        <v>MENU002</v>
      </c>
      <c r="L264" t="s">
        <v>1224</v>
      </c>
      <c r="M264" t="str">
        <f>_xlfn.XLOOKUP(Table1[[#This Row],[category]],Table6[category],Table6[id_category])</f>
        <v>KTG0206</v>
      </c>
      <c r="N264" t="s">
        <v>1234</v>
      </c>
      <c r="O264">
        <v>5</v>
      </c>
      <c r="P264">
        <v>30000</v>
      </c>
      <c r="Q264">
        <v>0</v>
      </c>
      <c r="R264">
        <v>3.8</v>
      </c>
      <c r="S264" t="str">
        <f>_xlfn.XLOOKUP(Table1[[#This Row],[method]],Table7[method],Table7[id_method])</f>
        <v>PAY0712</v>
      </c>
      <c r="T264" t="s">
        <v>1239</v>
      </c>
      <c r="U264">
        <v>150000</v>
      </c>
    </row>
    <row r="265" spans="1:21" x14ac:dyDescent="0.25">
      <c r="A265" t="s">
        <v>277</v>
      </c>
      <c r="B265" t="str">
        <f>_xlfn.XLOOKUP(Table1[[#This Row],[date]],Table8[date],Table8[id_date])</f>
        <v>TGL0638</v>
      </c>
      <c r="C265" s="1">
        <v>45459</v>
      </c>
      <c r="D265" s="1" t="str">
        <f>_xlfn.XLOOKUP(Table1[[#This Row],[customer_name]],Table11[customer_name],Table11[id_cust])</f>
        <v>CNA0292</v>
      </c>
      <c r="E265" t="s">
        <v>1146</v>
      </c>
      <c r="F265">
        <v>18</v>
      </c>
      <c r="G265" t="str">
        <f>_xlfn.XLOOKUP(Table1[[#This Row],[branch_name]],Table3[branch_name],Table3[id_branch])</f>
        <v>BRCH001</v>
      </c>
      <c r="H265" t="s">
        <v>1213</v>
      </c>
      <c r="I265" t="str">
        <f>_xlfn.XLOOKUP(Table1[[#This Row],[city]],Table4[city],Table4[id_city])</f>
        <v>KOA0102</v>
      </c>
      <c r="J265" t="s">
        <v>1218</v>
      </c>
      <c r="K265" t="str">
        <f>_xlfn.XLOOKUP(Table1[[#This Row],[menu_name]],Table5[menu_name],Table5[id_menu])</f>
        <v>MENU008</v>
      </c>
      <c r="L265" t="s">
        <v>1230</v>
      </c>
      <c r="M265" t="str">
        <f>_xlfn.XLOOKUP(Table1[[#This Row],[category]],Table6[category],Table6[id_category])</f>
        <v>KTG0205</v>
      </c>
      <c r="N265" t="s">
        <v>1233</v>
      </c>
      <c r="O265">
        <v>5</v>
      </c>
      <c r="P265">
        <v>20000</v>
      </c>
      <c r="Q265">
        <v>15</v>
      </c>
      <c r="R265">
        <v>1.9</v>
      </c>
      <c r="S265" t="str">
        <f>_xlfn.XLOOKUP(Table1[[#This Row],[method]],Table7[method],Table7[id_method])</f>
        <v>PAY0709</v>
      </c>
      <c r="T265" t="s">
        <v>1236</v>
      </c>
      <c r="U265">
        <v>85000</v>
      </c>
    </row>
    <row r="266" spans="1:21" x14ac:dyDescent="0.25">
      <c r="A266" t="s">
        <v>278</v>
      </c>
      <c r="B266" t="str">
        <f>_xlfn.XLOOKUP(Table1[[#This Row],[date]],Table8[date],Table8[id_date])</f>
        <v>TGL0638</v>
      </c>
      <c r="C266" s="1">
        <v>45459</v>
      </c>
      <c r="D266" s="1" t="str">
        <f>_xlfn.XLOOKUP(Table1[[#This Row],[customer_name]],Table11[customer_name],Table11[id_cust])</f>
        <v>CNA0295</v>
      </c>
      <c r="E266" t="s">
        <v>1147</v>
      </c>
      <c r="F266">
        <v>42</v>
      </c>
      <c r="G266" t="str">
        <f>_xlfn.XLOOKUP(Table1[[#This Row],[branch_name]],Table3[branch_name],Table3[id_branch])</f>
        <v>BRCH003</v>
      </c>
      <c r="H266" t="s">
        <v>1215</v>
      </c>
      <c r="I266" t="str">
        <f>_xlfn.XLOOKUP(Table1[[#This Row],[city]],Table4[city],Table4[id_city])</f>
        <v>KOA0104</v>
      </c>
      <c r="J266" t="s">
        <v>1220</v>
      </c>
      <c r="K266" t="str">
        <f>_xlfn.XLOOKUP(Table1[[#This Row],[menu_name]],Table5[menu_name],Table5[id_menu])</f>
        <v>MENU005</v>
      </c>
      <c r="L266" t="s">
        <v>1227</v>
      </c>
      <c r="M266" t="str">
        <f>_xlfn.XLOOKUP(Table1[[#This Row],[category]],Table6[category],Table6[id_category])</f>
        <v>KTG0206</v>
      </c>
      <c r="N266" t="s">
        <v>1234</v>
      </c>
      <c r="O266">
        <v>4</v>
      </c>
      <c r="P266">
        <v>23000</v>
      </c>
      <c r="Q266">
        <v>0</v>
      </c>
      <c r="R266">
        <v>2.8</v>
      </c>
      <c r="S266" t="str">
        <f>_xlfn.XLOOKUP(Table1[[#This Row],[method]],Table7[method],Table7[id_method])</f>
        <v>PAY0710</v>
      </c>
      <c r="T266" t="s">
        <v>1237</v>
      </c>
      <c r="U266">
        <v>92000</v>
      </c>
    </row>
    <row r="267" spans="1:21" x14ac:dyDescent="0.25">
      <c r="A267" t="s">
        <v>279</v>
      </c>
      <c r="B267" t="str">
        <f>_xlfn.XLOOKUP(Table1[[#This Row],[date]],Table8[date],Table8[id_date])</f>
        <v>TGL0639</v>
      </c>
      <c r="C267" s="1">
        <v>45461</v>
      </c>
      <c r="D267" s="1" t="str">
        <f>_xlfn.XLOOKUP(Table1[[#This Row],[customer_name]],Table11[customer_name],Table11[id_cust])</f>
        <v>CNA0280</v>
      </c>
      <c r="E267" t="s">
        <v>1140</v>
      </c>
      <c r="F267">
        <v>25</v>
      </c>
      <c r="G267" t="str">
        <f>_xlfn.XLOOKUP(Table1[[#This Row],[branch_name]],Table3[branch_name],Table3[id_branch])</f>
        <v>BRCH001</v>
      </c>
      <c r="H267" t="s">
        <v>1213</v>
      </c>
      <c r="I267" t="str">
        <f>_xlfn.XLOOKUP(Table1[[#This Row],[city]],Table4[city],Table4[id_city])</f>
        <v>KOA0102</v>
      </c>
      <c r="J267" t="s">
        <v>1218</v>
      </c>
      <c r="K267" t="str">
        <f>_xlfn.XLOOKUP(Table1[[#This Row],[menu_name]],Table5[menu_name],Table5[id_menu])</f>
        <v>MENU008</v>
      </c>
      <c r="L267" t="s">
        <v>1230</v>
      </c>
      <c r="M267" t="str">
        <f>_xlfn.XLOOKUP(Table1[[#This Row],[category]],Table6[category],Table6[id_category])</f>
        <v>KTG0205</v>
      </c>
      <c r="N267" t="s">
        <v>1233</v>
      </c>
      <c r="O267">
        <v>2</v>
      </c>
      <c r="P267">
        <v>20000</v>
      </c>
      <c r="Q267">
        <v>5</v>
      </c>
      <c r="R267">
        <v>3.4</v>
      </c>
      <c r="S267" t="str">
        <f>_xlfn.XLOOKUP(Table1[[#This Row],[method]],Table7[method],Table7[id_method])</f>
        <v>PAY0710</v>
      </c>
      <c r="T267" t="s">
        <v>1237</v>
      </c>
      <c r="U267">
        <v>38000</v>
      </c>
    </row>
    <row r="268" spans="1:21" x14ac:dyDescent="0.25">
      <c r="A268" t="s">
        <v>280</v>
      </c>
      <c r="B268" t="str">
        <f>_xlfn.XLOOKUP(Table1[[#This Row],[date]],Table8[date],Table8[id_date])</f>
        <v>TGL0640</v>
      </c>
      <c r="C268" s="1">
        <v>45463</v>
      </c>
      <c r="D268" s="1" t="str">
        <f>_xlfn.XLOOKUP(Table1[[#This Row],[customer_name]],Table11[customer_name],Table11[id_cust])</f>
        <v>CNA0256</v>
      </c>
      <c r="E268" t="s">
        <v>1129</v>
      </c>
      <c r="F268">
        <v>29</v>
      </c>
      <c r="G268" t="str">
        <f>_xlfn.XLOOKUP(Table1[[#This Row],[branch_name]],Table3[branch_name],Table3[id_branch])</f>
        <v>BRCH001</v>
      </c>
      <c r="H268" t="s">
        <v>1213</v>
      </c>
      <c r="I268" t="str">
        <f>_xlfn.XLOOKUP(Table1[[#This Row],[city]],Table4[city],Table4[id_city])</f>
        <v>KOA0102</v>
      </c>
      <c r="J268" t="s">
        <v>1218</v>
      </c>
      <c r="K268" t="str">
        <f>_xlfn.XLOOKUP(Table1[[#This Row],[menu_name]],Table5[menu_name],Table5[id_menu])</f>
        <v>MENU001</v>
      </c>
      <c r="L268" t="s">
        <v>1223</v>
      </c>
      <c r="M268" t="str">
        <f>_xlfn.XLOOKUP(Table1[[#This Row],[category]],Table6[category],Table6[id_category])</f>
        <v>KTG0205</v>
      </c>
      <c r="N268" t="s">
        <v>1233</v>
      </c>
      <c r="O268">
        <v>3</v>
      </c>
      <c r="P268">
        <v>25000</v>
      </c>
      <c r="Q268">
        <v>20</v>
      </c>
      <c r="R268">
        <v>1.8</v>
      </c>
      <c r="S268" t="str">
        <f>_xlfn.XLOOKUP(Table1[[#This Row],[method]],Table7[method],Table7[id_method])</f>
        <v>PAY0711</v>
      </c>
      <c r="T268" t="s">
        <v>1238</v>
      </c>
      <c r="U268">
        <v>60000</v>
      </c>
    </row>
    <row r="269" spans="1:21" x14ac:dyDescent="0.25">
      <c r="A269" t="s">
        <v>281</v>
      </c>
      <c r="B269" t="str">
        <f>_xlfn.XLOOKUP(Table1[[#This Row],[date]],Table8[date],Table8[id_date])</f>
        <v>TGL0640</v>
      </c>
      <c r="C269" s="1">
        <v>45463</v>
      </c>
      <c r="D269" s="1" t="str">
        <f>_xlfn.XLOOKUP(Table1[[#This Row],[customer_name]],Table11[customer_name],Table11[id_cust])</f>
        <v>CNA0168</v>
      </c>
      <c r="E269" t="s">
        <v>1073</v>
      </c>
      <c r="F269">
        <v>37</v>
      </c>
      <c r="G269" t="str">
        <f>_xlfn.XLOOKUP(Table1[[#This Row],[branch_name]],Table3[branch_name],Table3[id_branch])</f>
        <v>BRCH005</v>
      </c>
      <c r="H269" t="s">
        <v>1217</v>
      </c>
      <c r="I269" t="str">
        <f>_xlfn.XLOOKUP(Table1[[#This Row],[city]],Table4[city],Table4[id_city])</f>
        <v>KOA0106</v>
      </c>
      <c r="J269" t="s">
        <v>1222</v>
      </c>
      <c r="K269" t="str">
        <f>_xlfn.XLOOKUP(Table1[[#This Row],[menu_name]],Table5[menu_name],Table5[id_menu])</f>
        <v>MENU003</v>
      </c>
      <c r="L269" t="s">
        <v>1225</v>
      </c>
      <c r="M269" t="str">
        <f>_xlfn.XLOOKUP(Table1[[#This Row],[category]],Table6[category],Table6[id_category])</f>
        <v>KTG0205</v>
      </c>
      <c r="N269" t="s">
        <v>1233</v>
      </c>
      <c r="O269">
        <v>4</v>
      </c>
      <c r="P269">
        <v>22000</v>
      </c>
      <c r="Q269">
        <v>0</v>
      </c>
      <c r="R269">
        <v>4.2</v>
      </c>
      <c r="S269" t="str">
        <f>_xlfn.XLOOKUP(Table1[[#This Row],[method]],Table7[method],Table7[id_method])</f>
        <v>PAY0711</v>
      </c>
      <c r="T269" t="s">
        <v>1238</v>
      </c>
      <c r="U269">
        <v>88000</v>
      </c>
    </row>
    <row r="270" spans="1:21" x14ac:dyDescent="0.25">
      <c r="A270" t="s">
        <v>282</v>
      </c>
      <c r="B270" t="str">
        <f>_xlfn.XLOOKUP(Table1[[#This Row],[date]],Table8[date],Table8[id_date])</f>
        <v>TGL0641</v>
      </c>
      <c r="C270" s="1">
        <v>45464</v>
      </c>
      <c r="D270" s="1" t="str">
        <f>_xlfn.XLOOKUP(Table1[[#This Row],[customer_name]],Table11[customer_name],Table11[id_cust])</f>
        <v>CNA0200</v>
      </c>
      <c r="E270" t="s">
        <v>1095</v>
      </c>
      <c r="F270">
        <v>51</v>
      </c>
      <c r="G270" t="str">
        <f>_xlfn.XLOOKUP(Table1[[#This Row],[branch_name]],Table3[branch_name],Table3[id_branch])</f>
        <v>BRCH002</v>
      </c>
      <c r="H270" t="s">
        <v>1214</v>
      </c>
      <c r="I270" t="str">
        <f>_xlfn.XLOOKUP(Table1[[#This Row],[city]],Table4[city],Table4[id_city])</f>
        <v>KOA0103</v>
      </c>
      <c r="J270" t="s">
        <v>1219</v>
      </c>
      <c r="K270" t="str">
        <f>_xlfn.XLOOKUP(Table1[[#This Row],[menu_name]],Table5[menu_name],Table5[id_menu])</f>
        <v>MENU004</v>
      </c>
      <c r="L270" t="s">
        <v>1226</v>
      </c>
      <c r="M270" t="str">
        <f>_xlfn.XLOOKUP(Table1[[#This Row],[category]],Table6[category],Table6[id_category])</f>
        <v>KTG0207</v>
      </c>
      <c r="N270" t="s">
        <v>1235</v>
      </c>
      <c r="O270">
        <v>3</v>
      </c>
      <c r="P270">
        <v>28000</v>
      </c>
      <c r="Q270">
        <v>0</v>
      </c>
      <c r="R270">
        <v>1.8</v>
      </c>
      <c r="S270" t="str">
        <f>_xlfn.XLOOKUP(Table1[[#This Row],[method]],Table7[method],Table7[id_method])</f>
        <v>PAY0711</v>
      </c>
      <c r="T270" t="s">
        <v>1238</v>
      </c>
      <c r="U270">
        <v>84000</v>
      </c>
    </row>
    <row r="271" spans="1:21" x14ac:dyDescent="0.25">
      <c r="A271" t="s">
        <v>283</v>
      </c>
      <c r="B271" t="str">
        <f>_xlfn.XLOOKUP(Table1[[#This Row],[date]],Table8[date],Table8[id_date])</f>
        <v>TGL0641</v>
      </c>
      <c r="C271" s="1">
        <v>45464</v>
      </c>
      <c r="D271" s="1" t="str">
        <f>_xlfn.XLOOKUP(Table1[[#This Row],[customer_name]],Table11[customer_name],Table11[id_cust])</f>
        <v>CNA0357</v>
      </c>
      <c r="E271" t="s">
        <v>1166</v>
      </c>
      <c r="F271">
        <v>25</v>
      </c>
      <c r="G271" t="str">
        <f>_xlfn.XLOOKUP(Table1[[#This Row],[branch_name]],Table3[branch_name],Table3[id_branch])</f>
        <v>BRCH002</v>
      </c>
      <c r="H271" t="s">
        <v>1214</v>
      </c>
      <c r="I271" t="str">
        <f>_xlfn.XLOOKUP(Table1[[#This Row],[city]],Table4[city],Table4[id_city])</f>
        <v>KOA0103</v>
      </c>
      <c r="J271" t="s">
        <v>1219</v>
      </c>
      <c r="K271" t="str">
        <f>_xlfn.XLOOKUP(Table1[[#This Row],[menu_name]],Table5[menu_name],Table5[id_menu])</f>
        <v>MENU010</v>
      </c>
      <c r="L271" t="s">
        <v>1232</v>
      </c>
      <c r="M271" t="str">
        <f>_xlfn.XLOOKUP(Table1[[#This Row],[category]],Table6[category],Table6[id_category])</f>
        <v>KTG0205</v>
      </c>
      <c r="N271" t="s">
        <v>1233</v>
      </c>
      <c r="O271">
        <v>3</v>
      </c>
      <c r="P271">
        <v>18000</v>
      </c>
      <c r="Q271">
        <v>0</v>
      </c>
      <c r="R271">
        <v>1.1000000000000001</v>
      </c>
      <c r="S271" t="str">
        <f>_xlfn.XLOOKUP(Table1[[#This Row],[method]],Table7[method],Table7[id_method])</f>
        <v>PAY0710</v>
      </c>
      <c r="T271" t="s">
        <v>1237</v>
      </c>
      <c r="U271">
        <v>54000</v>
      </c>
    </row>
    <row r="272" spans="1:21" x14ac:dyDescent="0.25">
      <c r="A272" t="s">
        <v>284</v>
      </c>
      <c r="B272" t="str">
        <f>_xlfn.XLOOKUP(Table1[[#This Row],[date]],Table8[date],Table8[id_date])</f>
        <v>TGL0641</v>
      </c>
      <c r="C272" s="1">
        <v>45464</v>
      </c>
      <c r="D272" s="1" t="str">
        <f>_xlfn.XLOOKUP(Table1[[#This Row],[customer_name]],Table11[customer_name],Table11[id_cust])</f>
        <v>CNA0126</v>
      </c>
      <c r="E272" t="s">
        <v>1038</v>
      </c>
      <c r="F272">
        <v>30</v>
      </c>
      <c r="G272" t="str">
        <f>_xlfn.XLOOKUP(Table1[[#This Row],[branch_name]],Table3[branch_name],Table3[id_branch])</f>
        <v>BRCH002</v>
      </c>
      <c r="H272" t="s">
        <v>1214</v>
      </c>
      <c r="I272" t="str">
        <f>_xlfn.XLOOKUP(Table1[[#This Row],[city]],Table4[city],Table4[id_city])</f>
        <v>KOA0103</v>
      </c>
      <c r="J272" t="s">
        <v>1219</v>
      </c>
      <c r="K272" t="str">
        <f>_xlfn.XLOOKUP(Table1[[#This Row],[menu_name]],Table5[menu_name],Table5[id_menu])</f>
        <v>MENU008</v>
      </c>
      <c r="L272" t="s">
        <v>1230</v>
      </c>
      <c r="M272" t="str">
        <f>_xlfn.XLOOKUP(Table1[[#This Row],[category]],Table6[category],Table6[id_category])</f>
        <v>KTG0205</v>
      </c>
      <c r="N272" t="s">
        <v>1233</v>
      </c>
      <c r="O272">
        <v>2</v>
      </c>
      <c r="P272">
        <v>20000</v>
      </c>
      <c r="Q272">
        <v>20</v>
      </c>
      <c r="R272">
        <v>1.4</v>
      </c>
      <c r="S272" t="str">
        <f>_xlfn.XLOOKUP(Table1[[#This Row],[method]],Table7[method],Table7[id_method])</f>
        <v>PAY0709</v>
      </c>
      <c r="T272" t="s">
        <v>1236</v>
      </c>
      <c r="U272">
        <v>32000</v>
      </c>
    </row>
    <row r="273" spans="1:21" x14ac:dyDescent="0.25">
      <c r="A273" t="s">
        <v>285</v>
      </c>
      <c r="B273" t="str">
        <f>_xlfn.XLOOKUP(Table1[[#This Row],[date]],Table8[date],Table8[id_date])</f>
        <v>TGL0642</v>
      </c>
      <c r="C273" s="1">
        <v>45465</v>
      </c>
      <c r="D273" s="1" t="str">
        <f>_xlfn.XLOOKUP(Table1[[#This Row],[customer_name]],Table11[customer_name],Table11[id_cust])</f>
        <v>CNA0150</v>
      </c>
      <c r="E273" t="s">
        <v>1059</v>
      </c>
      <c r="F273">
        <v>24</v>
      </c>
      <c r="G273" t="str">
        <f>_xlfn.XLOOKUP(Table1[[#This Row],[branch_name]],Table3[branch_name],Table3[id_branch])</f>
        <v>BRCH004</v>
      </c>
      <c r="H273" t="s">
        <v>1216</v>
      </c>
      <c r="I273" t="str">
        <f>_xlfn.XLOOKUP(Table1[[#This Row],[city]],Table4[city],Table4[id_city])</f>
        <v>KOA0105</v>
      </c>
      <c r="J273" t="s">
        <v>1221</v>
      </c>
      <c r="K273" t="str">
        <f>_xlfn.XLOOKUP(Table1[[#This Row],[menu_name]],Table5[menu_name],Table5[id_menu])</f>
        <v>MENU004</v>
      </c>
      <c r="L273" t="s">
        <v>1226</v>
      </c>
      <c r="M273" t="str">
        <f>_xlfn.XLOOKUP(Table1[[#This Row],[category]],Table6[category],Table6[id_category])</f>
        <v>KTG0207</v>
      </c>
      <c r="N273" t="s">
        <v>1235</v>
      </c>
      <c r="O273">
        <v>3</v>
      </c>
      <c r="P273">
        <v>28000</v>
      </c>
      <c r="Q273">
        <v>0</v>
      </c>
      <c r="R273">
        <v>4.8</v>
      </c>
      <c r="S273" t="str">
        <f>_xlfn.XLOOKUP(Table1[[#This Row],[method]],Table7[method],Table7[id_method])</f>
        <v>PAY0709</v>
      </c>
      <c r="T273" t="s">
        <v>1236</v>
      </c>
      <c r="U273">
        <v>84000</v>
      </c>
    </row>
    <row r="274" spans="1:21" x14ac:dyDescent="0.25">
      <c r="A274" t="s">
        <v>286</v>
      </c>
      <c r="B274" t="str">
        <f>_xlfn.XLOOKUP(Table1[[#This Row],[date]],Table8[date],Table8[id_date])</f>
        <v>TGL0643</v>
      </c>
      <c r="C274" s="1">
        <v>45466</v>
      </c>
      <c r="D274" s="1" t="str">
        <f>_xlfn.XLOOKUP(Table1[[#This Row],[customer_name]],Table11[customer_name],Table11[id_cust])</f>
        <v>CNA0268</v>
      </c>
      <c r="E274" t="s">
        <v>1133</v>
      </c>
      <c r="F274">
        <v>31</v>
      </c>
      <c r="G274" t="str">
        <f>_xlfn.XLOOKUP(Table1[[#This Row],[branch_name]],Table3[branch_name],Table3[id_branch])</f>
        <v>BRCH001</v>
      </c>
      <c r="H274" t="s">
        <v>1213</v>
      </c>
      <c r="I274" t="str">
        <f>_xlfn.XLOOKUP(Table1[[#This Row],[city]],Table4[city],Table4[id_city])</f>
        <v>KOA0102</v>
      </c>
      <c r="J274" t="s">
        <v>1218</v>
      </c>
      <c r="K274" t="str">
        <f>_xlfn.XLOOKUP(Table1[[#This Row],[menu_name]],Table5[menu_name],Table5[id_menu])</f>
        <v>MENU006</v>
      </c>
      <c r="L274" t="s">
        <v>1228</v>
      </c>
      <c r="M274" t="str">
        <f>_xlfn.XLOOKUP(Table1[[#This Row],[category]],Table6[category],Table6[id_category])</f>
        <v>KTG0206</v>
      </c>
      <c r="N274" t="s">
        <v>1234</v>
      </c>
      <c r="O274">
        <v>5</v>
      </c>
      <c r="P274">
        <v>32000</v>
      </c>
      <c r="Q274">
        <v>0</v>
      </c>
      <c r="R274">
        <v>4.9000000000000004</v>
      </c>
      <c r="S274" t="str">
        <f>_xlfn.XLOOKUP(Table1[[#This Row],[method]],Table7[method],Table7[id_method])</f>
        <v>PAY0710</v>
      </c>
      <c r="T274" t="s">
        <v>1237</v>
      </c>
      <c r="U274">
        <v>160000</v>
      </c>
    </row>
    <row r="275" spans="1:21" x14ac:dyDescent="0.25">
      <c r="A275" t="s">
        <v>287</v>
      </c>
      <c r="B275" t="str">
        <f>_xlfn.XLOOKUP(Table1[[#This Row],[date]],Table8[date],Table8[id_date])</f>
        <v>TGL0644</v>
      </c>
      <c r="C275" s="1">
        <v>45467</v>
      </c>
      <c r="D275" s="1" t="str">
        <f>_xlfn.XLOOKUP(Table1[[#This Row],[customer_name]],Table11[customer_name],Table11[id_cust])</f>
        <v>CNA0374</v>
      </c>
      <c r="E275" t="s">
        <v>1167</v>
      </c>
      <c r="F275">
        <v>24</v>
      </c>
      <c r="G275" t="str">
        <f>_xlfn.XLOOKUP(Table1[[#This Row],[branch_name]],Table3[branch_name],Table3[id_branch])</f>
        <v>BRCH004</v>
      </c>
      <c r="H275" t="s">
        <v>1216</v>
      </c>
      <c r="I275" t="str">
        <f>_xlfn.XLOOKUP(Table1[[#This Row],[city]],Table4[city],Table4[id_city])</f>
        <v>KOA0105</v>
      </c>
      <c r="J275" t="s">
        <v>1221</v>
      </c>
      <c r="K275" t="str">
        <f>_xlfn.XLOOKUP(Table1[[#This Row],[menu_name]],Table5[menu_name],Table5[id_menu])</f>
        <v>MENU009</v>
      </c>
      <c r="L275" t="s">
        <v>1231</v>
      </c>
      <c r="M275" t="str">
        <f>_xlfn.XLOOKUP(Table1[[#This Row],[category]],Table6[category],Table6[id_category])</f>
        <v>KTG0206</v>
      </c>
      <c r="N275" t="s">
        <v>1234</v>
      </c>
      <c r="O275">
        <v>3</v>
      </c>
      <c r="P275">
        <v>18000</v>
      </c>
      <c r="Q275">
        <v>10</v>
      </c>
      <c r="R275">
        <v>2</v>
      </c>
      <c r="S275" t="str">
        <f>_xlfn.XLOOKUP(Table1[[#This Row],[method]],Table7[method],Table7[id_method])</f>
        <v>PAY0712</v>
      </c>
      <c r="T275" t="s">
        <v>1239</v>
      </c>
      <c r="U275">
        <v>48600</v>
      </c>
    </row>
    <row r="276" spans="1:21" x14ac:dyDescent="0.25">
      <c r="A276" t="s">
        <v>288</v>
      </c>
      <c r="B276" t="str">
        <f>_xlfn.XLOOKUP(Table1[[#This Row],[date]],Table8[date],Table8[id_date])</f>
        <v>TGL0645</v>
      </c>
      <c r="C276" s="1">
        <v>45468</v>
      </c>
      <c r="D276" s="1" t="str">
        <f>_xlfn.XLOOKUP(Table1[[#This Row],[customer_name]],Table11[customer_name],Table11[id_cust])</f>
        <v>CNA0155</v>
      </c>
      <c r="E276" t="s">
        <v>1064</v>
      </c>
      <c r="F276">
        <v>18</v>
      </c>
      <c r="G276" t="str">
        <f>_xlfn.XLOOKUP(Table1[[#This Row],[branch_name]],Table3[branch_name],Table3[id_branch])</f>
        <v>BRCH001</v>
      </c>
      <c r="H276" t="s">
        <v>1213</v>
      </c>
      <c r="I276" t="str">
        <f>_xlfn.XLOOKUP(Table1[[#This Row],[city]],Table4[city],Table4[id_city])</f>
        <v>KOA0102</v>
      </c>
      <c r="J276" t="s">
        <v>1218</v>
      </c>
      <c r="K276" t="str">
        <f>_xlfn.XLOOKUP(Table1[[#This Row],[menu_name]],Table5[menu_name],Table5[id_menu])</f>
        <v>MENU004</v>
      </c>
      <c r="L276" t="s">
        <v>1226</v>
      </c>
      <c r="M276" t="str">
        <f>_xlfn.XLOOKUP(Table1[[#This Row],[category]],Table6[category],Table6[id_category])</f>
        <v>KTG0207</v>
      </c>
      <c r="N276" t="s">
        <v>1235</v>
      </c>
      <c r="O276">
        <v>5</v>
      </c>
      <c r="P276">
        <v>28000</v>
      </c>
      <c r="Q276">
        <v>0</v>
      </c>
      <c r="R276">
        <v>1.5</v>
      </c>
      <c r="S276" t="str">
        <f>_xlfn.XLOOKUP(Table1[[#This Row],[method]],Table7[method],Table7[id_method])</f>
        <v>PAY0709</v>
      </c>
      <c r="T276" t="s">
        <v>1236</v>
      </c>
      <c r="U276">
        <v>140000</v>
      </c>
    </row>
    <row r="277" spans="1:21" x14ac:dyDescent="0.25">
      <c r="A277" t="s">
        <v>289</v>
      </c>
      <c r="B277" t="str">
        <f>_xlfn.XLOOKUP(Table1[[#This Row],[date]],Table8[date],Table8[id_date])</f>
        <v>TGL0645</v>
      </c>
      <c r="C277" s="1">
        <v>45468</v>
      </c>
      <c r="D277" s="1" t="str">
        <f>_xlfn.XLOOKUP(Table1[[#This Row],[customer_name]],Table11[customer_name],Table11[id_cust])</f>
        <v>CNA0228</v>
      </c>
      <c r="E277" t="s">
        <v>1114</v>
      </c>
      <c r="F277">
        <v>40</v>
      </c>
      <c r="G277" t="str">
        <f>_xlfn.XLOOKUP(Table1[[#This Row],[branch_name]],Table3[branch_name],Table3[id_branch])</f>
        <v>BRCH001</v>
      </c>
      <c r="H277" t="s">
        <v>1213</v>
      </c>
      <c r="I277" t="str">
        <f>_xlfn.XLOOKUP(Table1[[#This Row],[city]],Table4[city],Table4[id_city])</f>
        <v>KOA0102</v>
      </c>
      <c r="J277" t="s">
        <v>1218</v>
      </c>
      <c r="K277" t="str">
        <f>_xlfn.XLOOKUP(Table1[[#This Row],[menu_name]],Table5[menu_name],Table5[id_menu])</f>
        <v>MENU007</v>
      </c>
      <c r="L277" t="s">
        <v>1229</v>
      </c>
      <c r="M277" t="str">
        <f>_xlfn.XLOOKUP(Table1[[#This Row],[category]],Table6[category],Table6[id_category])</f>
        <v>KTG0207</v>
      </c>
      <c r="N277" t="s">
        <v>1235</v>
      </c>
      <c r="O277">
        <v>5</v>
      </c>
      <c r="P277">
        <v>27000</v>
      </c>
      <c r="Q277">
        <v>5</v>
      </c>
      <c r="R277">
        <v>1.3</v>
      </c>
      <c r="S277" t="str">
        <f>_xlfn.XLOOKUP(Table1[[#This Row],[method]],Table7[method],Table7[id_method])</f>
        <v>PAY0711</v>
      </c>
      <c r="T277" t="s">
        <v>1238</v>
      </c>
      <c r="U277">
        <v>128250</v>
      </c>
    </row>
    <row r="278" spans="1:21" x14ac:dyDescent="0.25">
      <c r="A278" t="s">
        <v>290</v>
      </c>
      <c r="B278" t="str">
        <f>_xlfn.XLOOKUP(Table1[[#This Row],[date]],Table8[date],Table8[id_date])</f>
        <v>TGL0645</v>
      </c>
      <c r="C278" s="1">
        <v>45468</v>
      </c>
      <c r="D278" s="1" t="str">
        <f>_xlfn.XLOOKUP(Table1[[#This Row],[customer_name]],Table11[customer_name],Table11[id_cust])</f>
        <v>CNA0140</v>
      </c>
      <c r="E278" t="s">
        <v>1051</v>
      </c>
      <c r="F278">
        <v>43</v>
      </c>
      <c r="G278" t="str">
        <f>_xlfn.XLOOKUP(Table1[[#This Row],[branch_name]],Table3[branch_name],Table3[id_branch])</f>
        <v>BRCH001</v>
      </c>
      <c r="H278" t="s">
        <v>1213</v>
      </c>
      <c r="I278" t="str">
        <f>_xlfn.XLOOKUP(Table1[[#This Row],[city]],Table4[city],Table4[id_city])</f>
        <v>KOA0102</v>
      </c>
      <c r="J278" t="s">
        <v>1218</v>
      </c>
      <c r="K278" t="str">
        <f>_xlfn.XLOOKUP(Table1[[#This Row],[menu_name]],Table5[menu_name],Table5[id_menu])</f>
        <v>MENU009</v>
      </c>
      <c r="L278" t="s">
        <v>1231</v>
      </c>
      <c r="M278" t="str">
        <f>_xlfn.XLOOKUP(Table1[[#This Row],[category]],Table6[category],Table6[id_category])</f>
        <v>KTG0206</v>
      </c>
      <c r="N278" t="s">
        <v>1234</v>
      </c>
      <c r="O278">
        <v>5</v>
      </c>
      <c r="P278">
        <v>18000</v>
      </c>
      <c r="Q278">
        <v>20</v>
      </c>
      <c r="R278">
        <v>1.3</v>
      </c>
      <c r="S278" t="str">
        <f>_xlfn.XLOOKUP(Table1[[#This Row],[method]],Table7[method],Table7[id_method])</f>
        <v>PAY0711</v>
      </c>
      <c r="T278" t="s">
        <v>1238</v>
      </c>
      <c r="U278">
        <v>72000</v>
      </c>
    </row>
    <row r="279" spans="1:21" x14ac:dyDescent="0.25">
      <c r="A279" t="s">
        <v>291</v>
      </c>
      <c r="B279" t="str">
        <f>_xlfn.XLOOKUP(Table1[[#This Row],[date]],Table8[date],Table8[id_date])</f>
        <v>TGL0646</v>
      </c>
      <c r="C279" s="1">
        <v>45469</v>
      </c>
      <c r="D279" s="1" t="str">
        <f>_xlfn.XLOOKUP(Table1[[#This Row],[customer_name]],Table11[customer_name],Table11[id_cust])</f>
        <v>CNA0256</v>
      </c>
      <c r="E279" t="s">
        <v>1129</v>
      </c>
      <c r="F279">
        <v>29</v>
      </c>
      <c r="G279" t="str">
        <f>_xlfn.XLOOKUP(Table1[[#This Row],[branch_name]],Table3[branch_name],Table3[id_branch])</f>
        <v>BRCH004</v>
      </c>
      <c r="H279" t="s">
        <v>1216</v>
      </c>
      <c r="I279" t="str">
        <f>_xlfn.XLOOKUP(Table1[[#This Row],[city]],Table4[city],Table4[id_city])</f>
        <v>KOA0105</v>
      </c>
      <c r="J279" t="s">
        <v>1221</v>
      </c>
      <c r="K279" t="str">
        <f>_xlfn.XLOOKUP(Table1[[#This Row],[menu_name]],Table5[menu_name],Table5[id_menu])</f>
        <v>MENU006</v>
      </c>
      <c r="L279" t="s">
        <v>1228</v>
      </c>
      <c r="M279" t="str">
        <f>_xlfn.XLOOKUP(Table1[[#This Row],[category]],Table6[category],Table6[id_category])</f>
        <v>KTG0206</v>
      </c>
      <c r="N279" t="s">
        <v>1234</v>
      </c>
      <c r="O279">
        <v>5</v>
      </c>
      <c r="P279">
        <v>32000</v>
      </c>
      <c r="Q279">
        <v>0</v>
      </c>
      <c r="R279">
        <v>1.8</v>
      </c>
      <c r="S279" t="str">
        <f>_xlfn.XLOOKUP(Table1[[#This Row],[method]],Table7[method],Table7[id_method])</f>
        <v>PAY0712</v>
      </c>
      <c r="T279" t="s">
        <v>1239</v>
      </c>
      <c r="U279">
        <v>160000</v>
      </c>
    </row>
    <row r="280" spans="1:21" x14ac:dyDescent="0.25">
      <c r="A280" t="s">
        <v>292</v>
      </c>
      <c r="B280" t="str">
        <f>_xlfn.XLOOKUP(Table1[[#This Row],[date]],Table8[date],Table8[id_date])</f>
        <v>TGL0646</v>
      </c>
      <c r="C280" s="1">
        <v>45469</v>
      </c>
      <c r="D280" s="1" t="str">
        <f>_xlfn.XLOOKUP(Table1[[#This Row],[customer_name]],Table11[customer_name],Table11[id_cust])</f>
        <v>CNA0236</v>
      </c>
      <c r="E280" t="s">
        <v>1120</v>
      </c>
      <c r="F280">
        <v>20</v>
      </c>
      <c r="G280" t="str">
        <f>_xlfn.XLOOKUP(Table1[[#This Row],[branch_name]],Table3[branch_name],Table3[id_branch])</f>
        <v>BRCH002</v>
      </c>
      <c r="H280" t="s">
        <v>1214</v>
      </c>
      <c r="I280" t="str">
        <f>_xlfn.XLOOKUP(Table1[[#This Row],[city]],Table4[city],Table4[id_city])</f>
        <v>KOA0103</v>
      </c>
      <c r="J280" t="s">
        <v>1219</v>
      </c>
      <c r="K280" t="str">
        <f>_xlfn.XLOOKUP(Table1[[#This Row],[menu_name]],Table5[menu_name],Table5[id_menu])</f>
        <v>MENU002</v>
      </c>
      <c r="L280" t="s">
        <v>1224</v>
      </c>
      <c r="M280" t="str">
        <f>_xlfn.XLOOKUP(Table1[[#This Row],[category]],Table6[category],Table6[id_category])</f>
        <v>KTG0206</v>
      </c>
      <c r="N280" t="s">
        <v>1234</v>
      </c>
      <c r="O280">
        <v>3</v>
      </c>
      <c r="P280">
        <v>30000</v>
      </c>
      <c r="Q280">
        <v>20</v>
      </c>
      <c r="R280">
        <v>1.2</v>
      </c>
      <c r="S280" t="str">
        <f>_xlfn.XLOOKUP(Table1[[#This Row],[method]],Table7[method],Table7[id_method])</f>
        <v>PAY0712</v>
      </c>
      <c r="T280" t="s">
        <v>1239</v>
      </c>
      <c r="U280">
        <v>72000</v>
      </c>
    </row>
    <row r="281" spans="1:21" x14ac:dyDescent="0.25">
      <c r="A281" t="s">
        <v>293</v>
      </c>
      <c r="B281" t="str">
        <f>_xlfn.XLOOKUP(Table1[[#This Row],[date]],Table8[date],Table8[id_date])</f>
        <v>TGL0647</v>
      </c>
      <c r="C281" s="1">
        <v>45470</v>
      </c>
      <c r="D281" s="1" t="str">
        <f>_xlfn.XLOOKUP(Table1[[#This Row],[customer_name]],Table11[customer_name],Table11[id_cust])</f>
        <v>CNA0169</v>
      </c>
      <c r="E281" t="s">
        <v>1074</v>
      </c>
      <c r="F281">
        <v>53</v>
      </c>
      <c r="G281" t="str">
        <f>_xlfn.XLOOKUP(Table1[[#This Row],[branch_name]],Table3[branch_name],Table3[id_branch])</f>
        <v>BRCH005</v>
      </c>
      <c r="H281" t="s">
        <v>1217</v>
      </c>
      <c r="I281" t="str">
        <f>_xlfn.XLOOKUP(Table1[[#This Row],[city]],Table4[city],Table4[id_city])</f>
        <v>KOA0106</v>
      </c>
      <c r="J281" t="s">
        <v>1222</v>
      </c>
      <c r="K281" t="str">
        <f>_xlfn.XLOOKUP(Table1[[#This Row],[menu_name]],Table5[menu_name],Table5[id_menu])</f>
        <v>MENU003</v>
      </c>
      <c r="L281" t="s">
        <v>1225</v>
      </c>
      <c r="M281" t="str">
        <f>_xlfn.XLOOKUP(Table1[[#This Row],[category]],Table6[category],Table6[id_category])</f>
        <v>KTG0205</v>
      </c>
      <c r="N281" t="s">
        <v>1233</v>
      </c>
      <c r="O281">
        <v>1</v>
      </c>
      <c r="P281">
        <v>22000</v>
      </c>
      <c r="Q281">
        <v>10</v>
      </c>
      <c r="R281">
        <v>2.4</v>
      </c>
      <c r="S281" t="str">
        <f>_xlfn.XLOOKUP(Table1[[#This Row],[method]],Table7[method],Table7[id_method])</f>
        <v>PAY0711</v>
      </c>
      <c r="T281" t="s">
        <v>1238</v>
      </c>
      <c r="U281">
        <v>19800</v>
      </c>
    </row>
    <row r="282" spans="1:21" x14ac:dyDescent="0.25">
      <c r="A282" t="s">
        <v>294</v>
      </c>
      <c r="B282" t="str">
        <f>_xlfn.XLOOKUP(Table1[[#This Row],[date]],Table8[date],Table8[id_date])</f>
        <v>TGL0647</v>
      </c>
      <c r="C282" s="1">
        <v>45470</v>
      </c>
      <c r="D282" s="1" t="str">
        <f>_xlfn.XLOOKUP(Table1[[#This Row],[customer_name]],Table11[customer_name],Table11[id_cust])</f>
        <v>CNA0381</v>
      </c>
      <c r="E282" t="s">
        <v>1168</v>
      </c>
      <c r="F282">
        <v>40</v>
      </c>
      <c r="G282" t="str">
        <f>_xlfn.XLOOKUP(Table1[[#This Row],[branch_name]],Table3[branch_name],Table3[id_branch])</f>
        <v>BRCH002</v>
      </c>
      <c r="H282" t="s">
        <v>1214</v>
      </c>
      <c r="I282" t="str">
        <f>_xlfn.XLOOKUP(Table1[[#This Row],[city]],Table4[city],Table4[id_city])</f>
        <v>KOA0103</v>
      </c>
      <c r="J282" t="s">
        <v>1219</v>
      </c>
      <c r="K282" t="str">
        <f>_xlfn.XLOOKUP(Table1[[#This Row],[menu_name]],Table5[menu_name],Table5[id_menu])</f>
        <v>MENU001</v>
      </c>
      <c r="L282" t="s">
        <v>1223</v>
      </c>
      <c r="M282" t="str">
        <f>_xlfn.XLOOKUP(Table1[[#This Row],[category]],Table6[category],Table6[id_category])</f>
        <v>KTG0205</v>
      </c>
      <c r="N282" t="s">
        <v>1233</v>
      </c>
      <c r="O282">
        <v>4</v>
      </c>
      <c r="P282">
        <v>25000</v>
      </c>
      <c r="Q282">
        <v>0</v>
      </c>
      <c r="R282">
        <v>3.2</v>
      </c>
      <c r="S282" t="str">
        <f>_xlfn.XLOOKUP(Table1[[#This Row],[method]],Table7[method],Table7[id_method])</f>
        <v>PAY0710</v>
      </c>
      <c r="T282" t="s">
        <v>1237</v>
      </c>
      <c r="U282">
        <v>100000</v>
      </c>
    </row>
    <row r="283" spans="1:21" x14ac:dyDescent="0.25">
      <c r="A283" t="s">
        <v>295</v>
      </c>
      <c r="B283" t="str">
        <f>_xlfn.XLOOKUP(Table1[[#This Row],[date]],Table8[date],Table8[id_date])</f>
        <v>TGL0648</v>
      </c>
      <c r="C283" s="1">
        <v>45471</v>
      </c>
      <c r="D283" s="1" t="str">
        <f>_xlfn.XLOOKUP(Table1[[#This Row],[customer_name]],Table11[customer_name],Table11[id_cust])</f>
        <v>CNA0225</v>
      </c>
      <c r="E283" t="s">
        <v>1112</v>
      </c>
      <c r="F283">
        <v>25</v>
      </c>
      <c r="G283" t="str">
        <f>_xlfn.XLOOKUP(Table1[[#This Row],[branch_name]],Table3[branch_name],Table3[id_branch])</f>
        <v>BRCH004</v>
      </c>
      <c r="H283" t="s">
        <v>1216</v>
      </c>
      <c r="I283" t="str">
        <f>_xlfn.XLOOKUP(Table1[[#This Row],[city]],Table4[city],Table4[id_city])</f>
        <v>KOA0105</v>
      </c>
      <c r="J283" t="s">
        <v>1221</v>
      </c>
      <c r="K283" t="str">
        <f>_xlfn.XLOOKUP(Table1[[#This Row],[menu_name]],Table5[menu_name],Table5[id_menu])</f>
        <v>MENU008</v>
      </c>
      <c r="L283" t="s">
        <v>1230</v>
      </c>
      <c r="M283" t="str">
        <f>_xlfn.XLOOKUP(Table1[[#This Row],[category]],Table6[category],Table6[id_category])</f>
        <v>KTG0205</v>
      </c>
      <c r="N283" t="s">
        <v>1233</v>
      </c>
      <c r="O283">
        <v>4</v>
      </c>
      <c r="P283">
        <v>20000</v>
      </c>
      <c r="Q283">
        <v>0</v>
      </c>
      <c r="R283">
        <v>4.5999999999999996</v>
      </c>
      <c r="S283" t="str">
        <f>_xlfn.XLOOKUP(Table1[[#This Row],[method]],Table7[method],Table7[id_method])</f>
        <v>PAY0710</v>
      </c>
      <c r="T283" t="s">
        <v>1237</v>
      </c>
      <c r="U283">
        <v>80000</v>
      </c>
    </row>
    <row r="284" spans="1:21" x14ac:dyDescent="0.25">
      <c r="A284" t="s">
        <v>296</v>
      </c>
      <c r="B284" t="str">
        <f>_xlfn.XLOOKUP(Table1[[#This Row],[date]],Table8[date],Table8[id_date])</f>
        <v>TGL0648</v>
      </c>
      <c r="C284" s="1">
        <v>45471</v>
      </c>
      <c r="D284" s="1" t="str">
        <f>_xlfn.XLOOKUP(Table1[[#This Row],[customer_name]],Table11[customer_name],Table11[id_cust])</f>
        <v>CNA0117</v>
      </c>
      <c r="E284" t="s">
        <v>1030</v>
      </c>
      <c r="F284">
        <v>53</v>
      </c>
      <c r="G284" t="str">
        <f>_xlfn.XLOOKUP(Table1[[#This Row],[branch_name]],Table3[branch_name],Table3[id_branch])</f>
        <v>BRCH002</v>
      </c>
      <c r="H284" t="s">
        <v>1214</v>
      </c>
      <c r="I284" t="str">
        <f>_xlfn.XLOOKUP(Table1[[#This Row],[city]],Table4[city],Table4[id_city])</f>
        <v>KOA0103</v>
      </c>
      <c r="J284" t="s">
        <v>1219</v>
      </c>
      <c r="K284" t="str">
        <f>_xlfn.XLOOKUP(Table1[[#This Row],[menu_name]],Table5[menu_name],Table5[id_menu])</f>
        <v>MENU004</v>
      </c>
      <c r="L284" t="s">
        <v>1226</v>
      </c>
      <c r="M284" t="str">
        <f>_xlfn.XLOOKUP(Table1[[#This Row],[category]],Table6[category],Table6[id_category])</f>
        <v>KTG0207</v>
      </c>
      <c r="N284" t="s">
        <v>1235</v>
      </c>
      <c r="O284">
        <v>5</v>
      </c>
      <c r="P284">
        <v>28000</v>
      </c>
      <c r="Q284">
        <v>0</v>
      </c>
      <c r="R284">
        <v>1.8</v>
      </c>
      <c r="S284" t="str">
        <f>_xlfn.XLOOKUP(Table1[[#This Row],[method]],Table7[method],Table7[id_method])</f>
        <v>PAY0710</v>
      </c>
      <c r="T284" t="s">
        <v>1237</v>
      </c>
      <c r="U284">
        <v>140000</v>
      </c>
    </row>
    <row r="285" spans="1:21" x14ac:dyDescent="0.25">
      <c r="A285" t="s">
        <v>297</v>
      </c>
      <c r="B285" t="str">
        <f>_xlfn.XLOOKUP(Table1[[#This Row],[date]],Table8[date],Table8[id_date])</f>
        <v>TGL0649</v>
      </c>
      <c r="C285" s="1">
        <v>45472</v>
      </c>
      <c r="D285" s="1" t="str">
        <f>_xlfn.XLOOKUP(Table1[[#This Row],[customer_name]],Table11[customer_name],Table11[id_cust])</f>
        <v>CNA0263</v>
      </c>
      <c r="E285" t="s">
        <v>1131</v>
      </c>
      <c r="F285">
        <v>36</v>
      </c>
      <c r="G285" t="str">
        <f>_xlfn.XLOOKUP(Table1[[#This Row],[branch_name]],Table3[branch_name],Table3[id_branch])</f>
        <v>BRCH002</v>
      </c>
      <c r="H285" t="s">
        <v>1214</v>
      </c>
      <c r="I285" t="str">
        <f>_xlfn.XLOOKUP(Table1[[#This Row],[city]],Table4[city],Table4[id_city])</f>
        <v>KOA0103</v>
      </c>
      <c r="J285" t="s">
        <v>1219</v>
      </c>
      <c r="K285" t="str">
        <f>_xlfn.XLOOKUP(Table1[[#This Row],[menu_name]],Table5[menu_name],Table5[id_menu])</f>
        <v>MENU007</v>
      </c>
      <c r="L285" t="s">
        <v>1229</v>
      </c>
      <c r="M285" t="str">
        <f>_xlfn.XLOOKUP(Table1[[#This Row],[category]],Table6[category],Table6[id_category])</f>
        <v>KTG0207</v>
      </c>
      <c r="N285" t="s">
        <v>1235</v>
      </c>
      <c r="O285">
        <v>4</v>
      </c>
      <c r="P285">
        <v>27000</v>
      </c>
      <c r="Q285">
        <v>15</v>
      </c>
      <c r="R285">
        <v>3.5</v>
      </c>
      <c r="S285" t="str">
        <f>_xlfn.XLOOKUP(Table1[[#This Row],[method]],Table7[method],Table7[id_method])</f>
        <v>PAY0709</v>
      </c>
      <c r="T285" t="s">
        <v>1236</v>
      </c>
      <c r="U285">
        <v>91800</v>
      </c>
    </row>
    <row r="286" spans="1:21" x14ac:dyDescent="0.25">
      <c r="A286" t="s">
        <v>298</v>
      </c>
      <c r="B286" t="str">
        <f>_xlfn.XLOOKUP(Table1[[#This Row],[date]],Table8[date],Table8[id_date])</f>
        <v>TGL0650</v>
      </c>
      <c r="C286" s="1">
        <v>45473</v>
      </c>
      <c r="D286" s="1" t="str">
        <f>_xlfn.XLOOKUP(Table1[[#This Row],[customer_name]],Table11[customer_name],Table11[id_cust])</f>
        <v>CNA0385</v>
      </c>
      <c r="E286" t="s">
        <v>1169</v>
      </c>
      <c r="F286">
        <v>50</v>
      </c>
      <c r="G286" t="str">
        <f>_xlfn.XLOOKUP(Table1[[#This Row],[branch_name]],Table3[branch_name],Table3[id_branch])</f>
        <v>BRCH002</v>
      </c>
      <c r="H286" t="s">
        <v>1214</v>
      </c>
      <c r="I286" t="str">
        <f>_xlfn.XLOOKUP(Table1[[#This Row],[city]],Table4[city],Table4[id_city])</f>
        <v>KOA0103</v>
      </c>
      <c r="J286" t="s">
        <v>1219</v>
      </c>
      <c r="K286" t="str">
        <f>_xlfn.XLOOKUP(Table1[[#This Row],[menu_name]],Table5[menu_name],Table5[id_menu])</f>
        <v>MENU009</v>
      </c>
      <c r="L286" t="s">
        <v>1231</v>
      </c>
      <c r="M286" t="str">
        <f>_xlfn.XLOOKUP(Table1[[#This Row],[category]],Table6[category],Table6[id_category])</f>
        <v>KTG0206</v>
      </c>
      <c r="N286" t="s">
        <v>1234</v>
      </c>
      <c r="O286">
        <v>2</v>
      </c>
      <c r="P286">
        <v>18000</v>
      </c>
      <c r="Q286">
        <v>15</v>
      </c>
      <c r="R286">
        <v>3.1</v>
      </c>
      <c r="S286" t="str">
        <f>_xlfn.XLOOKUP(Table1[[#This Row],[method]],Table7[method],Table7[id_method])</f>
        <v>PAY0711</v>
      </c>
      <c r="T286" t="s">
        <v>1238</v>
      </c>
      <c r="U286">
        <v>30600</v>
      </c>
    </row>
    <row r="287" spans="1:21" x14ac:dyDescent="0.25">
      <c r="A287" t="s">
        <v>299</v>
      </c>
      <c r="B287" t="str">
        <f>_xlfn.XLOOKUP(Table1[[#This Row],[date]],Table8[date],Table8[id_date])</f>
        <v>TGL0650</v>
      </c>
      <c r="C287" s="1">
        <v>45473</v>
      </c>
      <c r="D287" s="1" t="str">
        <f>_xlfn.XLOOKUP(Table1[[#This Row],[customer_name]],Table11[customer_name],Table11[id_cust])</f>
        <v>CNA0219</v>
      </c>
      <c r="E287" t="s">
        <v>1108</v>
      </c>
      <c r="F287">
        <v>23</v>
      </c>
      <c r="G287" t="str">
        <f>_xlfn.XLOOKUP(Table1[[#This Row],[branch_name]],Table3[branch_name],Table3[id_branch])</f>
        <v>BRCH002</v>
      </c>
      <c r="H287" t="s">
        <v>1214</v>
      </c>
      <c r="I287" t="str">
        <f>_xlfn.XLOOKUP(Table1[[#This Row],[city]],Table4[city],Table4[id_city])</f>
        <v>KOA0103</v>
      </c>
      <c r="J287" t="s">
        <v>1219</v>
      </c>
      <c r="K287" t="str">
        <f>_xlfn.XLOOKUP(Table1[[#This Row],[menu_name]],Table5[menu_name],Table5[id_menu])</f>
        <v>MENU004</v>
      </c>
      <c r="L287" t="s">
        <v>1226</v>
      </c>
      <c r="M287" t="str">
        <f>_xlfn.XLOOKUP(Table1[[#This Row],[category]],Table6[category],Table6[id_category])</f>
        <v>KTG0207</v>
      </c>
      <c r="N287" t="s">
        <v>1235</v>
      </c>
      <c r="O287">
        <v>3</v>
      </c>
      <c r="P287">
        <v>28000</v>
      </c>
      <c r="Q287">
        <v>10</v>
      </c>
      <c r="R287">
        <v>1.2</v>
      </c>
      <c r="S287" t="str">
        <f>_xlfn.XLOOKUP(Table1[[#This Row],[method]],Table7[method],Table7[id_method])</f>
        <v>PAY0710</v>
      </c>
      <c r="T287" t="s">
        <v>1237</v>
      </c>
      <c r="U287">
        <v>75600</v>
      </c>
    </row>
    <row r="288" spans="1:21" x14ac:dyDescent="0.25">
      <c r="A288" t="s">
        <v>300</v>
      </c>
      <c r="B288" t="str">
        <f>_xlfn.XLOOKUP(Table1[[#This Row],[date]],Table8[date],Table8[id_date])</f>
        <v>TGL0650</v>
      </c>
      <c r="C288" s="1">
        <v>45473</v>
      </c>
      <c r="D288" s="1" t="str">
        <f>_xlfn.XLOOKUP(Table1[[#This Row],[customer_name]],Table11[customer_name],Table11[id_cust])</f>
        <v>CNA0233</v>
      </c>
      <c r="E288" t="s">
        <v>1117</v>
      </c>
      <c r="F288">
        <v>18</v>
      </c>
      <c r="G288" t="str">
        <f>_xlfn.XLOOKUP(Table1[[#This Row],[branch_name]],Table3[branch_name],Table3[id_branch])</f>
        <v>BRCH003</v>
      </c>
      <c r="H288" t="s">
        <v>1215</v>
      </c>
      <c r="I288" t="str">
        <f>_xlfn.XLOOKUP(Table1[[#This Row],[city]],Table4[city],Table4[id_city])</f>
        <v>KOA0104</v>
      </c>
      <c r="J288" t="s">
        <v>1220</v>
      </c>
      <c r="K288" t="str">
        <f>_xlfn.XLOOKUP(Table1[[#This Row],[menu_name]],Table5[menu_name],Table5[id_menu])</f>
        <v>MENU006</v>
      </c>
      <c r="L288" t="s">
        <v>1228</v>
      </c>
      <c r="M288" t="str">
        <f>_xlfn.XLOOKUP(Table1[[#This Row],[category]],Table6[category],Table6[id_category])</f>
        <v>KTG0206</v>
      </c>
      <c r="N288" t="s">
        <v>1234</v>
      </c>
      <c r="O288">
        <v>3</v>
      </c>
      <c r="P288">
        <v>32000</v>
      </c>
      <c r="Q288">
        <v>0</v>
      </c>
      <c r="R288">
        <v>3.7</v>
      </c>
      <c r="S288" t="str">
        <f>_xlfn.XLOOKUP(Table1[[#This Row],[method]],Table7[method],Table7[id_method])</f>
        <v>PAY0709</v>
      </c>
      <c r="T288" t="s">
        <v>1236</v>
      </c>
      <c r="U288">
        <v>96000</v>
      </c>
    </row>
    <row r="289" spans="1:21" x14ac:dyDescent="0.25">
      <c r="A289" t="s">
        <v>301</v>
      </c>
      <c r="B289" t="str">
        <f>_xlfn.XLOOKUP(Table1[[#This Row],[date]],Table8[date],Table8[id_date])</f>
        <v>TGL0650</v>
      </c>
      <c r="C289" s="1">
        <v>45473</v>
      </c>
      <c r="D289" s="1" t="str">
        <f>_xlfn.XLOOKUP(Table1[[#This Row],[customer_name]],Table11[customer_name],Table11[id_cust])</f>
        <v>CNA0299</v>
      </c>
      <c r="E289" t="s">
        <v>1149</v>
      </c>
      <c r="F289">
        <v>38</v>
      </c>
      <c r="G289" t="str">
        <f>_xlfn.XLOOKUP(Table1[[#This Row],[branch_name]],Table3[branch_name],Table3[id_branch])</f>
        <v>BRCH003</v>
      </c>
      <c r="H289" t="s">
        <v>1215</v>
      </c>
      <c r="I289" t="str">
        <f>_xlfn.XLOOKUP(Table1[[#This Row],[city]],Table4[city],Table4[id_city])</f>
        <v>KOA0104</v>
      </c>
      <c r="J289" t="s">
        <v>1220</v>
      </c>
      <c r="K289" t="str">
        <f>_xlfn.XLOOKUP(Table1[[#This Row],[menu_name]],Table5[menu_name],Table5[id_menu])</f>
        <v>MENU007</v>
      </c>
      <c r="L289" t="s">
        <v>1229</v>
      </c>
      <c r="M289" t="str">
        <f>_xlfn.XLOOKUP(Table1[[#This Row],[category]],Table6[category],Table6[id_category])</f>
        <v>KTG0207</v>
      </c>
      <c r="N289" t="s">
        <v>1235</v>
      </c>
      <c r="O289">
        <v>4</v>
      </c>
      <c r="P289">
        <v>27000</v>
      </c>
      <c r="Q289">
        <v>5</v>
      </c>
      <c r="R289">
        <v>3.9</v>
      </c>
      <c r="S289" t="str">
        <f>_xlfn.XLOOKUP(Table1[[#This Row],[method]],Table7[method],Table7[id_method])</f>
        <v>PAY0711</v>
      </c>
      <c r="T289" t="s">
        <v>1238</v>
      </c>
      <c r="U289">
        <v>102600</v>
      </c>
    </row>
    <row r="290" spans="1:21" x14ac:dyDescent="0.25">
      <c r="A290" t="s">
        <v>302</v>
      </c>
      <c r="B290" t="str">
        <f>_xlfn.XLOOKUP(Table1[[#This Row],[date]],Table8[date],Table8[id_date])</f>
        <v>TGL0651</v>
      </c>
      <c r="C290" s="1">
        <v>45474</v>
      </c>
      <c r="D290" s="1" t="str">
        <f>_xlfn.XLOOKUP(Table1[[#This Row],[customer_name]],Table11[customer_name],Table11[id_cust])</f>
        <v>CNA0181</v>
      </c>
      <c r="E290" t="s">
        <v>1084</v>
      </c>
      <c r="F290">
        <v>43</v>
      </c>
      <c r="G290" t="str">
        <f>_xlfn.XLOOKUP(Table1[[#This Row],[branch_name]],Table3[branch_name],Table3[id_branch])</f>
        <v>BRCH003</v>
      </c>
      <c r="H290" t="s">
        <v>1215</v>
      </c>
      <c r="I290" t="str">
        <f>_xlfn.XLOOKUP(Table1[[#This Row],[city]],Table4[city],Table4[id_city])</f>
        <v>KOA0104</v>
      </c>
      <c r="J290" t="s">
        <v>1220</v>
      </c>
      <c r="K290" t="str">
        <f>_xlfn.XLOOKUP(Table1[[#This Row],[menu_name]],Table5[menu_name],Table5[id_menu])</f>
        <v>MENU003</v>
      </c>
      <c r="L290" t="s">
        <v>1225</v>
      </c>
      <c r="M290" t="str">
        <f>_xlfn.XLOOKUP(Table1[[#This Row],[category]],Table6[category],Table6[id_category])</f>
        <v>KTG0205</v>
      </c>
      <c r="N290" t="s">
        <v>1233</v>
      </c>
      <c r="O290">
        <v>2</v>
      </c>
      <c r="P290">
        <v>22000</v>
      </c>
      <c r="Q290">
        <v>0</v>
      </c>
      <c r="R290">
        <v>1.9</v>
      </c>
      <c r="S290" t="str">
        <f>_xlfn.XLOOKUP(Table1[[#This Row],[method]],Table7[method],Table7[id_method])</f>
        <v>PAY0710</v>
      </c>
      <c r="T290" t="s">
        <v>1237</v>
      </c>
      <c r="U290">
        <v>44000</v>
      </c>
    </row>
    <row r="291" spans="1:21" x14ac:dyDescent="0.25">
      <c r="A291" t="s">
        <v>303</v>
      </c>
      <c r="B291" t="str">
        <f>_xlfn.XLOOKUP(Table1[[#This Row],[date]],Table8[date],Table8[id_date])</f>
        <v>TGL0652</v>
      </c>
      <c r="C291" s="1">
        <v>45475</v>
      </c>
      <c r="D291" s="1" t="str">
        <f>_xlfn.XLOOKUP(Table1[[#This Row],[customer_name]],Table11[customer_name],Table11[id_cust])</f>
        <v>CNA0390</v>
      </c>
      <c r="E291" t="s">
        <v>1170</v>
      </c>
      <c r="F291">
        <v>32</v>
      </c>
      <c r="G291" t="str">
        <f>_xlfn.XLOOKUP(Table1[[#This Row],[branch_name]],Table3[branch_name],Table3[id_branch])</f>
        <v>BRCH004</v>
      </c>
      <c r="H291" t="s">
        <v>1216</v>
      </c>
      <c r="I291" t="str">
        <f>_xlfn.XLOOKUP(Table1[[#This Row],[city]],Table4[city],Table4[id_city])</f>
        <v>KOA0105</v>
      </c>
      <c r="J291" t="s">
        <v>1221</v>
      </c>
      <c r="K291" t="str">
        <f>_xlfn.XLOOKUP(Table1[[#This Row],[menu_name]],Table5[menu_name],Table5[id_menu])</f>
        <v>MENU002</v>
      </c>
      <c r="L291" t="s">
        <v>1224</v>
      </c>
      <c r="M291" t="str">
        <f>_xlfn.XLOOKUP(Table1[[#This Row],[category]],Table6[category],Table6[id_category])</f>
        <v>KTG0206</v>
      </c>
      <c r="N291" t="s">
        <v>1234</v>
      </c>
      <c r="O291">
        <v>3</v>
      </c>
      <c r="P291">
        <v>30000</v>
      </c>
      <c r="Q291">
        <v>20</v>
      </c>
      <c r="R291">
        <v>3</v>
      </c>
      <c r="S291" t="str">
        <f>_xlfn.XLOOKUP(Table1[[#This Row],[method]],Table7[method],Table7[id_method])</f>
        <v>PAY0712</v>
      </c>
      <c r="T291" t="s">
        <v>1239</v>
      </c>
      <c r="U291">
        <v>72000</v>
      </c>
    </row>
    <row r="292" spans="1:21" x14ac:dyDescent="0.25">
      <c r="A292" t="s">
        <v>304</v>
      </c>
      <c r="B292" t="str">
        <f>_xlfn.XLOOKUP(Table1[[#This Row],[date]],Table8[date],Table8[id_date])</f>
        <v>TGL0653</v>
      </c>
      <c r="C292" s="1">
        <v>45477</v>
      </c>
      <c r="D292" s="1" t="str">
        <f>_xlfn.XLOOKUP(Table1[[#This Row],[customer_name]],Table11[customer_name],Table11[id_cust])</f>
        <v>CNA0391</v>
      </c>
      <c r="E292" t="s">
        <v>1171</v>
      </c>
      <c r="F292">
        <v>44</v>
      </c>
      <c r="G292" t="str">
        <f>_xlfn.XLOOKUP(Table1[[#This Row],[branch_name]],Table3[branch_name],Table3[id_branch])</f>
        <v>BRCH005</v>
      </c>
      <c r="H292" t="s">
        <v>1217</v>
      </c>
      <c r="I292" t="str">
        <f>_xlfn.XLOOKUP(Table1[[#This Row],[city]],Table4[city],Table4[id_city])</f>
        <v>KOA0106</v>
      </c>
      <c r="J292" t="s">
        <v>1222</v>
      </c>
      <c r="K292" t="str">
        <f>_xlfn.XLOOKUP(Table1[[#This Row],[menu_name]],Table5[menu_name],Table5[id_menu])</f>
        <v>MENU004</v>
      </c>
      <c r="L292" t="s">
        <v>1226</v>
      </c>
      <c r="M292" t="str">
        <f>_xlfn.XLOOKUP(Table1[[#This Row],[category]],Table6[category],Table6[id_category])</f>
        <v>KTG0207</v>
      </c>
      <c r="N292" t="s">
        <v>1235</v>
      </c>
      <c r="O292">
        <v>1</v>
      </c>
      <c r="P292">
        <v>28000</v>
      </c>
      <c r="Q292">
        <v>0</v>
      </c>
      <c r="R292">
        <v>4.2</v>
      </c>
      <c r="S292" t="str">
        <f>_xlfn.XLOOKUP(Table1[[#This Row],[method]],Table7[method],Table7[id_method])</f>
        <v>PAY0711</v>
      </c>
      <c r="T292" t="s">
        <v>1238</v>
      </c>
      <c r="U292">
        <v>28000</v>
      </c>
    </row>
    <row r="293" spans="1:21" x14ac:dyDescent="0.25">
      <c r="A293" t="s">
        <v>305</v>
      </c>
      <c r="B293" t="str">
        <f>_xlfn.XLOOKUP(Table1[[#This Row],[date]],Table8[date],Table8[id_date])</f>
        <v>TGL0654</v>
      </c>
      <c r="C293" s="1">
        <v>45480</v>
      </c>
      <c r="D293" s="1" t="str">
        <f>_xlfn.XLOOKUP(Table1[[#This Row],[customer_name]],Table11[customer_name],Table11[id_cust])</f>
        <v>CNA0390</v>
      </c>
      <c r="E293" t="s">
        <v>1170</v>
      </c>
      <c r="F293">
        <v>32</v>
      </c>
      <c r="G293" t="str">
        <f>_xlfn.XLOOKUP(Table1[[#This Row],[branch_name]],Table3[branch_name],Table3[id_branch])</f>
        <v>BRCH001</v>
      </c>
      <c r="H293" t="s">
        <v>1213</v>
      </c>
      <c r="I293" t="str">
        <f>_xlfn.XLOOKUP(Table1[[#This Row],[city]],Table4[city],Table4[id_city])</f>
        <v>KOA0102</v>
      </c>
      <c r="J293" t="s">
        <v>1218</v>
      </c>
      <c r="K293" t="str">
        <f>_xlfn.XLOOKUP(Table1[[#This Row],[menu_name]],Table5[menu_name],Table5[id_menu])</f>
        <v>MENU002</v>
      </c>
      <c r="L293" t="s">
        <v>1224</v>
      </c>
      <c r="M293" t="str">
        <f>_xlfn.XLOOKUP(Table1[[#This Row],[category]],Table6[category],Table6[id_category])</f>
        <v>KTG0206</v>
      </c>
      <c r="N293" t="s">
        <v>1234</v>
      </c>
      <c r="O293">
        <v>4</v>
      </c>
      <c r="P293">
        <v>30000</v>
      </c>
      <c r="Q293">
        <v>0</v>
      </c>
      <c r="R293">
        <v>4.9000000000000004</v>
      </c>
      <c r="S293" t="str">
        <f>_xlfn.XLOOKUP(Table1[[#This Row],[method]],Table7[method],Table7[id_method])</f>
        <v>PAY0711</v>
      </c>
      <c r="T293" t="s">
        <v>1238</v>
      </c>
      <c r="U293">
        <v>120000</v>
      </c>
    </row>
    <row r="294" spans="1:21" x14ac:dyDescent="0.25">
      <c r="A294" t="s">
        <v>306</v>
      </c>
      <c r="B294" t="str">
        <f>_xlfn.XLOOKUP(Table1[[#This Row],[date]],Table8[date],Table8[id_date])</f>
        <v>TGL0655</v>
      </c>
      <c r="C294" s="1">
        <v>45481</v>
      </c>
      <c r="D294" s="1" t="str">
        <f>_xlfn.XLOOKUP(Table1[[#This Row],[customer_name]],Table11[customer_name],Table11[id_cust])</f>
        <v>CNA0277</v>
      </c>
      <c r="E294" t="s">
        <v>1138</v>
      </c>
      <c r="F294">
        <v>52</v>
      </c>
      <c r="G294" t="str">
        <f>_xlfn.XLOOKUP(Table1[[#This Row],[branch_name]],Table3[branch_name],Table3[id_branch])</f>
        <v>BRCH005</v>
      </c>
      <c r="H294" t="s">
        <v>1217</v>
      </c>
      <c r="I294" t="str">
        <f>_xlfn.XLOOKUP(Table1[[#This Row],[city]],Table4[city],Table4[id_city])</f>
        <v>KOA0106</v>
      </c>
      <c r="J294" t="s">
        <v>1222</v>
      </c>
      <c r="K294" t="str">
        <f>_xlfn.XLOOKUP(Table1[[#This Row],[menu_name]],Table5[menu_name],Table5[id_menu])</f>
        <v>MENU004</v>
      </c>
      <c r="L294" t="s">
        <v>1226</v>
      </c>
      <c r="M294" t="str">
        <f>_xlfn.XLOOKUP(Table1[[#This Row],[category]],Table6[category],Table6[id_category])</f>
        <v>KTG0207</v>
      </c>
      <c r="N294" t="s">
        <v>1235</v>
      </c>
      <c r="O294">
        <v>2</v>
      </c>
      <c r="P294">
        <v>28000</v>
      </c>
      <c r="Q294">
        <v>5</v>
      </c>
      <c r="R294">
        <v>1.4</v>
      </c>
      <c r="S294" t="str">
        <f>_xlfn.XLOOKUP(Table1[[#This Row],[method]],Table7[method],Table7[id_method])</f>
        <v>PAY0711</v>
      </c>
      <c r="T294" t="s">
        <v>1238</v>
      </c>
      <c r="U294">
        <v>53200</v>
      </c>
    </row>
    <row r="295" spans="1:21" x14ac:dyDescent="0.25">
      <c r="A295" t="s">
        <v>307</v>
      </c>
      <c r="B295" t="str">
        <f>_xlfn.XLOOKUP(Table1[[#This Row],[date]],Table8[date],Table8[id_date])</f>
        <v>TGL0655</v>
      </c>
      <c r="C295" s="1">
        <v>45481</v>
      </c>
      <c r="D295" s="1" t="str">
        <f>_xlfn.XLOOKUP(Table1[[#This Row],[customer_name]],Table11[customer_name],Table11[id_cust])</f>
        <v>CNA0348</v>
      </c>
      <c r="E295" t="s">
        <v>1164</v>
      </c>
      <c r="F295">
        <v>42</v>
      </c>
      <c r="G295" t="str">
        <f>_xlfn.XLOOKUP(Table1[[#This Row],[branch_name]],Table3[branch_name],Table3[id_branch])</f>
        <v>BRCH002</v>
      </c>
      <c r="H295" t="s">
        <v>1214</v>
      </c>
      <c r="I295" t="str">
        <f>_xlfn.XLOOKUP(Table1[[#This Row],[city]],Table4[city],Table4[id_city])</f>
        <v>KOA0103</v>
      </c>
      <c r="J295" t="s">
        <v>1219</v>
      </c>
      <c r="K295" t="str">
        <f>_xlfn.XLOOKUP(Table1[[#This Row],[menu_name]],Table5[menu_name],Table5[id_menu])</f>
        <v>MENU003</v>
      </c>
      <c r="L295" t="s">
        <v>1225</v>
      </c>
      <c r="M295" t="str">
        <f>_xlfn.XLOOKUP(Table1[[#This Row],[category]],Table6[category],Table6[id_category])</f>
        <v>KTG0205</v>
      </c>
      <c r="N295" t="s">
        <v>1233</v>
      </c>
      <c r="O295">
        <v>3</v>
      </c>
      <c r="P295">
        <v>22000</v>
      </c>
      <c r="Q295">
        <v>15</v>
      </c>
      <c r="R295">
        <v>1.6</v>
      </c>
      <c r="S295" t="str">
        <f>_xlfn.XLOOKUP(Table1[[#This Row],[method]],Table7[method],Table7[id_method])</f>
        <v>PAY0710</v>
      </c>
      <c r="T295" t="s">
        <v>1237</v>
      </c>
      <c r="U295">
        <v>56100</v>
      </c>
    </row>
    <row r="296" spans="1:21" x14ac:dyDescent="0.25">
      <c r="A296" t="s">
        <v>308</v>
      </c>
      <c r="B296" t="str">
        <f>_xlfn.XLOOKUP(Table1[[#This Row],[date]],Table8[date],Table8[id_date])</f>
        <v>TGL0655</v>
      </c>
      <c r="C296" s="1">
        <v>45481</v>
      </c>
      <c r="D296" s="1" t="str">
        <f>_xlfn.XLOOKUP(Table1[[#This Row],[customer_name]],Table11[customer_name],Table11[id_cust])</f>
        <v>CNA0290</v>
      </c>
      <c r="E296" t="s">
        <v>1144</v>
      </c>
      <c r="F296">
        <v>30</v>
      </c>
      <c r="G296" t="str">
        <f>_xlfn.XLOOKUP(Table1[[#This Row],[branch_name]],Table3[branch_name],Table3[id_branch])</f>
        <v>BRCH003</v>
      </c>
      <c r="H296" t="s">
        <v>1215</v>
      </c>
      <c r="I296" t="str">
        <f>_xlfn.XLOOKUP(Table1[[#This Row],[city]],Table4[city],Table4[id_city])</f>
        <v>KOA0104</v>
      </c>
      <c r="J296" t="s">
        <v>1220</v>
      </c>
      <c r="K296" t="str">
        <f>_xlfn.XLOOKUP(Table1[[#This Row],[menu_name]],Table5[menu_name],Table5[id_menu])</f>
        <v>MENU009</v>
      </c>
      <c r="L296" t="s">
        <v>1231</v>
      </c>
      <c r="M296" t="str">
        <f>_xlfn.XLOOKUP(Table1[[#This Row],[category]],Table6[category],Table6[id_category])</f>
        <v>KTG0206</v>
      </c>
      <c r="N296" t="s">
        <v>1234</v>
      </c>
      <c r="O296">
        <v>4</v>
      </c>
      <c r="P296">
        <v>18000</v>
      </c>
      <c r="Q296">
        <v>15</v>
      </c>
      <c r="R296">
        <v>4.4000000000000004</v>
      </c>
      <c r="S296" t="str">
        <f>_xlfn.XLOOKUP(Table1[[#This Row],[method]],Table7[method],Table7[id_method])</f>
        <v>PAY0710</v>
      </c>
      <c r="T296" t="s">
        <v>1237</v>
      </c>
      <c r="U296">
        <v>61200</v>
      </c>
    </row>
    <row r="297" spans="1:21" x14ac:dyDescent="0.25">
      <c r="A297" t="s">
        <v>309</v>
      </c>
      <c r="B297" t="str">
        <f>_xlfn.XLOOKUP(Table1[[#This Row],[date]],Table8[date],Table8[id_date])</f>
        <v>TGL0656</v>
      </c>
      <c r="C297" s="1">
        <v>45482</v>
      </c>
      <c r="D297" s="1" t="str">
        <f>_xlfn.XLOOKUP(Table1[[#This Row],[customer_name]],Table11[customer_name],Table11[id_cust])</f>
        <v>CNA0396</v>
      </c>
      <c r="E297" t="s">
        <v>1172</v>
      </c>
      <c r="F297">
        <v>41</v>
      </c>
      <c r="G297" t="str">
        <f>_xlfn.XLOOKUP(Table1[[#This Row],[branch_name]],Table3[branch_name],Table3[id_branch])</f>
        <v>BRCH004</v>
      </c>
      <c r="H297" t="s">
        <v>1216</v>
      </c>
      <c r="I297" t="str">
        <f>_xlfn.XLOOKUP(Table1[[#This Row],[city]],Table4[city],Table4[id_city])</f>
        <v>KOA0105</v>
      </c>
      <c r="J297" t="s">
        <v>1221</v>
      </c>
      <c r="K297" t="str">
        <f>_xlfn.XLOOKUP(Table1[[#This Row],[menu_name]],Table5[menu_name],Table5[id_menu])</f>
        <v>MENU002</v>
      </c>
      <c r="L297" t="s">
        <v>1224</v>
      </c>
      <c r="M297" t="str">
        <f>_xlfn.XLOOKUP(Table1[[#This Row],[category]],Table6[category],Table6[id_category])</f>
        <v>KTG0206</v>
      </c>
      <c r="N297" t="s">
        <v>1234</v>
      </c>
      <c r="O297">
        <v>5</v>
      </c>
      <c r="P297">
        <v>30000</v>
      </c>
      <c r="Q297">
        <v>15</v>
      </c>
      <c r="R297">
        <v>5</v>
      </c>
      <c r="S297" t="str">
        <f>_xlfn.XLOOKUP(Table1[[#This Row],[method]],Table7[method],Table7[id_method])</f>
        <v>PAY0709</v>
      </c>
      <c r="T297" t="s">
        <v>1236</v>
      </c>
      <c r="U297">
        <v>127500</v>
      </c>
    </row>
    <row r="298" spans="1:21" x14ac:dyDescent="0.25">
      <c r="A298" t="s">
        <v>310</v>
      </c>
      <c r="B298" t="str">
        <f>_xlfn.XLOOKUP(Table1[[#This Row],[date]],Table8[date],Table8[id_date])</f>
        <v>TGL0656</v>
      </c>
      <c r="C298" s="1">
        <v>45482</v>
      </c>
      <c r="D298" s="1" t="str">
        <f>_xlfn.XLOOKUP(Table1[[#This Row],[customer_name]],Table11[customer_name],Table11[id_cust])</f>
        <v>CNA0233</v>
      </c>
      <c r="E298" t="s">
        <v>1117</v>
      </c>
      <c r="F298">
        <v>18</v>
      </c>
      <c r="G298" t="str">
        <f>_xlfn.XLOOKUP(Table1[[#This Row],[branch_name]],Table3[branch_name],Table3[id_branch])</f>
        <v>BRCH004</v>
      </c>
      <c r="H298" t="s">
        <v>1216</v>
      </c>
      <c r="I298" t="str">
        <f>_xlfn.XLOOKUP(Table1[[#This Row],[city]],Table4[city],Table4[id_city])</f>
        <v>KOA0105</v>
      </c>
      <c r="J298" t="s">
        <v>1221</v>
      </c>
      <c r="K298" t="str">
        <f>_xlfn.XLOOKUP(Table1[[#This Row],[menu_name]],Table5[menu_name],Table5[id_menu])</f>
        <v>MENU002</v>
      </c>
      <c r="L298" t="s">
        <v>1224</v>
      </c>
      <c r="M298" t="str">
        <f>_xlfn.XLOOKUP(Table1[[#This Row],[category]],Table6[category],Table6[id_category])</f>
        <v>KTG0206</v>
      </c>
      <c r="N298" t="s">
        <v>1234</v>
      </c>
      <c r="O298">
        <v>3</v>
      </c>
      <c r="P298">
        <v>30000</v>
      </c>
      <c r="Q298">
        <v>0</v>
      </c>
      <c r="R298">
        <v>2</v>
      </c>
      <c r="S298" t="str">
        <f>_xlfn.XLOOKUP(Table1[[#This Row],[method]],Table7[method],Table7[id_method])</f>
        <v>PAY0711</v>
      </c>
      <c r="T298" t="s">
        <v>1238</v>
      </c>
      <c r="U298">
        <v>90000</v>
      </c>
    </row>
    <row r="299" spans="1:21" x14ac:dyDescent="0.25">
      <c r="A299" t="s">
        <v>311</v>
      </c>
      <c r="B299" t="str">
        <f>_xlfn.XLOOKUP(Table1[[#This Row],[date]],Table8[date],Table8[id_date])</f>
        <v>TGL0657</v>
      </c>
      <c r="C299" s="1">
        <v>45483</v>
      </c>
      <c r="D299" s="1" t="str">
        <f>_xlfn.XLOOKUP(Table1[[#This Row],[customer_name]],Table11[customer_name],Table11[id_cust])</f>
        <v>CNA0116</v>
      </c>
      <c r="E299" t="s">
        <v>1029</v>
      </c>
      <c r="F299">
        <v>45</v>
      </c>
      <c r="G299" t="str">
        <f>_xlfn.XLOOKUP(Table1[[#This Row],[branch_name]],Table3[branch_name],Table3[id_branch])</f>
        <v>BRCH002</v>
      </c>
      <c r="H299" t="s">
        <v>1214</v>
      </c>
      <c r="I299" t="str">
        <f>_xlfn.XLOOKUP(Table1[[#This Row],[city]],Table4[city],Table4[id_city])</f>
        <v>KOA0103</v>
      </c>
      <c r="J299" t="s">
        <v>1219</v>
      </c>
      <c r="K299" t="str">
        <f>_xlfn.XLOOKUP(Table1[[#This Row],[menu_name]],Table5[menu_name],Table5[id_menu])</f>
        <v>MENU001</v>
      </c>
      <c r="L299" t="s">
        <v>1223</v>
      </c>
      <c r="M299" t="str">
        <f>_xlfn.XLOOKUP(Table1[[#This Row],[category]],Table6[category],Table6[id_category])</f>
        <v>KTG0205</v>
      </c>
      <c r="N299" t="s">
        <v>1233</v>
      </c>
      <c r="O299">
        <v>1</v>
      </c>
      <c r="P299">
        <v>25000</v>
      </c>
      <c r="Q299">
        <v>10</v>
      </c>
      <c r="R299">
        <v>5</v>
      </c>
      <c r="S299" t="str">
        <f>_xlfn.XLOOKUP(Table1[[#This Row],[method]],Table7[method],Table7[id_method])</f>
        <v>PAY0712</v>
      </c>
      <c r="T299" t="s">
        <v>1239</v>
      </c>
      <c r="U299">
        <v>22500</v>
      </c>
    </row>
    <row r="300" spans="1:21" x14ac:dyDescent="0.25">
      <c r="A300" t="s">
        <v>312</v>
      </c>
      <c r="B300" t="str">
        <f>_xlfn.XLOOKUP(Table1[[#This Row],[date]],Table8[date],Table8[id_date])</f>
        <v>TGL0657</v>
      </c>
      <c r="C300" s="1">
        <v>45483</v>
      </c>
      <c r="D300" s="1" t="str">
        <f>_xlfn.XLOOKUP(Table1[[#This Row],[customer_name]],Table11[customer_name],Table11[id_cust])</f>
        <v>CNA0290</v>
      </c>
      <c r="E300" t="s">
        <v>1144</v>
      </c>
      <c r="F300">
        <v>30</v>
      </c>
      <c r="G300" t="str">
        <f>_xlfn.XLOOKUP(Table1[[#This Row],[branch_name]],Table3[branch_name],Table3[id_branch])</f>
        <v>BRCH005</v>
      </c>
      <c r="H300" t="s">
        <v>1217</v>
      </c>
      <c r="I300" t="str">
        <f>_xlfn.XLOOKUP(Table1[[#This Row],[city]],Table4[city],Table4[id_city])</f>
        <v>KOA0106</v>
      </c>
      <c r="J300" t="s">
        <v>1222</v>
      </c>
      <c r="K300" t="str">
        <f>_xlfn.XLOOKUP(Table1[[#This Row],[menu_name]],Table5[menu_name],Table5[id_menu])</f>
        <v>MENU003</v>
      </c>
      <c r="L300" t="s">
        <v>1225</v>
      </c>
      <c r="M300" t="str">
        <f>_xlfn.XLOOKUP(Table1[[#This Row],[category]],Table6[category],Table6[id_category])</f>
        <v>KTG0205</v>
      </c>
      <c r="N300" t="s">
        <v>1233</v>
      </c>
      <c r="O300">
        <v>2</v>
      </c>
      <c r="P300">
        <v>22000</v>
      </c>
      <c r="Q300">
        <v>0</v>
      </c>
      <c r="R300">
        <v>3.9</v>
      </c>
      <c r="S300" t="str">
        <f>_xlfn.XLOOKUP(Table1[[#This Row],[method]],Table7[method],Table7[id_method])</f>
        <v>PAY0711</v>
      </c>
      <c r="T300" t="s">
        <v>1238</v>
      </c>
      <c r="U300">
        <v>44000</v>
      </c>
    </row>
    <row r="301" spans="1:21" x14ac:dyDescent="0.25">
      <c r="A301" t="s">
        <v>313</v>
      </c>
      <c r="B301" t="str">
        <f>_xlfn.XLOOKUP(Table1[[#This Row],[date]],Table8[date],Table8[id_date])</f>
        <v>TGL0657</v>
      </c>
      <c r="C301" s="1">
        <v>45483</v>
      </c>
      <c r="D301" s="1" t="str">
        <f>_xlfn.XLOOKUP(Table1[[#This Row],[customer_name]],Table11[customer_name],Table11[id_cust])</f>
        <v>CNA0111</v>
      </c>
      <c r="E301" t="s">
        <v>1024</v>
      </c>
      <c r="F301">
        <v>40</v>
      </c>
      <c r="G301" t="str">
        <f>_xlfn.XLOOKUP(Table1[[#This Row],[branch_name]],Table3[branch_name],Table3[id_branch])</f>
        <v>BRCH004</v>
      </c>
      <c r="H301" t="s">
        <v>1216</v>
      </c>
      <c r="I301" t="str">
        <f>_xlfn.XLOOKUP(Table1[[#This Row],[city]],Table4[city],Table4[id_city])</f>
        <v>KOA0105</v>
      </c>
      <c r="J301" t="s">
        <v>1221</v>
      </c>
      <c r="K301" t="str">
        <f>_xlfn.XLOOKUP(Table1[[#This Row],[menu_name]],Table5[menu_name],Table5[id_menu])</f>
        <v>MENU006</v>
      </c>
      <c r="L301" t="s">
        <v>1228</v>
      </c>
      <c r="M301" t="str">
        <f>_xlfn.XLOOKUP(Table1[[#This Row],[category]],Table6[category],Table6[id_category])</f>
        <v>KTG0206</v>
      </c>
      <c r="N301" t="s">
        <v>1234</v>
      </c>
      <c r="O301">
        <v>4</v>
      </c>
      <c r="P301">
        <v>32000</v>
      </c>
      <c r="Q301">
        <v>15</v>
      </c>
      <c r="R301">
        <v>2.5</v>
      </c>
      <c r="S301" t="str">
        <f>_xlfn.XLOOKUP(Table1[[#This Row],[method]],Table7[method],Table7[id_method])</f>
        <v>PAY0709</v>
      </c>
      <c r="T301" t="s">
        <v>1236</v>
      </c>
      <c r="U301">
        <v>108800</v>
      </c>
    </row>
    <row r="302" spans="1:21" x14ac:dyDescent="0.25">
      <c r="A302" t="s">
        <v>314</v>
      </c>
      <c r="B302" t="str">
        <f>_xlfn.XLOOKUP(Table1[[#This Row],[date]],Table8[date],Table8[id_date])</f>
        <v>TGL0658</v>
      </c>
      <c r="C302" s="1">
        <v>45485</v>
      </c>
      <c r="D302" s="1" t="str">
        <f>_xlfn.XLOOKUP(Table1[[#This Row],[customer_name]],Table11[customer_name],Table11[id_cust])</f>
        <v>CNA0186</v>
      </c>
      <c r="E302" t="s">
        <v>1088</v>
      </c>
      <c r="F302">
        <v>53</v>
      </c>
      <c r="G302" t="str">
        <f>_xlfn.XLOOKUP(Table1[[#This Row],[branch_name]],Table3[branch_name],Table3[id_branch])</f>
        <v>BRCH004</v>
      </c>
      <c r="H302" t="s">
        <v>1216</v>
      </c>
      <c r="I302" t="str">
        <f>_xlfn.XLOOKUP(Table1[[#This Row],[city]],Table4[city],Table4[id_city])</f>
        <v>KOA0105</v>
      </c>
      <c r="J302" t="s">
        <v>1221</v>
      </c>
      <c r="K302" t="str">
        <f>_xlfn.XLOOKUP(Table1[[#This Row],[menu_name]],Table5[menu_name],Table5[id_menu])</f>
        <v>MENU001</v>
      </c>
      <c r="L302" t="s">
        <v>1223</v>
      </c>
      <c r="M302" t="str">
        <f>_xlfn.XLOOKUP(Table1[[#This Row],[category]],Table6[category],Table6[id_category])</f>
        <v>KTG0205</v>
      </c>
      <c r="N302" t="s">
        <v>1233</v>
      </c>
      <c r="O302">
        <v>3</v>
      </c>
      <c r="P302">
        <v>25000</v>
      </c>
      <c r="Q302">
        <v>5</v>
      </c>
      <c r="R302">
        <v>4.0999999999999996</v>
      </c>
      <c r="S302" t="str">
        <f>_xlfn.XLOOKUP(Table1[[#This Row],[method]],Table7[method],Table7[id_method])</f>
        <v>PAY0709</v>
      </c>
      <c r="T302" t="s">
        <v>1236</v>
      </c>
      <c r="U302">
        <v>71250</v>
      </c>
    </row>
    <row r="303" spans="1:21" x14ac:dyDescent="0.25">
      <c r="A303" t="s">
        <v>315</v>
      </c>
      <c r="B303" t="str">
        <f>_xlfn.XLOOKUP(Table1[[#This Row],[date]],Table8[date],Table8[id_date])</f>
        <v>TGL0658</v>
      </c>
      <c r="C303" s="1">
        <v>45485</v>
      </c>
      <c r="D303" s="1" t="str">
        <f>_xlfn.XLOOKUP(Table1[[#This Row],[customer_name]],Table11[customer_name],Table11[id_cust])</f>
        <v>CNA0402</v>
      </c>
      <c r="E303" t="s">
        <v>1173</v>
      </c>
      <c r="F303">
        <v>19</v>
      </c>
      <c r="G303" t="str">
        <f>_xlfn.XLOOKUP(Table1[[#This Row],[branch_name]],Table3[branch_name],Table3[id_branch])</f>
        <v>BRCH005</v>
      </c>
      <c r="H303" t="s">
        <v>1217</v>
      </c>
      <c r="I303" t="str">
        <f>_xlfn.XLOOKUP(Table1[[#This Row],[city]],Table4[city],Table4[id_city])</f>
        <v>KOA0106</v>
      </c>
      <c r="J303" t="s">
        <v>1222</v>
      </c>
      <c r="K303" t="str">
        <f>_xlfn.XLOOKUP(Table1[[#This Row],[menu_name]],Table5[menu_name],Table5[id_menu])</f>
        <v>MENU005</v>
      </c>
      <c r="L303" t="s">
        <v>1227</v>
      </c>
      <c r="M303" t="str">
        <f>_xlfn.XLOOKUP(Table1[[#This Row],[category]],Table6[category],Table6[id_category])</f>
        <v>KTG0206</v>
      </c>
      <c r="N303" t="s">
        <v>1234</v>
      </c>
      <c r="O303">
        <v>2</v>
      </c>
      <c r="P303">
        <v>23000</v>
      </c>
      <c r="Q303">
        <v>20</v>
      </c>
      <c r="R303">
        <v>2.8</v>
      </c>
      <c r="S303" t="str">
        <f>_xlfn.XLOOKUP(Table1[[#This Row],[method]],Table7[method],Table7[id_method])</f>
        <v>PAY0710</v>
      </c>
      <c r="T303" t="s">
        <v>1237</v>
      </c>
      <c r="U303">
        <v>36800</v>
      </c>
    </row>
    <row r="304" spans="1:21" x14ac:dyDescent="0.25">
      <c r="A304" t="s">
        <v>316</v>
      </c>
      <c r="B304" t="str">
        <f>_xlfn.XLOOKUP(Table1[[#This Row],[date]],Table8[date],Table8[id_date])</f>
        <v>TGL0658</v>
      </c>
      <c r="C304" s="1">
        <v>45485</v>
      </c>
      <c r="D304" s="1" t="str">
        <f>_xlfn.XLOOKUP(Table1[[#This Row],[customer_name]],Table11[customer_name],Table11[id_cust])</f>
        <v>CNA0284</v>
      </c>
      <c r="E304" t="s">
        <v>1141</v>
      </c>
      <c r="F304">
        <v>21</v>
      </c>
      <c r="G304" t="str">
        <f>_xlfn.XLOOKUP(Table1[[#This Row],[branch_name]],Table3[branch_name],Table3[id_branch])</f>
        <v>BRCH001</v>
      </c>
      <c r="H304" t="s">
        <v>1213</v>
      </c>
      <c r="I304" t="str">
        <f>_xlfn.XLOOKUP(Table1[[#This Row],[city]],Table4[city],Table4[id_city])</f>
        <v>KOA0102</v>
      </c>
      <c r="J304" t="s">
        <v>1218</v>
      </c>
      <c r="K304" t="str">
        <f>_xlfn.XLOOKUP(Table1[[#This Row],[menu_name]],Table5[menu_name],Table5[id_menu])</f>
        <v>MENU005</v>
      </c>
      <c r="L304" t="s">
        <v>1227</v>
      </c>
      <c r="M304" t="str">
        <f>_xlfn.XLOOKUP(Table1[[#This Row],[category]],Table6[category],Table6[id_category])</f>
        <v>KTG0206</v>
      </c>
      <c r="N304" t="s">
        <v>1234</v>
      </c>
      <c r="O304">
        <v>5</v>
      </c>
      <c r="P304">
        <v>23000</v>
      </c>
      <c r="Q304">
        <v>5</v>
      </c>
      <c r="R304">
        <v>2.2000000000000002</v>
      </c>
      <c r="S304" t="str">
        <f>_xlfn.XLOOKUP(Table1[[#This Row],[method]],Table7[method],Table7[id_method])</f>
        <v>PAY0709</v>
      </c>
      <c r="T304" t="s">
        <v>1236</v>
      </c>
      <c r="U304">
        <v>109250</v>
      </c>
    </row>
    <row r="305" spans="1:21" x14ac:dyDescent="0.25">
      <c r="A305" t="s">
        <v>317</v>
      </c>
      <c r="B305" t="str">
        <f>_xlfn.XLOOKUP(Table1[[#This Row],[date]],Table8[date],Table8[id_date])</f>
        <v>TGL0659</v>
      </c>
      <c r="C305" s="1">
        <v>45486</v>
      </c>
      <c r="D305" s="1" t="str">
        <f>_xlfn.XLOOKUP(Table1[[#This Row],[customer_name]],Table11[customer_name],Table11[id_cust])</f>
        <v>CNA0165</v>
      </c>
      <c r="E305" t="s">
        <v>1070</v>
      </c>
      <c r="F305">
        <v>18</v>
      </c>
      <c r="G305" t="str">
        <f>_xlfn.XLOOKUP(Table1[[#This Row],[branch_name]],Table3[branch_name],Table3[id_branch])</f>
        <v>BRCH002</v>
      </c>
      <c r="H305" t="s">
        <v>1214</v>
      </c>
      <c r="I305" t="str">
        <f>_xlfn.XLOOKUP(Table1[[#This Row],[city]],Table4[city],Table4[id_city])</f>
        <v>KOA0103</v>
      </c>
      <c r="J305" t="s">
        <v>1219</v>
      </c>
      <c r="K305" t="str">
        <f>_xlfn.XLOOKUP(Table1[[#This Row],[menu_name]],Table5[menu_name],Table5[id_menu])</f>
        <v>MENU010</v>
      </c>
      <c r="L305" t="s">
        <v>1232</v>
      </c>
      <c r="M305" t="str">
        <f>_xlfn.XLOOKUP(Table1[[#This Row],[category]],Table6[category],Table6[id_category])</f>
        <v>KTG0205</v>
      </c>
      <c r="N305" t="s">
        <v>1233</v>
      </c>
      <c r="O305">
        <v>4</v>
      </c>
      <c r="P305">
        <v>18000</v>
      </c>
      <c r="Q305">
        <v>15</v>
      </c>
      <c r="R305">
        <v>2.7</v>
      </c>
      <c r="S305" t="str">
        <f>_xlfn.XLOOKUP(Table1[[#This Row],[method]],Table7[method],Table7[id_method])</f>
        <v>PAY0710</v>
      </c>
      <c r="T305" t="s">
        <v>1237</v>
      </c>
      <c r="U305">
        <v>61200</v>
      </c>
    </row>
    <row r="306" spans="1:21" x14ac:dyDescent="0.25">
      <c r="A306" t="s">
        <v>318</v>
      </c>
      <c r="B306" t="str">
        <f>_xlfn.XLOOKUP(Table1[[#This Row],[date]],Table8[date],Table8[id_date])</f>
        <v>TGL0659</v>
      </c>
      <c r="C306" s="1">
        <v>45486</v>
      </c>
      <c r="D306" s="1" t="str">
        <f>_xlfn.XLOOKUP(Table1[[#This Row],[customer_name]],Table11[customer_name],Table11[id_cust])</f>
        <v>CNA0315</v>
      </c>
      <c r="E306" t="s">
        <v>1155</v>
      </c>
      <c r="F306">
        <v>51</v>
      </c>
      <c r="G306" t="str">
        <f>_xlfn.XLOOKUP(Table1[[#This Row],[branch_name]],Table3[branch_name],Table3[id_branch])</f>
        <v>BRCH003</v>
      </c>
      <c r="H306" t="s">
        <v>1215</v>
      </c>
      <c r="I306" t="str">
        <f>_xlfn.XLOOKUP(Table1[[#This Row],[city]],Table4[city],Table4[id_city])</f>
        <v>KOA0104</v>
      </c>
      <c r="J306" t="s">
        <v>1220</v>
      </c>
      <c r="K306" t="str">
        <f>_xlfn.XLOOKUP(Table1[[#This Row],[menu_name]],Table5[menu_name],Table5[id_menu])</f>
        <v>MENU008</v>
      </c>
      <c r="L306" t="s">
        <v>1230</v>
      </c>
      <c r="M306" t="str">
        <f>_xlfn.XLOOKUP(Table1[[#This Row],[category]],Table6[category],Table6[id_category])</f>
        <v>KTG0205</v>
      </c>
      <c r="N306" t="s">
        <v>1233</v>
      </c>
      <c r="O306">
        <v>1</v>
      </c>
      <c r="P306">
        <v>20000</v>
      </c>
      <c r="Q306">
        <v>5</v>
      </c>
      <c r="R306">
        <v>4.5999999999999996</v>
      </c>
      <c r="S306" t="str">
        <f>_xlfn.XLOOKUP(Table1[[#This Row],[method]],Table7[method],Table7[id_method])</f>
        <v>PAY0712</v>
      </c>
      <c r="T306" t="s">
        <v>1239</v>
      </c>
      <c r="U306">
        <v>19000</v>
      </c>
    </row>
    <row r="307" spans="1:21" x14ac:dyDescent="0.25">
      <c r="A307" t="s">
        <v>319</v>
      </c>
      <c r="B307" t="str">
        <f>_xlfn.XLOOKUP(Table1[[#This Row],[date]],Table8[date],Table8[id_date])</f>
        <v>TGL0659</v>
      </c>
      <c r="C307" s="1">
        <v>45486</v>
      </c>
      <c r="D307" s="1" t="str">
        <f>_xlfn.XLOOKUP(Table1[[#This Row],[customer_name]],Table11[customer_name],Table11[id_cust])</f>
        <v>CNA0239</v>
      </c>
      <c r="E307" t="s">
        <v>1121</v>
      </c>
      <c r="F307">
        <v>23</v>
      </c>
      <c r="G307" t="str">
        <f>_xlfn.XLOOKUP(Table1[[#This Row],[branch_name]],Table3[branch_name],Table3[id_branch])</f>
        <v>BRCH004</v>
      </c>
      <c r="H307" t="s">
        <v>1216</v>
      </c>
      <c r="I307" t="str">
        <f>_xlfn.XLOOKUP(Table1[[#This Row],[city]],Table4[city],Table4[id_city])</f>
        <v>KOA0105</v>
      </c>
      <c r="J307" t="s">
        <v>1221</v>
      </c>
      <c r="K307" t="str">
        <f>_xlfn.XLOOKUP(Table1[[#This Row],[menu_name]],Table5[menu_name],Table5[id_menu])</f>
        <v>MENU003</v>
      </c>
      <c r="L307" t="s">
        <v>1225</v>
      </c>
      <c r="M307" t="str">
        <f>_xlfn.XLOOKUP(Table1[[#This Row],[category]],Table6[category],Table6[id_category])</f>
        <v>KTG0205</v>
      </c>
      <c r="N307" t="s">
        <v>1233</v>
      </c>
      <c r="O307">
        <v>2</v>
      </c>
      <c r="P307">
        <v>22000</v>
      </c>
      <c r="Q307">
        <v>0</v>
      </c>
      <c r="R307">
        <v>4.3</v>
      </c>
      <c r="S307" t="str">
        <f>_xlfn.XLOOKUP(Table1[[#This Row],[method]],Table7[method],Table7[id_method])</f>
        <v>PAY0711</v>
      </c>
      <c r="T307" t="s">
        <v>1238</v>
      </c>
      <c r="U307">
        <v>44000</v>
      </c>
    </row>
    <row r="308" spans="1:21" x14ac:dyDescent="0.25">
      <c r="A308" t="s">
        <v>320</v>
      </c>
      <c r="B308" t="str">
        <f>_xlfn.XLOOKUP(Table1[[#This Row],[date]],Table8[date],Table8[id_date])</f>
        <v>TGL0660</v>
      </c>
      <c r="C308" s="1">
        <v>45487</v>
      </c>
      <c r="D308" s="1" t="str">
        <f>_xlfn.XLOOKUP(Table1[[#This Row],[customer_name]],Table11[customer_name],Table11[id_cust])</f>
        <v>CNA0164</v>
      </c>
      <c r="E308" t="s">
        <v>1069</v>
      </c>
      <c r="F308">
        <v>48</v>
      </c>
      <c r="G308" t="str">
        <f>_xlfn.XLOOKUP(Table1[[#This Row],[branch_name]],Table3[branch_name],Table3[id_branch])</f>
        <v>BRCH005</v>
      </c>
      <c r="H308" t="s">
        <v>1217</v>
      </c>
      <c r="I308" t="str">
        <f>_xlfn.XLOOKUP(Table1[[#This Row],[city]],Table4[city],Table4[id_city])</f>
        <v>KOA0106</v>
      </c>
      <c r="J308" t="s">
        <v>1222</v>
      </c>
      <c r="K308" t="str">
        <f>_xlfn.XLOOKUP(Table1[[#This Row],[menu_name]],Table5[menu_name],Table5[id_menu])</f>
        <v>MENU004</v>
      </c>
      <c r="L308" t="s">
        <v>1226</v>
      </c>
      <c r="M308" t="str">
        <f>_xlfn.XLOOKUP(Table1[[#This Row],[category]],Table6[category],Table6[id_category])</f>
        <v>KTG0207</v>
      </c>
      <c r="N308" t="s">
        <v>1235</v>
      </c>
      <c r="O308">
        <v>1</v>
      </c>
      <c r="P308">
        <v>28000</v>
      </c>
      <c r="Q308">
        <v>5</v>
      </c>
      <c r="R308">
        <v>3.1</v>
      </c>
      <c r="S308" t="str">
        <f>_xlfn.XLOOKUP(Table1[[#This Row],[method]],Table7[method],Table7[id_method])</f>
        <v>PAY0712</v>
      </c>
      <c r="T308" t="s">
        <v>1239</v>
      </c>
      <c r="U308">
        <v>26600</v>
      </c>
    </row>
    <row r="309" spans="1:21" x14ac:dyDescent="0.25">
      <c r="A309" t="s">
        <v>321</v>
      </c>
      <c r="B309" t="str">
        <f>_xlfn.XLOOKUP(Table1[[#This Row],[date]],Table8[date],Table8[id_date])</f>
        <v>TGL0660</v>
      </c>
      <c r="C309" s="1">
        <v>45487</v>
      </c>
      <c r="D309" s="1" t="str">
        <f>_xlfn.XLOOKUP(Table1[[#This Row],[customer_name]],Table11[customer_name],Table11[id_cust])</f>
        <v>CNA0137</v>
      </c>
      <c r="E309" t="s">
        <v>1048</v>
      </c>
      <c r="F309">
        <v>32</v>
      </c>
      <c r="G309" t="str">
        <f>_xlfn.XLOOKUP(Table1[[#This Row],[branch_name]],Table3[branch_name],Table3[id_branch])</f>
        <v>BRCH005</v>
      </c>
      <c r="H309" t="s">
        <v>1217</v>
      </c>
      <c r="I309" t="str">
        <f>_xlfn.XLOOKUP(Table1[[#This Row],[city]],Table4[city],Table4[id_city])</f>
        <v>KOA0106</v>
      </c>
      <c r="J309" t="s">
        <v>1222</v>
      </c>
      <c r="K309" t="str">
        <f>_xlfn.XLOOKUP(Table1[[#This Row],[menu_name]],Table5[menu_name],Table5[id_menu])</f>
        <v>MENU006</v>
      </c>
      <c r="L309" t="s">
        <v>1228</v>
      </c>
      <c r="M309" t="str">
        <f>_xlfn.XLOOKUP(Table1[[#This Row],[category]],Table6[category],Table6[id_category])</f>
        <v>KTG0206</v>
      </c>
      <c r="N309" t="s">
        <v>1234</v>
      </c>
      <c r="O309">
        <v>1</v>
      </c>
      <c r="P309">
        <v>32000</v>
      </c>
      <c r="Q309">
        <v>15</v>
      </c>
      <c r="R309">
        <v>1.3</v>
      </c>
      <c r="S309" t="str">
        <f>_xlfn.XLOOKUP(Table1[[#This Row],[method]],Table7[method],Table7[id_method])</f>
        <v>PAY0712</v>
      </c>
      <c r="T309" t="s">
        <v>1239</v>
      </c>
      <c r="U309">
        <v>27200</v>
      </c>
    </row>
    <row r="310" spans="1:21" x14ac:dyDescent="0.25">
      <c r="A310" t="s">
        <v>322</v>
      </c>
      <c r="B310" t="str">
        <f>_xlfn.XLOOKUP(Table1[[#This Row],[date]],Table8[date],Table8[id_date])</f>
        <v>TGL0660</v>
      </c>
      <c r="C310" s="1">
        <v>45487</v>
      </c>
      <c r="D310" s="1" t="str">
        <f>_xlfn.XLOOKUP(Table1[[#This Row],[customer_name]],Table11[customer_name],Table11[id_cust])</f>
        <v>CNA0278</v>
      </c>
      <c r="E310" t="s">
        <v>1139</v>
      </c>
      <c r="F310">
        <v>32</v>
      </c>
      <c r="G310" t="str">
        <f>_xlfn.XLOOKUP(Table1[[#This Row],[branch_name]],Table3[branch_name],Table3[id_branch])</f>
        <v>BRCH005</v>
      </c>
      <c r="H310" t="s">
        <v>1217</v>
      </c>
      <c r="I310" t="str">
        <f>_xlfn.XLOOKUP(Table1[[#This Row],[city]],Table4[city],Table4[id_city])</f>
        <v>KOA0106</v>
      </c>
      <c r="J310" t="s">
        <v>1222</v>
      </c>
      <c r="K310" t="str">
        <f>_xlfn.XLOOKUP(Table1[[#This Row],[menu_name]],Table5[menu_name],Table5[id_menu])</f>
        <v>MENU002</v>
      </c>
      <c r="L310" t="s">
        <v>1224</v>
      </c>
      <c r="M310" t="str">
        <f>_xlfn.XLOOKUP(Table1[[#This Row],[category]],Table6[category],Table6[id_category])</f>
        <v>KTG0206</v>
      </c>
      <c r="N310" t="s">
        <v>1234</v>
      </c>
      <c r="O310">
        <v>4</v>
      </c>
      <c r="P310">
        <v>30000</v>
      </c>
      <c r="Q310">
        <v>0</v>
      </c>
      <c r="R310">
        <v>2.6</v>
      </c>
      <c r="S310" t="str">
        <f>_xlfn.XLOOKUP(Table1[[#This Row],[method]],Table7[method],Table7[id_method])</f>
        <v>PAY0709</v>
      </c>
      <c r="T310" t="s">
        <v>1236</v>
      </c>
      <c r="U310">
        <v>120000</v>
      </c>
    </row>
    <row r="311" spans="1:21" x14ac:dyDescent="0.25">
      <c r="A311" t="s">
        <v>323</v>
      </c>
      <c r="B311" t="str">
        <f>_xlfn.XLOOKUP(Table1[[#This Row],[date]],Table8[date],Table8[id_date])</f>
        <v>TGL0661</v>
      </c>
      <c r="C311" s="1">
        <v>45489</v>
      </c>
      <c r="D311" s="1" t="str">
        <f>_xlfn.XLOOKUP(Table1[[#This Row],[customer_name]],Table11[customer_name],Table11[id_cust])</f>
        <v>CNA0410</v>
      </c>
      <c r="E311" t="s">
        <v>1174</v>
      </c>
      <c r="F311">
        <v>18</v>
      </c>
      <c r="G311" t="str">
        <f>_xlfn.XLOOKUP(Table1[[#This Row],[branch_name]],Table3[branch_name],Table3[id_branch])</f>
        <v>BRCH003</v>
      </c>
      <c r="H311" t="s">
        <v>1215</v>
      </c>
      <c r="I311" t="str">
        <f>_xlfn.XLOOKUP(Table1[[#This Row],[city]],Table4[city],Table4[id_city])</f>
        <v>KOA0104</v>
      </c>
      <c r="J311" t="s">
        <v>1220</v>
      </c>
      <c r="K311" t="str">
        <f>_xlfn.XLOOKUP(Table1[[#This Row],[menu_name]],Table5[menu_name],Table5[id_menu])</f>
        <v>MENU006</v>
      </c>
      <c r="L311" t="s">
        <v>1228</v>
      </c>
      <c r="M311" t="str">
        <f>_xlfn.XLOOKUP(Table1[[#This Row],[category]],Table6[category],Table6[id_category])</f>
        <v>KTG0206</v>
      </c>
      <c r="N311" t="s">
        <v>1234</v>
      </c>
      <c r="O311">
        <v>1</v>
      </c>
      <c r="P311">
        <v>32000</v>
      </c>
      <c r="Q311">
        <v>0</v>
      </c>
      <c r="R311">
        <v>4.5</v>
      </c>
      <c r="S311" t="str">
        <f>_xlfn.XLOOKUP(Table1[[#This Row],[method]],Table7[method],Table7[id_method])</f>
        <v>PAY0711</v>
      </c>
      <c r="T311" t="s">
        <v>1238</v>
      </c>
      <c r="U311">
        <v>32000</v>
      </c>
    </row>
    <row r="312" spans="1:21" x14ac:dyDescent="0.25">
      <c r="A312" t="s">
        <v>324</v>
      </c>
      <c r="B312" t="str">
        <f>_xlfn.XLOOKUP(Table1[[#This Row],[date]],Table8[date],Table8[id_date])</f>
        <v>TGL0662</v>
      </c>
      <c r="C312" s="1">
        <v>45492</v>
      </c>
      <c r="D312" s="1" t="str">
        <f>_xlfn.XLOOKUP(Table1[[#This Row],[customer_name]],Table11[customer_name],Table11[id_cust])</f>
        <v>CNA0411</v>
      </c>
      <c r="E312" t="s">
        <v>1175</v>
      </c>
      <c r="F312">
        <v>52</v>
      </c>
      <c r="G312" t="str">
        <f>_xlfn.XLOOKUP(Table1[[#This Row],[branch_name]],Table3[branch_name],Table3[id_branch])</f>
        <v>BRCH005</v>
      </c>
      <c r="H312" t="s">
        <v>1217</v>
      </c>
      <c r="I312" t="str">
        <f>_xlfn.XLOOKUP(Table1[[#This Row],[city]],Table4[city],Table4[id_city])</f>
        <v>KOA0106</v>
      </c>
      <c r="J312" t="s">
        <v>1222</v>
      </c>
      <c r="K312" t="str">
        <f>_xlfn.XLOOKUP(Table1[[#This Row],[menu_name]],Table5[menu_name],Table5[id_menu])</f>
        <v>MENU010</v>
      </c>
      <c r="L312" t="s">
        <v>1232</v>
      </c>
      <c r="M312" t="str">
        <f>_xlfn.XLOOKUP(Table1[[#This Row],[category]],Table6[category],Table6[id_category])</f>
        <v>KTG0205</v>
      </c>
      <c r="N312" t="s">
        <v>1233</v>
      </c>
      <c r="O312">
        <v>1</v>
      </c>
      <c r="P312">
        <v>18000</v>
      </c>
      <c r="Q312">
        <v>0</v>
      </c>
      <c r="R312">
        <v>4.0999999999999996</v>
      </c>
      <c r="S312" t="str">
        <f>_xlfn.XLOOKUP(Table1[[#This Row],[method]],Table7[method],Table7[id_method])</f>
        <v>PAY0712</v>
      </c>
      <c r="T312" t="s">
        <v>1239</v>
      </c>
      <c r="U312">
        <v>18000</v>
      </c>
    </row>
    <row r="313" spans="1:21" x14ac:dyDescent="0.25">
      <c r="A313" t="s">
        <v>325</v>
      </c>
      <c r="B313" t="str">
        <f>_xlfn.XLOOKUP(Table1[[#This Row],[date]],Table8[date],Table8[id_date])</f>
        <v>TGL0663</v>
      </c>
      <c r="C313" s="1">
        <v>45493</v>
      </c>
      <c r="D313" s="1" t="str">
        <f>_xlfn.XLOOKUP(Table1[[#This Row],[customer_name]],Table11[customer_name],Table11[id_cust])</f>
        <v>CNA0235</v>
      </c>
      <c r="E313" t="s">
        <v>1119</v>
      </c>
      <c r="F313">
        <v>44</v>
      </c>
      <c r="G313" t="str">
        <f>_xlfn.XLOOKUP(Table1[[#This Row],[branch_name]],Table3[branch_name],Table3[id_branch])</f>
        <v>BRCH002</v>
      </c>
      <c r="H313" t="s">
        <v>1214</v>
      </c>
      <c r="I313" t="str">
        <f>_xlfn.XLOOKUP(Table1[[#This Row],[city]],Table4[city],Table4[id_city])</f>
        <v>KOA0103</v>
      </c>
      <c r="J313" t="s">
        <v>1219</v>
      </c>
      <c r="K313" t="str">
        <f>_xlfn.XLOOKUP(Table1[[#This Row],[menu_name]],Table5[menu_name],Table5[id_menu])</f>
        <v>MENU008</v>
      </c>
      <c r="L313" t="s">
        <v>1230</v>
      </c>
      <c r="M313" t="str">
        <f>_xlfn.XLOOKUP(Table1[[#This Row],[category]],Table6[category],Table6[id_category])</f>
        <v>KTG0205</v>
      </c>
      <c r="N313" t="s">
        <v>1233</v>
      </c>
      <c r="O313">
        <v>5</v>
      </c>
      <c r="P313">
        <v>20000</v>
      </c>
      <c r="Q313">
        <v>10</v>
      </c>
      <c r="R313">
        <v>3.1</v>
      </c>
      <c r="S313" t="str">
        <f>_xlfn.XLOOKUP(Table1[[#This Row],[method]],Table7[method],Table7[id_method])</f>
        <v>PAY0711</v>
      </c>
      <c r="T313" t="s">
        <v>1238</v>
      </c>
      <c r="U313">
        <v>90000</v>
      </c>
    </row>
    <row r="314" spans="1:21" x14ac:dyDescent="0.25">
      <c r="A314" t="s">
        <v>326</v>
      </c>
      <c r="B314" t="str">
        <f>_xlfn.XLOOKUP(Table1[[#This Row],[date]],Table8[date],Table8[id_date])</f>
        <v>TGL0664</v>
      </c>
      <c r="C314" s="1">
        <v>45494</v>
      </c>
      <c r="D314" s="1" t="str">
        <f>_xlfn.XLOOKUP(Table1[[#This Row],[customer_name]],Table11[customer_name],Table11[id_cust])</f>
        <v>CNA0233</v>
      </c>
      <c r="E314" t="s">
        <v>1117</v>
      </c>
      <c r="F314">
        <v>18</v>
      </c>
      <c r="G314" t="str">
        <f>_xlfn.XLOOKUP(Table1[[#This Row],[branch_name]],Table3[branch_name],Table3[id_branch])</f>
        <v>BRCH003</v>
      </c>
      <c r="H314" t="s">
        <v>1215</v>
      </c>
      <c r="I314" t="str">
        <f>_xlfn.XLOOKUP(Table1[[#This Row],[city]],Table4[city],Table4[id_city])</f>
        <v>KOA0104</v>
      </c>
      <c r="J314" t="s">
        <v>1220</v>
      </c>
      <c r="K314" t="str">
        <f>_xlfn.XLOOKUP(Table1[[#This Row],[menu_name]],Table5[menu_name],Table5[id_menu])</f>
        <v>MENU005</v>
      </c>
      <c r="L314" t="s">
        <v>1227</v>
      </c>
      <c r="M314" t="str">
        <f>_xlfn.XLOOKUP(Table1[[#This Row],[category]],Table6[category],Table6[id_category])</f>
        <v>KTG0206</v>
      </c>
      <c r="N314" t="s">
        <v>1234</v>
      </c>
      <c r="O314">
        <v>3</v>
      </c>
      <c r="P314">
        <v>23000</v>
      </c>
      <c r="Q314">
        <v>15</v>
      </c>
      <c r="R314">
        <v>1.7</v>
      </c>
      <c r="S314" t="str">
        <f>_xlfn.XLOOKUP(Table1[[#This Row],[method]],Table7[method],Table7[id_method])</f>
        <v>PAY0712</v>
      </c>
      <c r="T314" t="s">
        <v>1239</v>
      </c>
      <c r="U314">
        <v>58650</v>
      </c>
    </row>
    <row r="315" spans="1:21" x14ac:dyDescent="0.25">
      <c r="A315" t="s">
        <v>327</v>
      </c>
      <c r="B315" t="str">
        <f>_xlfn.XLOOKUP(Table1[[#This Row],[date]],Table8[date],Table8[id_date])</f>
        <v>TGL0665</v>
      </c>
      <c r="C315" s="1">
        <v>45495</v>
      </c>
      <c r="D315" s="1" t="str">
        <f>_xlfn.XLOOKUP(Table1[[#This Row],[customer_name]],Table11[customer_name],Table11[id_cust])</f>
        <v>CNA0414</v>
      </c>
      <c r="E315" t="s">
        <v>1176</v>
      </c>
      <c r="F315">
        <v>46</v>
      </c>
      <c r="G315" t="str">
        <f>_xlfn.XLOOKUP(Table1[[#This Row],[branch_name]],Table3[branch_name],Table3[id_branch])</f>
        <v>BRCH005</v>
      </c>
      <c r="H315" t="s">
        <v>1217</v>
      </c>
      <c r="I315" t="str">
        <f>_xlfn.XLOOKUP(Table1[[#This Row],[city]],Table4[city],Table4[id_city])</f>
        <v>KOA0106</v>
      </c>
      <c r="J315" t="s">
        <v>1222</v>
      </c>
      <c r="K315" t="str">
        <f>_xlfn.XLOOKUP(Table1[[#This Row],[menu_name]],Table5[menu_name],Table5[id_menu])</f>
        <v>MENU006</v>
      </c>
      <c r="L315" t="s">
        <v>1228</v>
      </c>
      <c r="M315" t="str">
        <f>_xlfn.XLOOKUP(Table1[[#This Row],[category]],Table6[category],Table6[id_category])</f>
        <v>KTG0206</v>
      </c>
      <c r="N315" t="s">
        <v>1234</v>
      </c>
      <c r="O315">
        <v>2</v>
      </c>
      <c r="P315">
        <v>32000</v>
      </c>
      <c r="Q315">
        <v>0</v>
      </c>
      <c r="R315">
        <v>4.3</v>
      </c>
      <c r="S315" t="str">
        <f>_xlfn.XLOOKUP(Table1[[#This Row],[method]],Table7[method],Table7[id_method])</f>
        <v>PAY0710</v>
      </c>
      <c r="T315" t="s">
        <v>1237</v>
      </c>
      <c r="U315">
        <v>64000</v>
      </c>
    </row>
    <row r="316" spans="1:21" x14ac:dyDescent="0.25">
      <c r="A316" t="s">
        <v>328</v>
      </c>
      <c r="B316" t="str">
        <f>_xlfn.XLOOKUP(Table1[[#This Row],[date]],Table8[date],Table8[id_date])</f>
        <v>TGL0666</v>
      </c>
      <c r="C316" s="1">
        <v>45496</v>
      </c>
      <c r="D316" s="1" t="str">
        <f>_xlfn.XLOOKUP(Table1[[#This Row],[customer_name]],Table11[customer_name],Table11[id_cust])</f>
        <v>CNA0205</v>
      </c>
      <c r="E316" t="s">
        <v>1100</v>
      </c>
      <c r="F316">
        <v>17</v>
      </c>
      <c r="G316" t="str">
        <f>_xlfn.XLOOKUP(Table1[[#This Row],[branch_name]],Table3[branch_name],Table3[id_branch])</f>
        <v>BRCH001</v>
      </c>
      <c r="H316" t="s">
        <v>1213</v>
      </c>
      <c r="I316" t="str">
        <f>_xlfn.XLOOKUP(Table1[[#This Row],[city]],Table4[city],Table4[id_city])</f>
        <v>KOA0102</v>
      </c>
      <c r="J316" t="s">
        <v>1218</v>
      </c>
      <c r="K316" t="str">
        <f>_xlfn.XLOOKUP(Table1[[#This Row],[menu_name]],Table5[menu_name],Table5[id_menu])</f>
        <v>MENU007</v>
      </c>
      <c r="L316" t="s">
        <v>1229</v>
      </c>
      <c r="M316" t="str">
        <f>_xlfn.XLOOKUP(Table1[[#This Row],[category]],Table6[category],Table6[id_category])</f>
        <v>KTG0207</v>
      </c>
      <c r="N316" t="s">
        <v>1235</v>
      </c>
      <c r="O316">
        <v>3</v>
      </c>
      <c r="P316">
        <v>27000</v>
      </c>
      <c r="Q316">
        <v>10</v>
      </c>
      <c r="R316">
        <v>3</v>
      </c>
      <c r="S316" t="str">
        <f>_xlfn.XLOOKUP(Table1[[#This Row],[method]],Table7[method],Table7[id_method])</f>
        <v>PAY0709</v>
      </c>
      <c r="T316" t="s">
        <v>1236</v>
      </c>
      <c r="U316">
        <v>72900</v>
      </c>
    </row>
    <row r="317" spans="1:21" x14ac:dyDescent="0.25">
      <c r="A317" t="s">
        <v>329</v>
      </c>
      <c r="B317" t="str">
        <f>_xlfn.XLOOKUP(Table1[[#This Row],[date]],Table8[date],Table8[id_date])</f>
        <v>TGL0667</v>
      </c>
      <c r="C317" s="1">
        <v>45498</v>
      </c>
      <c r="D317" s="1" t="str">
        <f>_xlfn.XLOOKUP(Table1[[#This Row],[customer_name]],Table11[customer_name],Table11[id_cust])</f>
        <v>CNA0287</v>
      </c>
      <c r="E317" t="s">
        <v>1142</v>
      </c>
      <c r="F317">
        <v>31</v>
      </c>
      <c r="G317" t="str">
        <f>_xlfn.XLOOKUP(Table1[[#This Row],[branch_name]],Table3[branch_name],Table3[id_branch])</f>
        <v>BRCH003</v>
      </c>
      <c r="H317" t="s">
        <v>1215</v>
      </c>
      <c r="I317" t="str">
        <f>_xlfn.XLOOKUP(Table1[[#This Row],[city]],Table4[city],Table4[id_city])</f>
        <v>KOA0104</v>
      </c>
      <c r="J317" t="s">
        <v>1220</v>
      </c>
      <c r="K317" t="str">
        <f>_xlfn.XLOOKUP(Table1[[#This Row],[menu_name]],Table5[menu_name],Table5[id_menu])</f>
        <v>MENU006</v>
      </c>
      <c r="L317" t="s">
        <v>1228</v>
      </c>
      <c r="M317" t="str">
        <f>_xlfn.XLOOKUP(Table1[[#This Row],[category]],Table6[category],Table6[id_category])</f>
        <v>KTG0206</v>
      </c>
      <c r="N317" t="s">
        <v>1234</v>
      </c>
      <c r="O317">
        <v>2</v>
      </c>
      <c r="P317">
        <v>32000</v>
      </c>
      <c r="Q317">
        <v>0</v>
      </c>
      <c r="R317">
        <v>3.9</v>
      </c>
      <c r="S317" t="str">
        <f>_xlfn.XLOOKUP(Table1[[#This Row],[method]],Table7[method],Table7[id_method])</f>
        <v>PAY0711</v>
      </c>
      <c r="T317" t="s">
        <v>1238</v>
      </c>
      <c r="U317">
        <v>64000</v>
      </c>
    </row>
    <row r="318" spans="1:21" x14ac:dyDescent="0.25">
      <c r="A318" t="s">
        <v>330</v>
      </c>
      <c r="B318" t="str">
        <f>_xlfn.XLOOKUP(Table1[[#This Row],[date]],Table8[date],Table8[id_date])</f>
        <v>TGL0668</v>
      </c>
      <c r="C318" s="1">
        <v>45499</v>
      </c>
      <c r="D318" s="1" t="str">
        <f>_xlfn.XLOOKUP(Table1[[#This Row],[customer_name]],Table11[customer_name],Table11[id_cust])</f>
        <v>CNA0269</v>
      </c>
      <c r="E318" t="s">
        <v>1134</v>
      </c>
      <c r="F318">
        <v>34</v>
      </c>
      <c r="G318" t="str">
        <f>_xlfn.XLOOKUP(Table1[[#This Row],[branch_name]],Table3[branch_name],Table3[id_branch])</f>
        <v>BRCH002</v>
      </c>
      <c r="H318" t="s">
        <v>1214</v>
      </c>
      <c r="I318" t="str">
        <f>_xlfn.XLOOKUP(Table1[[#This Row],[city]],Table4[city],Table4[id_city])</f>
        <v>KOA0103</v>
      </c>
      <c r="J318" t="s">
        <v>1219</v>
      </c>
      <c r="K318" t="str">
        <f>_xlfn.XLOOKUP(Table1[[#This Row],[menu_name]],Table5[menu_name],Table5[id_menu])</f>
        <v>MENU009</v>
      </c>
      <c r="L318" t="s">
        <v>1231</v>
      </c>
      <c r="M318" t="str">
        <f>_xlfn.XLOOKUP(Table1[[#This Row],[category]],Table6[category],Table6[id_category])</f>
        <v>KTG0206</v>
      </c>
      <c r="N318" t="s">
        <v>1234</v>
      </c>
      <c r="O318">
        <v>5</v>
      </c>
      <c r="P318">
        <v>18000</v>
      </c>
      <c r="Q318">
        <v>20</v>
      </c>
      <c r="R318">
        <v>1.7</v>
      </c>
      <c r="S318" t="str">
        <f>_xlfn.XLOOKUP(Table1[[#This Row],[method]],Table7[method],Table7[id_method])</f>
        <v>PAY0710</v>
      </c>
      <c r="T318" t="s">
        <v>1237</v>
      </c>
      <c r="U318">
        <v>72000</v>
      </c>
    </row>
    <row r="319" spans="1:21" x14ac:dyDescent="0.25">
      <c r="A319" t="s">
        <v>331</v>
      </c>
      <c r="B319" t="str">
        <f>_xlfn.XLOOKUP(Table1[[#This Row],[date]],Table8[date],Table8[id_date])</f>
        <v>TGL0669</v>
      </c>
      <c r="C319" s="1">
        <v>45501</v>
      </c>
      <c r="D319" s="1" t="str">
        <f>_xlfn.XLOOKUP(Table1[[#This Row],[customer_name]],Table11[customer_name],Table11[id_cust])</f>
        <v>CNA0201</v>
      </c>
      <c r="E319" t="s">
        <v>1096</v>
      </c>
      <c r="F319">
        <v>23</v>
      </c>
      <c r="G319" t="str">
        <f>_xlfn.XLOOKUP(Table1[[#This Row],[branch_name]],Table3[branch_name],Table3[id_branch])</f>
        <v>BRCH004</v>
      </c>
      <c r="H319" t="s">
        <v>1216</v>
      </c>
      <c r="I319" t="str">
        <f>_xlfn.XLOOKUP(Table1[[#This Row],[city]],Table4[city],Table4[id_city])</f>
        <v>KOA0105</v>
      </c>
      <c r="J319" t="s">
        <v>1221</v>
      </c>
      <c r="K319" t="str">
        <f>_xlfn.XLOOKUP(Table1[[#This Row],[menu_name]],Table5[menu_name],Table5[id_menu])</f>
        <v>MENU007</v>
      </c>
      <c r="L319" t="s">
        <v>1229</v>
      </c>
      <c r="M319" t="str">
        <f>_xlfn.XLOOKUP(Table1[[#This Row],[category]],Table6[category],Table6[id_category])</f>
        <v>KTG0207</v>
      </c>
      <c r="N319" t="s">
        <v>1235</v>
      </c>
      <c r="O319">
        <v>5</v>
      </c>
      <c r="P319">
        <v>27000</v>
      </c>
      <c r="Q319">
        <v>10</v>
      </c>
      <c r="R319">
        <v>2.8</v>
      </c>
      <c r="S319" t="str">
        <f>_xlfn.XLOOKUP(Table1[[#This Row],[method]],Table7[method],Table7[id_method])</f>
        <v>PAY0711</v>
      </c>
      <c r="T319" t="s">
        <v>1238</v>
      </c>
      <c r="U319">
        <v>121500</v>
      </c>
    </row>
    <row r="320" spans="1:21" x14ac:dyDescent="0.25">
      <c r="A320" t="s">
        <v>332</v>
      </c>
      <c r="B320" t="str">
        <f>_xlfn.XLOOKUP(Table1[[#This Row],[date]],Table8[date],Table8[id_date])</f>
        <v>TGL0669</v>
      </c>
      <c r="C320" s="1">
        <v>45501</v>
      </c>
      <c r="D320" s="1" t="str">
        <f>_xlfn.XLOOKUP(Table1[[#This Row],[customer_name]],Table11[customer_name],Table11[id_cust])</f>
        <v>CNA0205</v>
      </c>
      <c r="E320" t="s">
        <v>1100</v>
      </c>
      <c r="F320">
        <v>17</v>
      </c>
      <c r="G320" t="str">
        <f>_xlfn.XLOOKUP(Table1[[#This Row],[branch_name]],Table3[branch_name],Table3[id_branch])</f>
        <v>BRCH003</v>
      </c>
      <c r="H320" t="s">
        <v>1215</v>
      </c>
      <c r="I320" t="str">
        <f>_xlfn.XLOOKUP(Table1[[#This Row],[city]],Table4[city],Table4[id_city])</f>
        <v>KOA0104</v>
      </c>
      <c r="J320" t="s">
        <v>1220</v>
      </c>
      <c r="K320" t="str">
        <f>_xlfn.XLOOKUP(Table1[[#This Row],[menu_name]],Table5[menu_name],Table5[id_menu])</f>
        <v>MENU008</v>
      </c>
      <c r="L320" t="s">
        <v>1230</v>
      </c>
      <c r="M320" t="str">
        <f>_xlfn.XLOOKUP(Table1[[#This Row],[category]],Table6[category],Table6[id_category])</f>
        <v>KTG0205</v>
      </c>
      <c r="N320" t="s">
        <v>1233</v>
      </c>
      <c r="O320">
        <v>1</v>
      </c>
      <c r="P320">
        <v>20000</v>
      </c>
      <c r="Q320">
        <v>5</v>
      </c>
      <c r="R320">
        <v>3.3</v>
      </c>
      <c r="S320" t="str">
        <f>_xlfn.XLOOKUP(Table1[[#This Row],[method]],Table7[method],Table7[id_method])</f>
        <v>PAY0710</v>
      </c>
      <c r="T320" t="s">
        <v>1237</v>
      </c>
      <c r="U320">
        <v>19000</v>
      </c>
    </row>
    <row r="321" spans="1:21" x14ac:dyDescent="0.25">
      <c r="A321" t="s">
        <v>333</v>
      </c>
      <c r="B321" t="str">
        <f>_xlfn.XLOOKUP(Table1[[#This Row],[date]],Table8[date],Table8[id_date])</f>
        <v>TGL0670</v>
      </c>
      <c r="C321" s="1">
        <v>45503</v>
      </c>
      <c r="D321" s="1" t="str">
        <f>_xlfn.XLOOKUP(Table1[[#This Row],[customer_name]],Table11[customer_name],Table11[id_cust])</f>
        <v>CNA0420</v>
      </c>
      <c r="E321" t="s">
        <v>1177</v>
      </c>
      <c r="F321">
        <v>44</v>
      </c>
      <c r="G321" t="str">
        <f>_xlfn.XLOOKUP(Table1[[#This Row],[branch_name]],Table3[branch_name],Table3[id_branch])</f>
        <v>BRCH002</v>
      </c>
      <c r="H321" t="s">
        <v>1214</v>
      </c>
      <c r="I321" t="str">
        <f>_xlfn.XLOOKUP(Table1[[#This Row],[city]],Table4[city],Table4[id_city])</f>
        <v>KOA0103</v>
      </c>
      <c r="J321" t="s">
        <v>1219</v>
      </c>
      <c r="K321" t="str">
        <f>_xlfn.XLOOKUP(Table1[[#This Row],[menu_name]],Table5[menu_name],Table5[id_menu])</f>
        <v>MENU004</v>
      </c>
      <c r="L321" t="s">
        <v>1226</v>
      </c>
      <c r="M321" t="str">
        <f>_xlfn.XLOOKUP(Table1[[#This Row],[category]],Table6[category],Table6[id_category])</f>
        <v>KTG0207</v>
      </c>
      <c r="N321" t="s">
        <v>1235</v>
      </c>
      <c r="O321">
        <v>4</v>
      </c>
      <c r="P321">
        <v>28000</v>
      </c>
      <c r="Q321">
        <v>20</v>
      </c>
      <c r="R321">
        <v>2</v>
      </c>
      <c r="S321" t="str">
        <f>_xlfn.XLOOKUP(Table1[[#This Row],[method]],Table7[method],Table7[id_method])</f>
        <v>PAY0711</v>
      </c>
      <c r="T321" t="s">
        <v>1238</v>
      </c>
      <c r="U321">
        <v>89600</v>
      </c>
    </row>
    <row r="322" spans="1:21" x14ac:dyDescent="0.25">
      <c r="A322" t="s">
        <v>334</v>
      </c>
      <c r="B322" t="str">
        <f>_xlfn.XLOOKUP(Table1[[#This Row],[date]],Table8[date],Table8[id_date])</f>
        <v>TGL0671</v>
      </c>
      <c r="C322" s="1">
        <v>45504</v>
      </c>
      <c r="D322" s="1" t="str">
        <f>_xlfn.XLOOKUP(Table1[[#This Row],[customer_name]],Table11[customer_name],Table11[id_cust])</f>
        <v>CNA0188</v>
      </c>
      <c r="E322" t="s">
        <v>1090</v>
      </c>
      <c r="F322">
        <v>19</v>
      </c>
      <c r="G322" t="str">
        <f>_xlfn.XLOOKUP(Table1[[#This Row],[branch_name]],Table3[branch_name],Table3[id_branch])</f>
        <v>BRCH005</v>
      </c>
      <c r="H322" t="s">
        <v>1217</v>
      </c>
      <c r="I322" t="str">
        <f>_xlfn.XLOOKUP(Table1[[#This Row],[city]],Table4[city],Table4[id_city])</f>
        <v>KOA0106</v>
      </c>
      <c r="J322" t="s">
        <v>1222</v>
      </c>
      <c r="K322" t="str">
        <f>_xlfn.XLOOKUP(Table1[[#This Row],[menu_name]],Table5[menu_name],Table5[id_menu])</f>
        <v>MENU005</v>
      </c>
      <c r="L322" t="s">
        <v>1227</v>
      </c>
      <c r="M322" t="str">
        <f>_xlfn.XLOOKUP(Table1[[#This Row],[category]],Table6[category],Table6[id_category])</f>
        <v>KTG0206</v>
      </c>
      <c r="N322" t="s">
        <v>1234</v>
      </c>
      <c r="O322">
        <v>2</v>
      </c>
      <c r="P322">
        <v>23000</v>
      </c>
      <c r="Q322">
        <v>0</v>
      </c>
      <c r="R322">
        <v>1.6</v>
      </c>
      <c r="S322" t="str">
        <f>_xlfn.XLOOKUP(Table1[[#This Row],[method]],Table7[method],Table7[id_method])</f>
        <v>PAY0711</v>
      </c>
      <c r="T322" t="s">
        <v>1238</v>
      </c>
      <c r="U322">
        <v>46000</v>
      </c>
    </row>
    <row r="323" spans="1:21" x14ac:dyDescent="0.25">
      <c r="A323" t="s">
        <v>335</v>
      </c>
      <c r="B323" t="str">
        <f>_xlfn.XLOOKUP(Table1[[#This Row],[date]],Table8[date],Table8[id_date])</f>
        <v>TGL0672</v>
      </c>
      <c r="C323" s="1">
        <v>45505</v>
      </c>
      <c r="D323" s="1" t="str">
        <f>_xlfn.XLOOKUP(Table1[[#This Row],[customer_name]],Table11[customer_name],Table11[id_cust])</f>
        <v>CNA0132</v>
      </c>
      <c r="E323" t="s">
        <v>1044</v>
      </c>
      <c r="F323">
        <v>40</v>
      </c>
      <c r="G323" t="str">
        <f>_xlfn.XLOOKUP(Table1[[#This Row],[branch_name]],Table3[branch_name],Table3[id_branch])</f>
        <v>BRCH005</v>
      </c>
      <c r="H323" t="s">
        <v>1217</v>
      </c>
      <c r="I323" t="str">
        <f>_xlfn.XLOOKUP(Table1[[#This Row],[city]],Table4[city],Table4[id_city])</f>
        <v>KOA0106</v>
      </c>
      <c r="J323" t="s">
        <v>1222</v>
      </c>
      <c r="K323" t="str">
        <f>_xlfn.XLOOKUP(Table1[[#This Row],[menu_name]],Table5[menu_name],Table5[id_menu])</f>
        <v>MENU007</v>
      </c>
      <c r="L323" t="s">
        <v>1229</v>
      </c>
      <c r="M323" t="str">
        <f>_xlfn.XLOOKUP(Table1[[#This Row],[category]],Table6[category],Table6[id_category])</f>
        <v>KTG0207</v>
      </c>
      <c r="N323" t="s">
        <v>1235</v>
      </c>
      <c r="O323">
        <v>5</v>
      </c>
      <c r="P323">
        <v>27000</v>
      </c>
      <c r="Q323">
        <v>20</v>
      </c>
      <c r="R323">
        <v>2.6</v>
      </c>
      <c r="S323" t="str">
        <f>_xlfn.XLOOKUP(Table1[[#This Row],[method]],Table7[method],Table7[id_method])</f>
        <v>PAY0712</v>
      </c>
      <c r="T323" t="s">
        <v>1239</v>
      </c>
      <c r="U323">
        <v>108000</v>
      </c>
    </row>
    <row r="324" spans="1:21" x14ac:dyDescent="0.25">
      <c r="A324" t="s">
        <v>336</v>
      </c>
      <c r="B324" t="str">
        <f>_xlfn.XLOOKUP(Table1[[#This Row],[date]],Table8[date],Table8[id_date])</f>
        <v>TGL0673</v>
      </c>
      <c r="C324" s="1">
        <v>45506</v>
      </c>
      <c r="D324" s="1" t="str">
        <f>_xlfn.XLOOKUP(Table1[[#This Row],[customer_name]],Table11[customer_name],Table11[id_cust])</f>
        <v>CNA0111</v>
      </c>
      <c r="E324" t="s">
        <v>1024</v>
      </c>
      <c r="F324">
        <v>40</v>
      </c>
      <c r="G324" t="str">
        <f>_xlfn.XLOOKUP(Table1[[#This Row],[branch_name]],Table3[branch_name],Table3[id_branch])</f>
        <v>BRCH002</v>
      </c>
      <c r="H324" t="s">
        <v>1214</v>
      </c>
      <c r="I324" t="str">
        <f>_xlfn.XLOOKUP(Table1[[#This Row],[city]],Table4[city],Table4[id_city])</f>
        <v>KOA0103</v>
      </c>
      <c r="J324" t="s">
        <v>1219</v>
      </c>
      <c r="K324" t="str">
        <f>_xlfn.XLOOKUP(Table1[[#This Row],[menu_name]],Table5[menu_name],Table5[id_menu])</f>
        <v>MENU007</v>
      </c>
      <c r="L324" t="s">
        <v>1229</v>
      </c>
      <c r="M324" t="str">
        <f>_xlfn.XLOOKUP(Table1[[#This Row],[category]],Table6[category],Table6[id_category])</f>
        <v>KTG0207</v>
      </c>
      <c r="N324" t="s">
        <v>1235</v>
      </c>
      <c r="O324">
        <v>1</v>
      </c>
      <c r="P324">
        <v>27000</v>
      </c>
      <c r="Q324">
        <v>10</v>
      </c>
      <c r="R324">
        <v>1.7</v>
      </c>
      <c r="S324" t="str">
        <f>_xlfn.XLOOKUP(Table1[[#This Row],[method]],Table7[method],Table7[id_method])</f>
        <v>PAY0712</v>
      </c>
      <c r="T324" t="s">
        <v>1239</v>
      </c>
      <c r="U324">
        <v>24300</v>
      </c>
    </row>
    <row r="325" spans="1:21" x14ac:dyDescent="0.25">
      <c r="A325" t="s">
        <v>337</v>
      </c>
      <c r="B325" t="str">
        <f>_xlfn.XLOOKUP(Table1[[#This Row],[date]],Table8[date],Table8[id_date])</f>
        <v>TGL0673</v>
      </c>
      <c r="C325" s="1">
        <v>45506</v>
      </c>
      <c r="D325" s="1" t="str">
        <f>_xlfn.XLOOKUP(Table1[[#This Row],[customer_name]],Table11[customer_name],Table11[id_cust])</f>
        <v>CNA0263</v>
      </c>
      <c r="E325" t="s">
        <v>1131</v>
      </c>
      <c r="F325">
        <v>36</v>
      </c>
      <c r="G325" t="str">
        <f>_xlfn.XLOOKUP(Table1[[#This Row],[branch_name]],Table3[branch_name],Table3[id_branch])</f>
        <v>BRCH005</v>
      </c>
      <c r="H325" t="s">
        <v>1217</v>
      </c>
      <c r="I325" t="str">
        <f>_xlfn.XLOOKUP(Table1[[#This Row],[city]],Table4[city],Table4[id_city])</f>
        <v>KOA0106</v>
      </c>
      <c r="J325" t="s">
        <v>1222</v>
      </c>
      <c r="K325" t="str">
        <f>_xlfn.XLOOKUP(Table1[[#This Row],[menu_name]],Table5[menu_name],Table5[id_menu])</f>
        <v>MENU009</v>
      </c>
      <c r="L325" t="s">
        <v>1231</v>
      </c>
      <c r="M325" t="str">
        <f>_xlfn.XLOOKUP(Table1[[#This Row],[category]],Table6[category],Table6[id_category])</f>
        <v>KTG0206</v>
      </c>
      <c r="N325" t="s">
        <v>1234</v>
      </c>
      <c r="O325">
        <v>4</v>
      </c>
      <c r="P325">
        <v>18000</v>
      </c>
      <c r="Q325">
        <v>20</v>
      </c>
      <c r="R325">
        <v>2.9</v>
      </c>
      <c r="S325" t="str">
        <f>_xlfn.XLOOKUP(Table1[[#This Row],[method]],Table7[method],Table7[id_method])</f>
        <v>PAY0709</v>
      </c>
      <c r="T325" t="s">
        <v>1236</v>
      </c>
      <c r="U325">
        <v>57600</v>
      </c>
    </row>
    <row r="326" spans="1:21" x14ac:dyDescent="0.25">
      <c r="A326" t="s">
        <v>338</v>
      </c>
      <c r="B326" t="str">
        <f>_xlfn.XLOOKUP(Table1[[#This Row],[date]],Table8[date],Table8[id_date])</f>
        <v>TGL0674</v>
      </c>
      <c r="C326" s="1">
        <v>45507</v>
      </c>
      <c r="D326" s="1" t="str">
        <f>_xlfn.XLOOKUP(Table1[[#This Row],[customer_name]],Table11[customer_name],Table11[id_cust])</f>
        <v>CNA0120</v>
      </c>
      <c r="E326" t="s">
        <v>1033</v>
      </c>
      <c r="F326">
        <v>44</v>
      </c>
      <c r="G326" t="str">
        <f>_xlfn.XLOOKUP(Table1[[#This Row],[branch_name]],Table3[branch_name],Table3[id_branch])</f>
        <v>BRCH002</v>
      </c>
      <c r="H326" t="s">
        <v>1214</v>
      </c>
      <c r="I326" t="str">
        <f>_xlfn.XLOOKUP(Table1[[#This Row],[city]],Table4[city],Table4[id_city])</f>
        <v>KOA0103</v>
      </c>
      <c r="J326" t="s">
        <v>1219</v>
      </c>
      <c r="K326" t="str">
        <f>_xlfn.XLOOKUP(Table1[[#This Row],[menu_name]],Table5[menu_name],Table5[id_menu])</f>
        <v>MENU001</v>
      </c>
      <c r="L326" t="s">
        <v>1223</v>
      </c>
      <c r="M326" t="str">
        <f>_xlfn.XLOOKUP(Table1[[#This Row],[category]],Table6[category],Table6[id_category])</f>
        <v>KTG0205</v>
      </c>
      <c r="N326" t="s">
        <v>1233</v>
      </c>
      <c r="O326">
        <v>2</v>
      </c>
      <c r="P326">
        <v>25000</v>
      </c>
      <c r="Q326">
        <v>20</v>
      </c>
      <c r="R326">
        <v>4.7</v>
      </c>
      <c r="S326" t="str">
        <f>_xlfn.XLOOKUP(Table1[[#This Row],[method]],Table7[method],Table7[id_method])</f>
        <v>PAY0711</v>
      </c>
      <c r="T326" t="s">
        <v>1238</v>
      </c>
      <c r="U326">
        <v>40000</v>
      </c>
    </row>
    <row r="327" spans="1:21" x14ac:dyDescent="0.25">
      <c r="A327" t="s">
        <v>339</v>
      </c>
      <c r="B327" t="str">
        <f>_xlfn.XLOOKUP(Table1[[#This Row],[date]],Table8[date],Table8[id_date])</f>
        <v>TGL0674</v>
      </c>
      <c r="C327" s="1">
        <v>45507</v>
      </c>
      <c r="D327" s="1" t="str">
        <f>_xlfn.XLOOKUP(Table1[[#This Row],[customer_name]],Table11[customer_name],Table11[id_cust])</f>
        <v>CNA0426</v>
      </c>
      <c r="E327" t="s">
        <v>1178</v>
      </c>
      <c r="F327">
        <v>38</v>
      </c>
      <c r="G327" t="str">
        <f>_xlfn.XLOOKUP(Table1[[#This Row],[branch_name]],Table3[branch_name],Table3[id_branch])</f>
        <v>BRCH002</v>
      </c>
      <c r="H327" t="s">
        <v>1214</v>
      </c>
      <c r="I327" t="str">
        <f>_xlfn.XLOOKUP(Table1[[#This Row],[city]],Table4[city],Table4[id_city])</f>
        <v>KOA0103</v>
      </c>
      <c r="J327" t="s">
        <v>1219</v>
      </c>
      <c r="K327" t="str">
        <f>_xlfn.XLOOKUP(Table1[[#This Row],[menu_name]],Table5[menu_name],Table5[id_menu])</f>
        <v>MENU005</v>
      </c>
      <c r="L327" t="s">
        <v>1227</v>
      </c>
      <c r="M327" t="str">
        <f>_xlfn.XLOOKUP(Table1[[#This Row],[category]],Table6[category],Table6[id_category])</f>
        <v>KTG0206</v>
      </c>
      <c r="N327" t="s">
        <v>1234</v>
      </c>
      <c r="O327">
        <v>3</v>
      </c>
      <c r="P327">
        <v>23000</v>
      </c>
      <c r="Q327">
        <v>10</v>
      </c>
      <c r="R327">
        <v>2.4</v>
      </c>
      <c r="S327" t="str">
        <f>_xlfn.XLOOKUP(Table1[[#This Row],[method]],Table7[method],Table7[id_method])</f>
        <v>PAY0711</v>
      </c>
      <c r="T327" t="s">
        <v>1238</v>
      </c>
      <c r="U327">
        <v>62100</v>
      </c>
    </row>
    <row r="328" spans="1:21" x14ac:dyDescent="0.25">
      <c r="A328" t="s">
        <v>340</v>
      </c>
      <c r="B328" t="str">
        <f>_xlfn.XLOOKUP(Table1[[#This Row],[date]],Table8[date],Table8[id_date])</f>
        <v>TGL0675</v>
      </c>
      <c r="C328" s="1">
        <v>45508</v>
      </c>
      <c r="D328" s="1" t="str">
        <f>_xlfn.XLOOKUP(Table1[[#This Row],[customer_name]],Table11[customer_name],Table11[id_cust])</f>
        <v>CNA0263</v>
      </c>
      <c r="E328" t="s">
        <v>1131</v>
      </c>
      <c r="F328">
        <v>36</v>
      </c>
      <c r="G328" t="str">
        <f>_xlfn.XLOOKUP(Table1[[#This Row],[branch_name]],Table3[branch_name],Table3[id_branch])</f>
        <v>BRCH002</v>
      </c>
      <c r="H328" t="s">
        <v>1214</v>
      </c>
      <c r="I328" t="str">
        <f>_xlfn.XLOOKUP(Table1[[#This Row],[city]],Table4[city],Table4[id_city])</f>
        <v>KOA0103</v>
      </c>
      <c r="J328" t="s">
        <v>1219</v>
      </c>
      <c r="K328" t="str">
        <f>_xlfn.XLOOKUP(Table1[[#This Row],[menu_name]],Table5[menu_name],Table5[id_menu])</f>
        <v>MENU009</v>
      </c>
      <c r="L328" t="s">
        <v>1231</v>
      </c>
      <c r="M328" t="str">
        <f>_xlfn.XLOOKUP(Table1[[#This Row],[category]],Table6[category],Table6[id_category])</f>
        <v>KTG0206</v>
      </c>
      <c r="N328" t="s">
        <v>1234</v>
      </c>
      <c r="O328">
        <v>5</v>
      </c>
      <c r="P328">
        <v>18000</v>
      </c>
      <c r="Q328">
        <v>5</v>
      </c>
      <c r="R328">
        <v>4.8</v>
      </c>
      <c r="S328" t="str">
        <f>_xlfn.XLOOKUP(Table1[[#This Row],[method]],Table7[method],Table7[id_method])</f>
        <v>PAY0712</v>
      </c>
      <c r="T328" t="s">
        <v>1239</v>
      </c>
      <c r="U328">
        <v>85500</v>
      </c>
    </row>
    <row r="329" spans="1:21" x14ac:dyDescent="0.25">
      <c r="A329" t="s">
        <v>341</v>
      </c>
      <c r="B329" t="str">
        <f>_xlfn.XLOOKUP(Table1[[#This Row],[date]],Table8[date],Table8[id_date])</f>
        <v>TGL0675</v>
      </c>
      <c r="C329" s="1">
        <v>45508</v>
      </c>
      <c r="D329" s="1" t="str">
        <f>_xlfn.XLOOKUP(Table1[[#This Row],[customer_name]],Table11[customer_name],Table11[id_cust])</f>
        <v>CNA0115</v>
      </c>
      <c r="E329" t="s">
        <v>1028</v>
      </c>
      <c r="F329">
        <v>46</v>
      </c>
      <c r="G329" t="str">
        <f>_xlfn.XLOOKUP(Table1[[#This Row],[branch_name]],Table3[branch_name],Table3[id_branch])</f>
        <v>BRCH005</v>
      </c>
      <c r="H329" t="s">
        <v>1217</v>
      </c>
      <c r="I329" t="str">
        <f>_xlfn.XLOOKUP(Table1[[#This Row],[city]],Table4[city],Table4[id_city])</f>
        <v>KOA0106</v>
      </c>
      <c r="J329" t="s">
        <v>1222</v>
      </c>
      <c r="K329" t="str">
        <f>_xlfn.XLOOKUP(Table1[[#This Row],[menu_name]],Table5[menu_name],Table5[id_menu])</f>
        <v>MENU009</v>
      </c>
      <c r="L329" t="s">
        <v>1231</v>
      </c>
      <c r="M329" t="str">
        <f>_xlfn.XLOOKUP(Table1[[#This Row],[category]],Table6[category],Table6[id_category])</f>
        <v>KTG0206</v>
      </c>
      <c r="N329" t="s">
        <v>1234</v>
      </c>
      <c r="O329">
        <v>4</v>
      </c>
      <c r="P329">
        <v>18000</v>
      </c>
      <c r="Q329">
        <v>5</v>
      </c>
      <c r="R329">
        <v>2</v>
      </c>
      <c r="S329" t="str">
        <f>_xlfn.XLOOKUP(Table1[[#This Row],[method]],Table7[method],Table7[id_method])</f>
        <v>PAY0712</v>
      </c>
      <c r="T329" t="s">
        <v>1239</v>
      </c>
      <c r="U329">
        <v>68400</v>
      </c>
    </row>
    <row r="330" spans="1:21" x14ac:dyDescent="0.25">
      <c r="A330" t="s">
        <v>342</v>
      </c>
      <c r="B330" t="str">
        <f>_xlfn.XLOOKUP(Table1[[#This Row],[date]],Table8[date],Table8[id_date])</f>
        <v>TGL0675</v>
      </c>
      <c r="C330" s="1">
        <v>45508</v>
      </c>
      <c r="D330" s="1" t="str">
        <f>_xlfn.XLOOKUP(Table1[[#This Row],[customer_name]],Table11[customer_name],Table11[id_cust])</f>
        <v>CNA0165</v>
      </c>
      <c r="E330" t="s">
        <v>1070</v>
      </c>
      <c r="F330">
        <v>18</v>
      </c>
      <c r="G330" t="str">
        <f>_xlfn.XLOOKUP(Table1[[#This Row],[branch_name]],Table3[branch_name],Table3[id_branch])</f>
        <v>BRCH005</v>
      </c>
      <c r="H330" t="s">
        <v>1217</v>
      </c>
      <c r="I330" t="str">
        <f>_xlfn.XLOOKUP(Table1[[#This Row],[city]],Table4[city],Table4[id_city])</f>
        <v>KOA0106</v>
      </c>
      <c r="J330" t="s">
        <v>1222</v>
      </c>
      <c r="K330" t="str">
        <f>_xlfn.XLOOKUP(Table1[[#This Row],[menu_name]],Table5[menu_name],Table5[id_menu])</f>
        <v>MENU002</v>
      </c>
      <c r="L330" t="s">
        <v>1224</v>
      </c>
      <c r="M330" t="str">
        <f>_xlfn.XLOOKUP(Table1[[#This Row],[category]],Table6[category],Table6[id_category])</f>
        <v>KTG0206</v>
      </c>
      <c r="N330" t="s">
        <v>1234</v>
      </c>
      <c r="O330">
        <v>5</v>
      </c>
      <c r="P330">
        <v>30000</v>
      </c>
      <c r="Q330">
        <v>10</v>
      </c>
      <c r="R330">
        <v>4.4000000000000004</v>
      </c>
      <c r="S330" t="str">
        <f>_xlfn.XLOOKUP(Table1[[#This Row],[method]],Table7[method],Table7[id_method])</f>
        <v>PAY0709</v>
      </c>
      <c r="T330" t="s">
        <v>1236</v>
      </c>
      <c r="U330">
        <v>135000</v>
      </c>
    </row>
    <row r="331" spans="1:21" x14ac:dyDescent="0.25">
      <c r="A331" t="s">
        <v>343</v>
      </c>
      <c r="B331" t="str">
        <f>_xlfn.XLOOKUP(Table1[[#This Row],[date]],Table8[date],Table8[id_date])</f>
        <v>TGL0676</v>
      </c>
      <c r="C331" s="1">
        <v>45509</v>
      </c>
      <c r="D331" s="1" t="str">
        <f>_xlfn.XLOOKUP(Table1[[#This Row],[customer_name]],Table11[customer_name],Table11[id_cust])</f>
        <v>CNA0144</v>
      </c>
      <c r="E331" t="s">
        <v>1053</v>
      </c>
      <c r="F331">
        <v>42</v>
      </c>
      <c r="G331" t="str">
        <f>_xlfn.XLOOKUP(Table1[[#This Row],[branch_name]],Table3[branch_name],Table3[id_branch])</f>
        <v>BRCH004</v>
      </c>
      <c r="H331" t="s">
        <v>1216</v>
      </c>
      <c r="I331" t="str">
        <f>_xlfn.XLOOKUP(Table1[[#This Row],[city]],Table4[city],Table4[id_city])</f>
        <v>KOA0105</v>
      </c>
      <c r="J331" t="s">
        <v>1221</v>
      </c>
      <c r="K331" t="str">
        <f>_xlfn.XLOOKUP(Table1[[#This Row],[menu_name]],Table5[menu_name],Table5[id_menu])</f>
        <v>MENU004</v>
      </c>
      <c r="L331" t="s">
        <v>1226</v>
      </c>
      <c r="M331" t="str">
        <f>_xlfn.XLOOKUP(Table1[[#This Row],[category]],Table6[category],Table6[id_category])</f>
        <v>KTG0207</v>
      </c>
      <c r="N331" t="s">
        <v>1235</v>
      </c>
      <c r="O331">
        <v>4</v>
      </c>
      <c r="P331">
        <v>28000</v>
      </c>
      <c r="Q331">
        <v>0</v>
      </c>
      <c r="R331">
        <v>1.4</v>
      </c>
      <c r="S331" t="str">
        <f>_xlfn.XLOOKUP(Table1[[#This Row],[method]],Table7[method],Table7[id_method])</f>
        <v>PAY0711</v>
      </c>
      <c r="T331" t="s">
        <v>1238</v>
      </c>
      <c r="U331">
        <v>112000</v>
      </c>
    </row>
    <row r="332" spans="1:21" x14ac:dyDescent="0.25">
      <c r="A332" t="s">
        <v>344</v>
      </c>
      <c r="B332" t="str">
        <f>_xlfn.XLOOKUP(Table1[[#This Row],[date]],Table8[date],Table8[id_date])</f>
        <v>TGL0676</v>
      </c>
      <c r="C332" s="1">
        <v>45509</v>
      </c>
      <c r="D332" s="1" t="str">
        <f>_xlfn.XLOOKUP(Table1[[#This Row],[customer_name]],Table11[customer_name],Table11[id_cust])</f>
        <v>CNA0277</v>
      </c>
      <c r="E332" t="s">
        <v>1138</v>
      </c>
      <c r="F332">
        <v>52</v>
      </c>
      <c r="G332" t="str">
        <f>_xlfn.XLOOKUP(Table1[[#This Row],[branch_name]],Table3[branch_name],Table3[id_branch])</f>
        <v>BRCH001</v>
      </c>
      <c r="H332" t="s">
        <v>1213</v>
      </c>
      <c r="I332" t="str">
        <f>_xlfn.XLOOKUP(Table1[[#This Row],[city]],Table4[city],Table4[id_city])</f>
        <v>KOA0102</v>
      </c>
      <c r="J332" t="s">
        <v>1218</v>
      </c>
      <c r="K332" t="str">
        <f>_xlfn.XLOOKUP(Table1[[#This Row],[menu_name]],Table5[menu_name],Table5[id_menu])</f>
        <v>MENU006</v>
      </c>
      <c r="L332" t="s">
        <v>1228</v>
      </c>
      <c r="M332" t="str">
        <f>_xlfn.XLOOKUP(Table1[[#This Row],[category]],Table6[category],Table6[id_category])</f>
        <v>KTG0206</v>
      </c>
      <c r="N332" t="s">
        <v>1234</v>
      </c>
      <c r="O332">
        <v>4</v>
      </c>
      <c r="P332">
        <v>32000</v>
      </c>
      <c r="Q332">
        <v>20</v>
      </c>
      <c r="R332">
        <v>4</v>
      </c>
      <c r="S332" t="str">
        <f>_xlfn.XLOOKUP(Table1[[#This Row],[method]],Table7[method],Table7[id_method])</f>
        <v>PAY0709</v>
      </c>
      <c r="T332" t="s">
        <v>1236</v>
      </c>
      <c r="U332">
        <v>102400</v>
      </c>
    </row>
    <row r="333" spans="1:21" x14ac:dyDescent="0.25">
      <c r="A333" t="s">
        <v>345</v>
      </c>
      <c r="B333" t="str">
        <f>_xlfn.XLOOKUP(Table1[[#This Row],[date]],Table8[date],Table8[id_date])</f>
        <v>TGL0677</v>
      </c>
      <c r="C333" s="1">
        <v>45511</v>
      </c>
      <c r="D333" s="1" t="str">
        <f>_xlfn.XLOOKUP(Table1[[#This Row],[customer_name]],Table11[customer_name],Table11[id_cust])</f>
        <v>CNA0310</v>
      </c>
      <c r="E333" t="s">
        <v>1153</v>
      </c>
      <c r="F333">
        <v>22</v>
      </c>
      <c r="G333" t="str">
        <f>_xlfn.XLOOKUP(Table1[[#This Row],[branch_name]],Table3[branch_name],Table3[id_branch])</f>
        <v>BRCH003</v>
      </c>
      <c r="H333" t="s">
        <v>1215</v>
      </c>
      <c r="I333" t="str">
        <f>_xlfn.XLOOKUP(Table1[[#This Row],[city]],Table4[city],Table4[id_city])</f>
        <v>KOA0104</v>
      </c>
      <c r="J333" t="s">
        <v>1220</v>
      </c>
      <c r="K333" t="str">
        <f>_xlfn.XLOOKUP(Table1[[#This Row],[menu_name]],Table5[menu_name],Table5[id_menu])</f>
        <v>MENU001</v>
      </c>
      <c r="L333" t="s">
        <v>1223</v>
      </c>
      <c r="M333" t="str">
        <f>_xlfn.XLOOKUP(Table1[[#This Row],[category]],Table6[category],Table6[id_category])</f>
        <v>KTG0205</v>
      </c>
      <c r="N333" t="s">
        <v>1233</v>
      </c>
      <c r="O333">
        <v>3</v>
      </c>
      <c r="P333">
        <v>25000</v>
      </c>
      <c r="Q333">
        <v>10</v>
      </c>
      <c r="R333">
        <v>1.5</v>
      </c>
      <c r="S333" t="str">
        <f>_xlfn.XLOOKUP(Table1[[#This Row],[method]],Table7[method],Table7[id_method])</f>
        <v>PAY0709</v>
      </c>
      <c r="T333" t="s">
        <v>1236</v>
      </c>
      <c r="U333">
        <v>67500</v>
      </c>
    </row>
    <row r="334" spans="1:21" x14ac:dyDescent="0.25">
      <c r="A334" t="s">
        <v>346</v>
      </c>
      <c r="B334" t="str">
        <f>_xlfn.XLOOKUP(Table1[[#This Row],[date]],Table8[date],Table8[id_date])</f>
        <v>TGL0677</v>
      </c>
      <c r="C334" s="1">
        <v>45511</v>
      </c>
      <c r="D334" s="1" t="str">
        <f>_xlfn.XLOOKUP(Table1[[#This Row],[customer_name]],Table11[customer_name],Table11[id_cust])</f>
        <v>CNA0410</v>
      </c>
      <c r="E334" t="s">
        <v>1174</v>
      </c>
      <c r="F334">
        <v>18</v>
      </c>
      <c r="G334" t="str">
        <f>_xlfn.XLOOKUP(Table1[[#This Row],[branch_name]],Table3[branch_name],Table3[id_branch])</f>
        <v>BRCH001</v>
      </c>
      <c r="H334" t="s">
        <v>1213</v>
      </c>
      <c r="I334" t="str">
        <f>_xlfn.XLOOKUP(Table1[[#This Row],[city]],Table4[city],Table4[id_city])</f>
        <v>KOA0102</v>
      </c>
      <c r="J334" t="s">
        <v>1218</v>
      </c>
      <c r="K334" t="str">
        <f>_xlfn.XLOOKUP(Table1[[#This Row],[menu_name]],Table5[menu_name],Table5[id_menu])</f>
        <v>MENU009</v>
      </c>
      <c r="L334" t="s">
        <v>1231</v>
      </c>
      <c r="M334" t="str">
        <f>_xlfn.XLOOKUP(Table1[[#This Row],[category]],Table6[category],Table6[id_category])</f>
        <v>KTG0206</v>
      </c>
      <c r="N334" t="s">
        <v>1234</v>
      </c>
      <c r="O334">
        <v>5</v>
      </c>
      <c r="P334">
        <v>18000</v>
      </c>
      <c r="Q334">
        <v>5</v>
      </c>
      <c r="R334">
        <v>1.5</v>
      </c>
      <c r="S334" t="str">
        <f>_xlfn.XLOOKUP(Table1[[#This Row],[method]],Table7[method],Table7[id_method])</f>
        <v>PAY0709</v>
      </c>
      <c r="T334" t="s">
        <v>1236</v>
      </c>
      <c r="U334">
        <v>85500</v>
      </c>
    </row>
    <row r="335" spans="1:21" x14ac:dyDescent="0.25">
      <c r="A335" t="s">
        <v>347</v>
      </c>
      <c r="B335" t="str">
        <f>_xlfn.XLOOKUP(Table1[[#This Row],[date]],Table8[date],Table8[id_date])</f>
        <v>TGL0677</v>
      </c>
      <c r="C335" s="1">
        <v>45511</v>
      </c>
      <c r="D335" s="1" t="str">
        <f>_xlfn.XLOOKUP(Table1[[#This Row],[customer_name]],Table11[customer_name],Table11[id_cust])</f>
        <v>CNA0434</v>
      </c>
      <c r="E335" t="s">
        <v>1179</v>
      </c>
      <c r="F335">
        <v>37</v>
      </c>
      <c r="G335" t="str">
        <f>_xlfn.XLOOKUP(Table1[[#This Row],[branch_name]],Table3[branch_name],Table3[id_branch])</f>
        <v>BRCH005</v>
      </c>
      <c r="H335" t="s">
        <v>1217</v>
      </c>
      <c r="I335" t="str">
        <f>_xlfn.XLOOKUP(Table1[[#This Row],[city]],Table4[city],Table4[id_city])</f>
        <v>KOA0106</v>
      </c>
      <c r="J335" t="s">
        <v>1222</v>
      </c>
      <c r="K335" t="str">
        <f>_xlfn.XLOOKUP(Table1[[#This Row],[menu_name]],Table5[menu_name],Table5[id_menu])</f>
        <v>MENU009</v>
      </c>
      <c r="L335" t="s">
        <v>1231</v>
      </c>
      <c r="M335" t="str">
        <f>_xlfn.XLOOKUP(Table1[[#This Row],[category]],Table6[category],Table6[id_category])</f>
        <v>KTG0206</v>
      </c>
      <c r="N335" t="s">
        <v>1234</v>
      </c>
      <c r="O335">
        <v>5</v>
      </c>
      <c r="P335">
        <v>18000</v>
      </c>
      <c r="Q335">
        <v>0</v>
      </c>
      <c r="R335">
        <v>1.5</v>
      </c>
      <c r="S335" t="str">
        <f>_xlfn.XLOOKUP(Table1[[#This Row],[method]],Table7[method],Table7[id_method])</f>
        <v>PAY0709</v>
      </c>
      <c r="T335" t="s">
        <v>1236</v>
      </c>
      <c r="U335">
        <v>90000</v>
      </c>
    </row>
    <row r="336" spans="1:21" x14ac:dyDescent="0.25">
      <c r="A336" t="s">
        <v>348</v>
      </c>
      <c r="B336" t="str">
        <f>_xlfn.XLOOKUP(Table1[[#This Row],[date]],Table8[date],Table8[id_date])</f>
        <v>TGL0678</v>
      </c>
      <c r="C336" s="1">
        <v>45513</v>
      </c>
      <c r="D336" s="1" t="str">
        <f>_xlfn.XLOOKUP(Table1[[#This Row],[customer_name]],Table11[customer_name],Table11[id_cust])</f>
        <v>CNA0215</v>
      </c>
      <c r="E336" t="s">
        <v>1106</v>
      </c>
      <c r="F336">
        <v>52</v>
      </c>
      <c r="G336" t="str">
        <f>_xlfn.XLOOKUP(Table1[[#This Row],[branch_name]],Table3[branch_name],Table3[id_branch])</f>
        <v>BRCH004</v>
      </c>
      <c r="H336" t="s">
        <v>1216</v>
      </c>
      <c r="I336" t="str">
        <f>_xlfn.XLOOKUP(Table1[[#This Row],[city]],Table4[city],Table4[id_city])</f>
        <v>KOA0105</v>
      </c>
      <c r="J336" t="s">
        <v>1221</v>
      </c>
      <c r="K336" t="str">
        <f>_xlfn.XLOOKUP(Table1[[#This Row],[menu_name]],Table5[menu_name],Table5[id_menu])</f>
        <v>MENU009</v>
      </c>
      <c r="L336" t="s">
        <v>1231</v>
      </c>
      <c r="M336" t="str">
        <f>_xlfn.XLOOKUP(Table1[[#This Row],[category]],Table6[category],Table6[id_category])</f>
        <v>KTG0206</v>
      </c>
      <c r="N336" t="s">
        <v>1234</v>
      </c>
      <c r="O336">
        <v>2</v>
      </c>
      <c r="P336">
        <v>18000</v>
      </c>
      <c r="Q336">
        <v>20</v>
      </c>
      <c r="R336">
        <v>2.7</v>
      </c>
      <c r="S336" t="str">
        <f>_xlfn.XLOOKUP(Table1[[#This Row],[method]],Table7[method],Table7[id_method])</f>
        <v>PAY0712</v>
      </c>
      <c r="T336" t="s">
        <v>1239</v>
      </c>
      <c r="U336">
        <v>28800</v>
      </c>
    </row>
    <row r="337" spans="1:21" x14ac:dyDescent="0.25">
      <c r="A337" t="s">
        <v>349</v>
      </c>
      <c r="B337" t="str">
        <f>_xlfn.XLOOKUP(Table1[[#This Row],[date]],Table8[date],Table8[id_date])</f>
        <v>TGL0679</v>
      </c>
      <c r="C337" s="1">
        <v>45514</v>
      </c>
      <c r="D337" s="1" t="str">
        <f>_xlfn.XLOOKUP(Table1[[#This Row],[customer_name]],Table11[customer_name],Table11[id_cust])</f>
        <v>CNA0302</v>
      </c>
      <c r="E337" t="s">
        <v>1151</v>
      </c>
      <c r="F337">
        <v>48</v>
      </c>
      <c r="G337" t="str">
        <f>_xlfn.XLOOKUP(Table1[[#This Row],[branch_name]],Table3[branch_name],Table3[id_branch])</f>
        <v>BRCH004</v>
      </c>
      <c r="H337" t="s">
        <v>1216</v>
      </c>
      <c r="I337" t="str">
        <f>_xlfn.XLOOKUP(Table1[[#This Row],[city]],Table4[city],Table4[id_city])</f>
        <v>KOA0105</v>
      </c>
      <c r="J337" t="s">
        <v>1221</v>
      </c>
      <c r="K337" t="str">
        <f>_xlfn.XLOOKUP(Table1[[#This Row],[menu_name]],Table5[menu_name],Table5[id_menu])</f>
        <v>MENU008</v>
      </c>
      <c r="L337" t="s">
        <v>1230</v>
      </c>
      <c r="M337" t="str">
        <f>_xlfn.XLOOKUP(Table1[[#This Row],[category]],Table6[category],Table6[id_category])</f>
        <v>KTG0205</v>
      </c>
      <c r="N337" t="s">
        <v>1233</v>
      </c>
      <c r="O337">
        <v>5</v>
      </c>
      <c r="P337">
        <v>20000</v>
      </c>
      <c r="Q337">
        <v>15</v>
      </c>
      <c r="R337">
        <v>3.6</v>
      </c>
      <c r="S337" t="str">
        <f>_xlfn.XLOOKUP(Table1[[#This Row],[method]],Table7[method],Table7[id_method])</f>
        <v>PAY0709</v>
      </c>
      <c r="T337" t="s">
        <v>1236</v>
      </c>
      <c r="U337">
        <v>85000</v>
      </c>
    </row>
    <row r="338" spans="1:21" x14ac:dyDescent="0.25">
      <c r="A338" t="s">
        <v>350</v>
      </c>
      <c r="B338" t="str">
        <f>_xlfn.XLOOKUP(Table1[[#This Row],[date]],Table8[date],Table8[id_date])</f>
        <v>TGL0679</v>
      </c>
      <c r="C338" s="1">
        <v>45514</v>
      </c>
      <c r="D338" s="1" t="str">
        <f>_xlfn.XLOOKUP(Table1[[#This Row],[customer_name]],Table11[customer_name],Table11[id_cust])</f>
        <v>CNA0174</v>
      </c>
      <c r="E338" t="s">
        <v>1079</v>
      </c>
      <c r="F338">
        <v>48</v>
      </c>
      <c r="G338" t="str">
        <f>_xlfn.XLOOKUP(Table1[[#This Row],[branch_name]],Table3[branch_name],Table3[id_branch])</f>
        <v>BRCH002</v>
      </c>
      <c r="H338" t="s">
        <v>1214</v>
      </c>
      <c r="I338" t="str">
        <f>_xlfn.XLOOKUP(Table1[[#This Row],[city]],Table4[city],Table4[id_city])</f>
        <v>KOA0103</v>
      </c>
      <c r="J338" t="s">
        <v>1219</v>
      </c>
      <c r="K338" t="str">
        <f>_xlfn.XLOOKUP(Table1[[#This Row],[menu_name]],Table5[menu_name],Table5[id_menu])</f>
        <v>MENU005</v>
      </c>
      <c r="L338" t="s">
        <v>1227</v>
      </c>
      <c r="M338" t="str">
        <f>_xlfn.XLOOKUP(Table1[[#This Row],[category]],Table6[category],Table6[id_category])</f>
        <v>KTG0206</v>
      </c>
      <c r="N338" t="s">
        <v>1234</v>
      </c>
      <c r="O338">
        <v>4</v>
      </c>
      <c r="P338">
        <v>23000</v>
      </c>
      <c r="Q338">
        <v>0</v>
      </c>
      <c r="R338">
        <v>2</v>
      </c>
      <c r="S338" t="str">
        <f>_xlfn.XLOOKUP(Table1[[#This Row],[method]],Table7[method],Table7[id_method])</f>
        <v>PAY0710</v>
      </c>
      <c r="T338" t="s">
        <v>1237</v>
      </c>
      <c r="U338">
        <v>92000</v>
      </c>
    </row>
    <row r="339" spans="1:21" x14ac:dyDescent="0.25">
      <c r="A339" t="s">
        <v>351</v>
      </c>
      <c r="B339" t="str">
        <f>_xlfn.XLOOKUP(Table1[[#This Row],[date]],Table8[date],Table8[id_date])</f>
        <v>TGL0679</v>
      </c>
      <c r="C339" s="1">
        <v>45514</v>
      </c>
      <c r="D339" s="1" t="str">
        <f>_xlfn.XLOOKUP(Table1[[#This Row],[customer_name]],Table11[customer_name],Table11[id_cust])</f>
        <v>CNA0131</v>
      </c>
      <c r="E339" t="s">
        <v>1043</v>
      </c>
      <c r="F339">
        <v>45</v>
      </c>
      <c r="G339" t="str">
        <f>_xlfn.XLOOKUP(Table1[[#This Row],[branch_name]],Table3[branch_name],Table3[id_branch])</f>
        <v>BRCH004</v>
      </c>
      <c r="H339" t="s">
        <v>1216</v>
      </c>
      <c r="I339" t="str">
        <f>_xlfn.XLOOKUP(Table1[[#This Row],[city]],Table4[city],Table4[id_city])</f>
        <v>KOA0105</v>
      </c>
      <c r="J339" t="s">
        <v>1221</v>
      </c>
      <c r="K339" t="str">
        <f>_xlfn.XLOOKUP(Table1[[#This Row],[menu_name]],Table5[menu_name],Table5[id_menu])</f>
        <v>MENU003</v>
      </c>
      <c r="L339" t="s">
        <v>1225</v>
      </c>
      <c r="M339" t="str">
        <f>_xlfn.XLOOKUP(Table1[[#This Row],[category]],Table6[category],Table6[id_category])</f>
        <v>KTG0205</v>
      </c>
      <c r="N339" t="s">
        <v>1233</v>
      </c>
      <c r="O339">
        <v>4</v>
      </c>
      <c r="P339">
        <v>22000</v>
      </c>
      <c r="Q339">
        <v>0</v>
      </c>
      <c r="R339">
        <v>4.8</v>
      </c>
      <c r="S339" t="str">
        <f>_xlfn.XLOOKUP(Table1[[#This Row],[method]],Table7[method],Table7[id_method])</f>
        <v>PAY0712</v>
      </c>
      <c r="T339" t="s">
        <v>1239</v>
      </c>
      <c r="U339">
        <v>88000</v>
      </c>
    </row>
    <row r="340" spans="1:21" x14ac:dyDescent="0.25">
      <c r="A340" t="s">
        <v>352</v>
      </c>
      <c r="B340" t="str">
        <f>_xlfn.XLOOKUP(Table1[[#This Row],[date]],Table8[date],Table8[id_date])</f>
        <v>TGL0680</v>
      </c>
      <c r="C340" s="1">
        <v>45515</v>
      </c>
      <c r="D340" s="1" t="str">
        <f>_xlfn.XLOOKUP(Table1[[#This Row],[customer_name]],Table11[customer_name],Table11[id_cust])</f>
        <v>CNA0434</v>
      </c>
      <c r="E340" t="s">
        <v>1179</v>
      </c>
      <c r="F340">
        <v>37</v>
      </c>
      <c r="G340" t="str">
        <f>_xlfn.XLOOKUP(Table1[[#This Row],[branch_name]],Table3[branch_name],Table3[id_branch])</f>
        <v>BRCH002</v>
      </c>
      <c r="H340" t="s">
        <v>1214</v>
      </c>
      <c r="I340" t="str">
        <f>_xlfn.XLOOKUP(Table1[[#This Row],[city]],Table4[city],Table4[id_city])</f>
        <v>KOA0103</v>
      </c>
      <c r="J340" t="s">
        <v>1219</v>
      </c>
      <c r="K340" t="str">
        <f>_xlfn.XLOOKUP(Table1[[#This Row],[menu_name]],Table5[menu_name],Table5[id_menu])</f>
        <v>MENU007</v>
      </c>
      <c r="L340" t="s">
        <v>1229</v>
      </c>
      <c r="M340" t="str">
        <f>_xlfn.XLOOKUP(Table1[[#This Row],[category]],Table6[category],Table6[id_category])</f>
        <v>KTG0207</v>
      </c>
      <c r="N340" t="s">
        <v>1235</v>
      </c>
      <c r="O340">
        <v>1</v>
      </c>
      <c r="P340">
        <v>27000</v>
      </c>
      <c r="Q340">
        <v>10</v>
      </c>
      <c r="R340">
        <v>3.7</v>
      </c>
      <c r="S340" t="str">
        <f>_xlfn.XLOOKUP(Table1[[#This Row],[method]],Table7[method],Table7[id_method])</f>
        <v>PAY0711</v>
      </c>
      <c r="T340" t="s">
        <v>1238</v>
      </c>
      <c r="U340">
        <v>24300</v>
      </c>
    </row>
    <row r="341" spans="1:21" x14ac:dyDescent="0.25">
      <c r="A341" t="s">
        <v>353</v>
      </c>
      <c r="B341" t="str">
        <f>_xlfn.XLOOKUP(Table1[[#This Row],[date]],Table8[date],Table8[id_date])</f>
        <v>TGL0681</v>
      </c>
      <c r="C341" s="1">
        <v>45516</v>
      </c>
      <c r="D341" s="1" t="str">
        <f>_xlfn.XLOOKUP(Table1[[#This Row],[customer_name]],Table11[customer_name],Table11[id_cust])</f>
        <v>CNA0133</v>
      </c>
      <c r="E341" t="s">
        <v>1045</v>
      </c>
      <c r="F341">
        <v>42</v>
      </c>
      <c r="G341" t="str">
        <f>_xlfn.XLOOKUP(Table1[[#This Row],[branch_name]],Table3[branch_name],Table3[id_branch])</f>
        <v>BRCH001</v>
      </c>
      <c r="H341" t="s">
        <v>1213</v>
      </c>
      <c r="I341" t="str">
        <f>_xlfn.XLOOKUP(Table1[[#This Row],[city]],Table4[city],Table4[id_city])</f>
        <v>KOA0102</v>
      </c>
      <c r="J341" t="s">
        <v>1218</v>
      </c>
      <c r="K341" t="str">
        <f>_xlfn.XLOOKUP(Table1[[#This Row],[menu_name]],Table5[menu_name],Table5[id_menu])</f>
        <v>MENU001</v>
      </c>
      <c r="L341" t="s">
        <v>1223</v>
      </c>
      <c r="M341" t="str">
        <f>_xlfn.XLOOKUP(Table1[[#This Row],[category]],Table6[category],Table6[id_category])</f>
        <v>KTG0205</v>
      </c>
      <c r="N341" t="s">
        <v>1233</v>
      </c>
      <c r="O341">
        <v>5</v>
      </c>
      <c r="P341">
        <v>25000</v>
      </c>
      <c r="Q341">
        <v>15</v>
      </c>
      <c r="R341">
        <v>4.8</v>
      </c>
      <c r="S341" t="str">
        <f>_xlfn.XLOOKUP(Table1[[#This Row],[method]],Table7[method],Table7[id_method])</f>
        <v>PAY0712</v>
      </c>
      <c r="T341" t="s">
        <v>1239</v>
      </c>
      <c r="U341">
        <v>106250</v>
      </c>
    </row>
    <row r="342" spans="1:21" x14ac:dyDescent="0.25">
      <c r="A342" t="s">
        <v>354</v>
      </c>
      <c r="B342" t="str">
        <f>_xlfn.XLOOKUP(Table1[[#This Row],[date]],Table8[date],Table8[id_date])</f>
        <v>TGL0681</v>
      </c>
      <c r="C342" s="1">
        <v>45516</v>
      </c>
      <c r="D342" s="1" t="str">
        <f>_xlfn.XLOOKUP(Table1[[#This Row],[customer_name]],Table11[customer_name],Table11[id_cust])</f>
        <v>CNA0145</v>
      </c>
      <c r="E342" t="s">
        <v>1054</v>
      </c>
      <c r="F342">
        <v>19</v>
      </c>
      <c r="G342" t="str">
        <f>_xlfn.XLOOKUP(Table1[[#This Row],[branch_name]],Table3[branch_name],Table3[id_branch])</f>
        <v>BRCH002</v>
      </c>
      <c r="H342" t="s">
        <v>1214</v>
      </c>
      <c r="I342" t="str">
        <f>_xlfn.XLOOKUP(Table1[[#This Row],[city]],Table4[city],Table4[id_city])</f>
        <v>KOA0103</v>
      </c>
      <c r="J342" t="s">
        <v>1219</v>
      </c>
      <c r="K342" t="str">
        <f>_xlfn.XLOOKUP(Table1[[#This Row],[menu_name]],Table5[menu_name],Table5[id_menu])</f>
        <v>MENU005</v>
      </c>
      <c r="L342" t="s">
        <v>1227</v>
      </c>
      <c r="M342" t="str">
        <f>_xlfn.XLOOKUP(Table1[[#This Row],[category]],Table6[category],Table6[id_category])</f>
        <v>KTG0206</v>
      </c>
      <c r="N342" t="s">
        <v>1234</v>
      </c>
      <c r="O342">
        <v>5</v>
      </c>
      <c r="P342">
        <v>23000</v>
      </c>
      <c r="Q342">
        <v>0</v>
      </c>
      <c r="R342">
        <v>4.5999999999999996</v>
      </c>
      <c r="S342" t="str">
        <f>_xlfn.XLOOKUP(Table1[[#This Row],[method]],Table7[method],Table7[id_method])</f>
        <v>PAY0712</v>
      </c>
      <c r="T342" t="s">
        <v>1239</v>
      </c>
      <c r="U342">
        <v>115000</v>
      </c>
    </row>
    <row r="343" spans="1:21" x14ac:dyDescent="0.25">
      <c r="A343" t="s">
        <v>355</v>
      </c>
      <c r="B343" t="str">
        <f>_xlfn.XLOOKUP(Table1[[#This Row],[date]],Table8[date],Table8[id_date])</f>
        <v>TGL0682</v>
      </c>
      <c r="C343" s="1">
        <v>45517</v>
      </c>
      <c r="D343" s="1" t="str">
        <f>_xlfn.XLOOKUP(Table1[[#This Row],[customer_name]],Table11[customer_name],Table11[id_cust])</f>
        <v>CNA0128</v>
      </c>
      <c r="E343" t="s">
        <v>1040</v>
      </c>
      <c r="F343">
        <v>36</v>
      </c>
      <c r="G343" t="str">
        <f>_xlfn.XLOOKUP(Table1[[#This Row],[branch_name]],Table3[branch_name],Table3[id_branch])</f>
        <v>BRCH005</v>
      </c>
      <c r="H343" t="s">
        <v>1217</v>
      </c>
      <c r="I343" t="str">
        <f>_xlfn.XLOOKUP(Table1[[#This Row],[city]],Table4[city],Table4[id_city])</f>
        <v>KOA0106</v>
      </c>
      <c r="J343" t="s">
        <v>1222</v>
      </c>
      <c r="K343" t="str">
        <f>_xlfn.XLOOKUP(Table1[[#This Row],[menu_name]],Table5[menu_name],Table5[id_menu])</f>
        <v>MENU005</v>
      </c>
      <c r="L343" t="s">
        <v>1227</v>
      </c>
      <c r="M343" t="str">
        <f>_xlfn.XLOOKUP(Table1[[#This Row],[category]],Table6[category],Table6[id_category])</f>
        <v>KTG0206</v>
      </c>
      <c r="N343" t="s">
        <v>1234</v>
      </c>
      <c r="O343">
        <v>2</v>
      </c>
      <c r="P343">
        <v>23000</v>
      </c>
      <c r="Q343">
        <v>15</v>
      </c>
      <c r="R343">
        <v>1.1000000000000001</v>
      </c>
      <c r="S343" t="str">
        <f>_xlfn.XLOOKUP(Table1[[#This Row],[method]],Table7[method],Table7[id_method])</f>
        <v>PAY0712</v>
      </c>
      <c r="T343" t="s">
        <v>1239</v>
      </c>
      <c r="U343">
        <v>39100</v>
      </c>
    </row>
    <row r="344" spans="1:21" x14ac:dyDescent="0.25">
      <c r="A344" t="s">
        <v>356</v>
      </c>
      <c r="B344" t="str">
        <f>_xlfn.XLOOKUP(Table1[[#This Row],[date]],Table8[date],Table8[id_date])</f>
        <v>TGL0683</v>
      </c>
      <c r="C344" s="1">
        <v>45518</v>
      </c>
      <c r="D344" s="1" t="str">
        <f>_xlfn.XLOOKUP(Table1[[#This Row],[customer_name]],Table11[customer_name],Table11[id_cust])</f>
        <v>CNA0130</v>
      </c>
      <c r="E344" t="s">
        <v>1042</v>
      </c>
      <c r="F344">
        <v>33</v>
      </c>
      <c r="G344" t="str">
        <f>_xlfn.XLOOKUP(Table1[[#This Row],[branch_name]],Table3[branch_name],Table3[id_branch])</f>
        <v>BRCH002</v>
      </c>
      <c r="H344" t="s">
        <v>1214</v>
      </c>
      <c r="I344" t="str">
        <f>_xlfn.XLOOKUP(Table1[[#This Row],[city]],Table4[city],Table4[id_city])</f>
        <v>KOA0103</v>
      </c>
      <c r="J344" t="s">
        <v>1219</v>
      </c>
      <c r="K344" t="str">
        <f>_xlfn.XLOOKUP(Table1[[#This Row],[menu_name]],Table5[menu_name],Table5[id_menu])</f>
        <v>MENU001</v>
      </c>
      <c r="L344" t="s">
        <v>1223</v>
      </c>
      <c r="M344" t="str">
        <f>_xlfn.XLOOKUP(Table1[[#This Row],[category]],Table6[category],Table6[id_category])</f>
        <v>KTG0205</v>
      </c>
      <c r="N344" t="s">
        <v>1233</v>
      </c>
      <c r="O344">
        <v>4</v>
      </c>
      <c r="P344">
        <v>25000</v>
      </c>
      <c r="Q344">
        <v>0</v>
      </c>
      <c r="R344">
        <v>4.4000000000000004</v>
      </c>
      <c r="S344" t="str">
        <f>_xlfn.XLOOKUP(Table1[[#This Row],[method]],Table7[method],Table7[id_method])</f>
        <v>PAY0709</v>
      </c>
      <c r="T344" t="s">
        <v>1236</v>
      </c>
      <c r="U344">
        <v>100000</v>
      </c>
    </row>
    <row r="345" spans="1:21" x14ac:dyDescent="0.25">
      <c r="A345" t="s">
        <v>357</v>
      </c>
      <c r="B345" t="str">
        <f>_xlfn.XLOOKUP(Table1[[#This Row],[date]],Table8[date],Table8[id_date])</f>
        <v>TGL0683</v>
      </c>
      <c r="C345" s="1">
        <v>45518</v>
      </c>
      <c r="D345" s="1" t="str">
        <f>_xlfn.XLOOKUP(Table1[[#This Row],[customer_name]],Table11[customer_name],Table11[id_cust])</f>
        <v>CNA0228</v>
      </c>
      <c r="E345" t="s">
        <v>1114</v>
      </c>
      <c r="F345">
        <v>40</v>
      </c>
      <c r="G345" t="str">
        <f>_xlfn.XLOOKUP(Table1[[#This Row],[branch_name]],Table3[branch_name],Table3[id_branch])</f>
        <v>BRCH002</v>
      </c>
      <c r="H345" t="s">
        <v>1214</v>
      </c>
      <c r="I345" t="str">
        <f>_xlfn.XLOOKUP(Table1[[#This Row],[city]],Table4[city],Table4[id_city])</f>
        <v>KOA0103</v>
      </c>
      <c r="J345" t="s">
        <v>1219</v>
      </c>
      <c r="K345" t="str">
        <f>_xlfn.XLOOKUP(Table1[[#This Row],[menu_name]],Table5[menu_name],Table5[id_menu])</f>
        <v>MENU009</v>
      </c>
      <c r="L345" t="s">
        <v>1231</v>
      </c>
      <c r="M345" t="str">
        <f>_xlfn.XLOOKUP(Table1[[#This Row],[category]],Table6[category],Table6[id_category])</f>
        <v>KTG0206</v>
      </c>
      <c r="N345" t="s">
        <v>1234</v>
      </c>
      <c r="O345">
        <v>5</v>
      </c>
      <c r="P345">
        <v>18000</v>
      </c>
      <c r="Q345">
        <v>0</v>
      </c>
      <c r="R345">
        <v>4.3</v>
      </c>
      <c r="S345" t="str">
        <f>_xlfn.XLOOKUP(Table1[[#This Row],[method]],Table7[method],Table7[id_method])</f>
        <v>PAY0709</v>
      </c>
      <c r="T345" t="s">
        <v>1236</v>
      </c>
      <c r="U345">
        <v>90000</v>
      </c>
    </row>
    <row r="346" spans="1:21" x14ac:dyDescent="0.25">
      <c r="A346" t="s">
        <v>358</v>
      </c>
      <c r="B346" t="str">
        <f>_xlfn.XLOOKUP(Table1[[#This Row],[date]],Table8[date],Table8[id_date])</f>
        <v>TGL0684</v>
      </c>
      <c r="C346" s="1">
        <v>45519</v>
      </c>
      <c r="D346" s="1" t="str">
        <f>_xlfn.XLOOKUP(Table1[[#This Row],[customer_name]],Table11[customer_name],Table11[id_cust])</f>
        <v>CNA0268</v>
      </c>
      <c r="E346" t="s">
        <v>1133</v>
      </c>
      <c r="F346">
        <v>31</v>
      </c>
      <c r="G346" t="str">
        <f>_xlfn.XLOOKUP(Table1[[#This Row],[branch_name]],Table3[branch_name],Table3[id_branch])</f>
        <v>BRCH002</v>
      </c>
      <c r="H346" t="s">
        <v>1214</v>
      </c>
      <c r="I346" t="str">
        <f>_xlfn.XLOOKUP(Table1[[#This Row],[city]],Table4[city],Table4[id_city])</f>
        <v>KOA0103</v>
      </c>
      <c r="J346" t="s">
        <v>1219</v>
      </c>
      <c r="K346" t="str">
        <f>_xlfn.XLOOKUP(Table1[[#This Row],[menu_name]],Table5[menu_name],Table5[id_menu])</f>
        <v>MENU006</v>
      </c>
      <c r="L346" t="s">
        <v>1228</v>
      </c>
      <c r="M346" t="str">
        <f>_xlfn.XLOOKUP(Table1[[#This Row],[category]],Table6[category],Table6[id_category])</f>
        <v>KTG0206</v>
      </c>
      <c r="N346" t="s">
        <v>1234</v>
      </c>
      <c r="O346">
        <v>2</v>
      </c>
      <c r="P346">
        <v>32000</v>
      </c>
      <c r="Q346">
        <v>5</v>
      </c>
      <c r="R346">
        <v>5</v>
      </c>
      <c r="S346" t="str">
        <f>_xlfn.XLOOKUP(Table1[[#This Row],[method]],Table7[method],Table7[id_method])</f>
        <v>PAY0711</v>
      </c>
      <c r="T346" t="s">
        <v>1238</v>
      </c>
      <c r="U346">
        <v>60800</v>
      </c>
    </row>
    <row r="347" spans="1:21" x14ac:dyDescent="0.25">
      <c r="A347" t="s">
        <v>359</v>
      </c>
      <c r="B347" t="str">
        <f>_xlfn.XLOOKUP(Table1[[#This Row],[date]],Table8[date],Table8[id_date])</f>
        <v>TGL0684</v>
      </c>
      <c r="C347" s="1">
        <v>45519</v>
      </c>
      <c r="D347" s="1" t="str">
        <f>_xlfn.XLOOKUP(Table1[[#This Row],[customer_name]],Table11[customer_name],Table11[id_cust])</f>
        <v>CNA0269</v>
      </c>
      <c r="E347" t="s">
        <v>1134</v>
      </c>
      <c r="F347">
        <v>34</v>
      </c>
      <c r="G347" t="str">
        <f>_xlfn.XLOOKUP(Table1[[#This Row],[branch_name]],Table3[branch_name],Table3[id_branch])</f>
        <v>BRCH005</v>
      </c>
      <c r="H347" t="s">
        <v>1217</v>
      </c>
      <c r="I347" t="str">
        <f>_xlfn.XLOOKUP(Table1[[#This Row],[city]],Table4[city],Table4[id_city])</f>
        <v>KOA0106</v>
      </c>
      <c r="J347" t="s">
        <v>1222</v>
      </c>
      <c r="K347" t="str">
        <f>_xlfn.XLOOKUP(Table1[[#This Row],[menu_name]],Table5[menu_name],Table5[id_menu])</f>
        <v>MENU006</v>
      </c>
      <c r="L347" t="s">
        <v>1228</v>
      </c>
      <c r="M347" t="str">
        <f>_xlfn.XLOOKUP(Table1[[#This Row],[category]],Table6[category],Table6[id_category])</f>
        <v>KTG0206</v>
      </c>
      <c r="N347" t="s">
        <v>1234</v>
      </c>
      <c r="O347">
        <v>4</v>
      </c>
      <c r="P347">
        <v>32000</v>
      </c>
      <c r="Q347">
        <v>0</v>
      </c>
      <c r="R347">
        <v>3.7</v>
      </c>
      <c r="S347" t="str">
        <f>_xlfn.XLOOKUP(Table1[[#This Row],[method]],Table7[method],Table7[id_method])</f>
        <v>PAY0709</v>
      </c>
      <c r="T347" t="s">
        <v>1236</v>
      </c>
      <c r="U347">
        <v>128000</v>
      </c>
    </row>
    <row r="348" spans="1:21" x14ac:dyDescent="0.25">
      <c r="A348" t="s">
        <v>360</v>
      </c>
      <c r="B348" t="str">
        <f>_xlfn.XLOOKUP(Table1[[#This Row],[date]],Table8[date],Table8[id_date])</f>
        <v>TGL0685</v>
      </c>
      <c r="C348" s="1">
        <v>45520</v>
      </c>
      <c r="D348" s="1" t="str">
        <f>_xlfn.XLOOKUP(Table1[[#This Row],[customer_name]],Table11[customer_name],Table11[id_cust])</f>
        <v>CNA0224</v>
      </c>
      <c r="E348" t="s">
        <v>1111</v>
      </c>
      <c r="F348">
        <v>49</v>
      </c>
      <c r="G348" t="str">
        <f>_xlfn.XLOOKUP(Table1[[#This Row],[branch_name]],Table3[branch_name],Table3[id_branch])</f>
        <v>BRCH004</v>
      </c>
      <c r="H348" t="s">
        <v>1216</v>
      </c>
      <c r="I348" t="str">
        <f>_xlfn.XLOOKUP(Table1[[#This Row],[city]],Table4[city],Table4[id_city])</f>
        <v>KOA0105</v>
      </c>
      <c r="J348" t="s">
        <v>1221</v>
      </c>
      <c r="K348" t="str">
        <f>_xlfn.XLOOKUP(Table1[[#This Row],[menu_name]],Table5[menu_name],Table5[id_menu])</f>
        <v>MENU002</v>
      </c>
      <c r="L348" t="s">
        <v>1224</v>
      </c>
      <c r="M348" t="str">
        <f>_xlfn.XLOOKUP(Table1[[#This Row],[category]],Table6[category],Table6[id_category])</f>
        <v>KTG0206</v>
      </c>
      <c r="N348" t="s">
        <v>1234</v>
      </c>
      <c r="O348">
        <v>5</v>
      </c>
      <c r="P348">
        <v>30000</v>
      </c>
      <c r="Q348">
        <v>0</v>
      </c>
      <c r="R348">
        <v>4.0999999999999996</v>
      </c>
      <c r="S348" t="str">
        <f>_xlfn.XLOOKUP(Table1[[#This Row],[method]],Table7[method],Table7[id_method])</f>
        <v>PAY0710</v>
      </c>
      <c r="T348" t="s">
        <v>1237</v>
      </c>
      <c r="U348">
        <v>150000</v>
      </c>
    </row>
    <row r="349" spans="1:21" x14ac:dyDescent="0.25">
      <c r="A349" t="s">
        <v>361</v>
      </c>
      <c r="B349" t="str">
        <f>_xlfn.XLOOKUP(Table1[[#This Row],[date]],Table8[date],Table8[id_date])</f>
        <v>TGL0685</v>
      </c>
      <c r="C349" s="1">
        <v>45520</v>
      </c>
      <c r="D349" s="1" t="str">
        <f>_xlfn.XLOOKUP(Table1[[#This Row],[customer_name]],Table11[customer_name],Table11[id_cust])</f>
        <v>CNA0448</v>
      </c>
      <c r="E349" t="s">
        <v>1180</v>
      </c>
      <c r="F349">
        <v>22</v>
      </c>
      <c r="G349" t="str">
        <f>_xlfn.XLOOKUP(Table1[[#This Row],[branch_name]],Table3[branch_name],Table3[id_branch])</f>
        <v>BRCH002</v>
      </c>
      <c r="H349" t="s">
        <v>1214</v>
      </c>
      <c r="I349" t="str">
        <f>_xlfn.XLOOKUP(Table1[[#This Row],[city]],Table4[city],Table4[id_city])</f>
        <v>KOA0103</v>
      </c>
      <c r="J349" t="s">
        <v>1219</v>
      </c>
      <c r="K349" t="str">
        <f>_xlfn.XLOOKUP(Table1[[#This Row],[menu_name]],Table5[menu_name],Table5[id_menu])</f>
        <v>MENU008</v>
      </c>
      <c r="L349" t="s">
        <v>1230</v>
      </c>
      <c r="M349" t="str">
        <f>_xlfn.XLOOKUP(Table1[[#This Row],[category]],Table6[category],Table6[id_category])</f>
        <v>KTG0205</v>
      </c>
      <c r="N349" t="s">
        <v>1233</v>
      </c>
      <c r="O349">
        <v>3</v>
      </c>
      <c r="P349">
        <v>20000</v>
      </c>
      <c r="Q349">
        <v>0</v>
      </c>
      <c r="R349">
        <v>2.6</v>
      </c>
      <c r="S349" t="str">
        <f>_xlfn.XLOOKUP(Table1[[#This Row],[method]],Table7[method],Table7[id_method])</f>
        <v>PAY0710</v>
      </c>
      <c r="T349" t="s">
        <v>1237</v>
      </c>
      <c r="U349">
        <v>60000</v>
      </c>
    </row>
    <row r="350" spans="1:21" x14ac:dyDescent="0.25">
      <c r="A350" t="s">
        <v>362</v>
      </c>
      <c r="B350" t="str">
        <f>_xlfn.XLOOKUP(Table1[[#This Row],[date]],Table8[date],Table8[id_date])</f>
        <v>TGL0685</v>
      </c>
      <c r="C350" s="1">
        <v>45520</v>
      </c>
      <c r="D350" s="1" t="str">
        <f>_xlfn.XLOOKUP(Table1[[#This Row],[customer_name]],Table11[customer_name],Table11[id_cust])</f>
        <v>CNA0195</v>
      </c>
      <c r="E350" t="s">
        <v>1093</v>
      </c>
      <c r="F350">
        <v>42</v>
      </c>
      <c r="G350" t="str">
        <f>_xlfn.XLOOKUP(Table1[[#This Row],[branch_name]],Table3[branch_name],Table3[id_branch])</f>
        <v>BRCH005</v>
      </c>
      <c r="H350" t="s">
        <v>1217</v>
      </c>
      <c r="I350" t="str">
        <f>_xlfn.XLOOKUP(Table1[[#This Row],[city]],Table4[city],Table4[id_city])</f>
        <v>KOA0106</v>
      </c>
      <c r="J350" t="s">
        <v>1222</v>
      </c>
      <c r="K350" t="str">
        <f>_xlfn.XLOOKUP(Table1[[#This Row],[menu_name]],Table5[menu_name],Table5[id_menu])</f>
        <v>MENU010</v>
      </c>
      <c r="L350" t="s">
        <v>1232</v>
      </c>
      <c r="M350" t="str">
        <f>_xlfn.XLOOKUP(Table1[[#This Row],[category]],Table6[category],Table6[id_category])</f>
        <v>KTG0205</v>
      </c>
      <c r="N350" t="s">
        <v>1233</v>
      </c>
      <c r="O350">
        <v>5</v>
      </c>
      <c r="P350">
        <v>18000</v>
      </c>
      <c r="Q350">
        <v>10</v>
      </c>
      <c r="R350">
        <v>1.7</v>
      </c>
      <c r="S350" t="str">
        <f>_xlfn.XLOOKUP(Table1[[#This Row],[method]],Table7[method],Table7[id_method])</f>
        <v>PAY0712</v>
      </c>
      <c r="T350" t="s">
        <v>1239</v>
      </c>
      <c r="U350">
        <v>81000</v>
      </c>
    </row>
    <row r="351" spans="1:21" x14ac:dyDescent="0.25">
      <c r="A351" t="s">
        <v>363</v>
      </c>
      <c r="B351" t="str">
        <f>_xlfn.XLOOKUP(Table1[[#This Row],[date]],Table8[date],Table8[id_date])</f>
        <v>TGL0685</v>
      </c>
      <c r="C351" s="1">
        <v>45520</v>
      </c>
      <c r="D351" s="1" t="str">
        <f>_xlfn.XLOOKUP(Table1[[#This Row],[customer_name]],Table11[customer_name],Table11[id_cust])</f>
        <v>CNA0211</v>
      </c>
      <c r="E351" t="s">
        <v>1103</v>
      </c>
      <c r="F351">
        <v>49</v>
      </c>
      <c r="G351" t="str">
        <f>_xlfn.XLOOKUP(Table1[[#This Row],[branch_name]],Table3[branch_name],Table3[id_branch])</f>
        <v>BRCH002</v>
      </c>
      <c r="H351" t="s">
        <v>1214</v>
      </c>
      <c r="I351" t="str">
        <f>_xlfn.XLOOKUP(Table1[[#This Row],[city]],Table4[city],Table4[id_city])</f>
        <v>KOA0103</v>
      </c>
      <c r="J351" t="s">
        <v>1219</v>
      </c>
      <c r="K351" t="str">
        <f>_xlfn.XLOOKUP(Table1[[#This Row],[menu_name]],Table5[menu_name],Table5[id_menu])</f>
        <v>MENU001</v>
      </c>
      <c r="L351" t="s">
        <v>1223</v>
      </c>
      <c r="M351" t="str">
        <f>_xlfn.XLOOKUP(Table1[[#This Row],[category]],Table6[category],Table6[id_category])</f>
        <v>KTG0205</v>
      </c>
      <c r="N351" t="s">
        <v>1233</v>
      </c>
      <c r="O351">
        <v>3</v>
      </c>
      <c r="P351">
        <v>25000</v>
      </c>
      <c r="Q351">
        <v>0</v>
      </c>
      <c r="R351">
        <v>1.2</v>
      </c>
      <c r="S351" t="str">
        <f>_xlfn.XLOOKUP(Table1[[#This Row],[method]],Table7[method],Table7[id_method])</f>
        <v>PAY0709</v>
      </c>
      <c r="T351" t="s">
        <v>1236</v>
      </c>
      <c r="U351">
        <v>75000</v>
      </c>
    </row>
    <row r="352" spans="1:21" x14ac:dyDescent="0.25">
      <c r="A352" t="s">
        <v>364</v>
      </c>
      <c r="B352" t="str">
        <f>_xlfn.XLOOKUP(Table1[[#This Row],[date]],Table8[date],Table8[id_date])</f>
        <v>TGL0685</v>
      </c>
      <c r="C352" s="1">
        <v>45520</v>
      </c>
      <c r="D352" s="1" t="str">
        <f>_xlfn.XLOOKUP(Table1[[#This Row],[customer_name]],Table11[customer_name],Table11[id_cust])</f>
        <v>CNA0192</v>
      </c>
      <c r="E352" t="s">
        <v>1092</v>
      </c>
      <c r="F352">
        <v>20</v>
      </c>
      <c r="G352" t="str">
        <f>_xlfn.XLOOKUP(Table1[[#This Row],[branch_name]],Table3[branch_name],Table3[id_branch])</f>
        <v>BRCH002</v>
      </c>
      <c r="H352" t="s">
        <v>1214</v>
      </c>
      <c r="I352" t="str">
        <f>_xlfn.XLOOKUP(Table1[[#This Row],[city]],Table4[city],Table4[id_city])</f>
        <v>KOA0103</v>
      </c>
      <c r="J352" t="s">
        <v>1219</v>
      </c>
      <c r="K352" t="str">
        <f>_xlfn.XLOOKUP(Table1[[#This Row],[menu_name]],Table5[menu_name],Table5[id_menu])</f>
        <v>MENU002</v>
      </c>
      <c r="L352" t="s">
        <v>1224</v>
      </c>
      <c r="M352" t="str">
        <f>_xlfn.XLOOKUP(Table1[[#This Row],[category]],Table6[category],Table6[id_category])</f>
        <v>KTG0206</v>
      </c>
      <c r="N352" t="s">
        <v>1234</v>
      </c>
      <c r="O352">
        <v>5</v>
      </c>
      <c r="P352">
        <v>30000</v>
      </c>
      <c r="Q352">
        <v>0</v>
      </c>
      <c r="R352">
        <v>1.7</v>
      </c>
      <c r="S352" t="str">
        <f>_xlfn.XLOOKUP(Table1[[#This Row],[method]],Table7[method],Table7[id_method])</f>
        <v>PAY0709</v>
      </c>
      <c r="T352" t="s">
        <v>1236</v>
      </c>
      <c r="U352">
        <v>150000</v>
      </c>
    </row>
    <row r="353" spans="1:21" x14ac:dyDescent="0.25">
      <c r="A353" t="s">
        <v>365</v>
      </c>
      <c r="B353" t="str">
        <f>_xlfn.XLOOKUP(Table1[[#This Row],[date]],Table8[date],Table8[id_date])</f>
        <v>TGL0686</v>
      </c>
      <c r="C353" s="1">
        <v>45521</v>
      </c>
      <c r="D353" s="1" t="str">
        <f>_xlfn.XLOOKUP(Table1[[#This Row],[customer_name]],Table11[customer_name],Table11[id_cust])</f>
        <v>CNA0158</v>
      </c>
      <c r="E353" t="s">
        <v>1066</v>
      </c>
      <c r="F353">
        <v>48</v>
      </c>
      <c r="G353" t="str">
        <f>_xlfn.XLOOKUP(Table1[[#This Row],[branch_name]],Table3[branch_name],Table3[id_branch])</f>
        <v>BRCH004</v>
      </c>
      <c r="H353" t="s">
        <v>1216</v>
      </c>
      <c r="I353" t="str">
        <f>_xlfn.XLOOKUP(Table1[[#This Row],[city]],Table4[city],Table4[id_city])</f>
        <v>KOA0105</v>
      </c>
      <c r="J353" t="s">
        <v>1221</v>
      </c>
      <c r="K353" t="str">
        <f>_xlfn.XLOOKUP(Table1[[#This Row],[menu_name]],Table5[menu_name],Table5[id_menu])</f>
        <v>MENU003</v>
      </c>
      <c r="L353" t="s">
        <v>1225</v>
      </c>
      <c r="M353" t="str">
        <f>_xlfn.XLOOKUP(Table1[[#This Row],[category]],Table6[category],Table6[id_category])</f>
        <v>KTG0205</v>
      </c>
      <c r="N353" t="s">
        <v>1233</v>
      </c>
      <c r="O353">
        <v>1</v>
      </c>
      <c r="P353">
        <v>22000</v>
      </c>
      <c r="Q353">
        <v>0</v>
      </c>
      <c r="R353">
        <v>1.5</v>
      </c>
      <c r="S353" t="str">
        <f>_xlfn.XLOOKUP(Table1[[#This Row],[method]],Table7[method],Table7[id_method])</f>
        <v>PAY0710</v>
      </c>
      <c r="T353" t="s">
        <v>1237</v>
      </c>
      <c r="U353">
        <v>22000</v>
      </c>
    </row>
    <row r="354" spans="1:21" x14ac:dyDescent="0.25">
      <c r="A354" t="s">
        <v>366</v>
      </c>
      <c r="B354" t="str">
        <f>_xlfn.XLOOKUP(Table1[[#This Row],[date]],Table8[date],Table8[id_date])</f>
        <v>TGL0686</v>
      </c>
      <c r="C354" s="1">
        <v>45521</v>
      </c>
      <c r="D354" s="1" t="str">
        <f>_xlfn.XLOOKUP(Table1[[#This Row],[customer_name]],Table11[customer_name],Table11[id_cust])</f>
        <v>CNA0453</v>
      </c>
      <c r="E354" t="s">
        <v>1181</v>
      </c>
      <c r="F354">
        <v>44</v>
      </c>
      <c r="G354" t="str">
        <f>_xlfn.XLOOKUP(Table1[[#This Row],[branch_name]],Table3[branch_name],Table3[id_branch])</f>
        <v>BRCH001</v>
      </c>
      <c r="H354" t="s">
        <v>1213</v>
      </c>
      <c r="I354" t="str">
        <f>_xlfn.XLOOKUP(Table1[[#This Row],[city]],Table4[city],Table4[id_city])</f>
        <v>KOA0102</v>
      </c>
      <c r="J354" t="s">
        <v>1218</v>
      </c>
      <c r="K354" t="str">
        <f>_xlfn.XLOOKUP(Table1[[#This Row],[menu_name]],Table5[menu_name],Table5[id_menu])</f>
        <v>MENU004</v>
      </c>
      <c r="L354" t="s">
        <v>1226</v>
      </c>
      <c r="M354" t="str">
        <f>_xlfn.XLOOKUP(Table1[[#This Row],[category]],Table6[category],Table6[id_category])</f>
        <v>KTG0207</v>
      </c>
      <c r="N354" t="s">
        <v>1235</v>
      </c>
      <c r="O354">
        <v>2</v>
      </c>
      <c r="P354">
        <v>28000</v>
      </c>
      <c r="Q354">
        <v>5</v>
      </c>
      <c r="R354">
        <v>2.9</v>
      </c>
      <c r="S354" t="str">
        <f>_xlfn.XLOOKUP(Table1[[#This Row],[method]],Table7[method],Table7[id_method])</f>
        <v>PAY0712</v>
      </c>
      <c r="T354" t="s">
        <v>1239</v>
      </c>
      <c r="U354">
        <v>53200</v>
      </c>
    </row>
    <row r="355" spans="1:21" x14ac:dyDescent="0.25">
      <c r="A355" t="s">
        <v>367</v>
      </c>
      <c r="B355" t="str">
        <f>_xlfn.XLOOKUP(Table1[[#This Row],[date]],Table8[date],Table8[id_date])</f>
        <v>TGL0687</v>
      </c>
      <c r="C355" s="1">
        <v>45522</v>
      </c>
      <c r="D355" s="1" t="str">
        <f>_xlfn.XLOOKUP(Table1[[#This Row],[customer_name]],Table11[customer_name],Table11[id_cust])</f>
        <v>CNA0390</v>
      </c>
      <c r="E355" t="s">
        <v>1170</v>
      </c>
      <c r="F355">
        <v>32</v>
      </c>
      <c r="G355" t="str">
        <f>_xlfn.XLOOKUP(Table1[[#This Row],[branch_name]],Table3[branch_name],Table3[id_branch])</f>
        <v>BRCH003</v>
      </c>
      <c r="H355" t="s">
        <v>1215</v>
      </c>
      <c r="I355" t="str">
        <f>_xlfn.XLOOKUP(Table1[[#This Row],[city]],Table4[city],Table4[id_city])</f>
        <v>KOA0104</v>
      </c>
      <c r="J355" t="s">
        <v>1220</v>
      </c>
      <c r="K355" t="str">
        <f>_xlfn.XLOOKUP(Table1[[#This Row],[menu_name]],Table5[menu_name],Table5[id_menu])</f>
        <v>MENU003</v>
      </c>
      <c r="L355" t="s">
        <v>1225</v>
      </c>
      <c r="M355" t="str">
        <f>_xlfn.XLOOKUP(Table1[[#This Row],[category]],Table6[category],Table6[id_category])</f>
        <v>KTG0205</v>
      </c>
      <c r="N355" t="s">
        <v>1233</v>
      </c>
      <c r="O355">
        <v>5</v>
      </c>
      <c r="P355">
        <v>22000</v>
      </c>
      <c r="Q355">
        <v>0</v>
      </c>
      <c r="R355">
        <v>3.3</v>
      </c>
      <c r="S355" t="str">
        <f>_xlfn.XLOOKUP(Table1[[#This Row],[method]],Table7[method],Table7[id_method])</f>
        <v>PAY0712</v>
      </c>
      <c r="T355" t="s">
        <v>1239</v>
      </c>
      <c r="U355">
        <v>110000</v>
      </c>
    </row>
    <row r="356" spans="1:21" x14ac:dyDescent="0.25">
      <c r="A356" t="s">
        <v>368</v>
      </c>
      <c r="B356" t="str">
        <f>_xlfn.XLOOKUP(Table1[[#This Row],[date]],Table8[date],Table8[id_date])</f>
        <v>TGL0687</v>
      </c>
      <c r="C356" s="1">
        <v>45522</v>
      </c>
      <c r="D356" s="1" t="str">
        <f>_xlfn.XLOOKUP(Table1[[#This Row],[customer_name]],Table11[customer_name],Table11[id_cust])</f>
        <v>CNA0188</v>
      </c>
      <c r="E356" t="s">
        <v>1090</v>
      </c>
      <c r="F356">
        <v>19</v>
      </c>
      <c r="G356" t="str">
        <f>_xlfn.XLOOKUP(Table1[[#This Row],[branch_name]],Table3[branch_name],Table3[id_branch])</f>
        <v>BRCH002</v>
      </c>
      <c r="H356" t="s">
        <v>1214</v>
      </c>
      <c r="I356" t="str">
        <f>_xlfn.XLOOKUP(Table1[[#This Row],[city]],Table4[city],Table4[id_city])</f>
        <v>KOA0103</v>
      </c>
      <c r="J356" t="s">
        <v>1219</v>
      </c>
      <c r="K356" t="str">
        <f>_xlfn.XLOOKUP(Table1[[#This Row],[menu_name]],Table5[menu_name],Table5[id_menu])</f>
        <v>MENU007</v>
      </c>
      <c r="L356" t="s">
        <v>1229</v>
      </c>
      <c r="M356" t="str">
        <f>_xlfn.XLOOKUP(Table1[[#This Row],[category]],Table6[category],Table6[id_category])</f>
        <v>KTG0207</v>
      </c>
      <c r="N356" t="s">
        <v>1235</v>
      </c>
      <c r="O356">
        <v>1</v>
      </c>
      <c r="P356">
        <v>27000</v>
      </c>
      <c r="Q356">
        <v>20</v>
      </c>
      <c r="R356">
        <v>4.9000000000000004</v>
      </c>
      <c r="S356" t="str">
        <f>_xlfn.XLOOKUP(Table1[[#This Row],[method]],Table7[method],Table7[id_method])</f>
        <v>PAY0712</v>
      </c>
      <c r="T356" t="s">
        <v>1239</v>
      </c>
      <c r="U356">
        <v>21600</v>
      </c>
    </row>
    <row r="357" spans="1:21" x14ac:dyDescent="0.25">
      <c r="A357" t="s">
        <v>369</v>
      </c>
      <c r="B357" t="str">
        <f>_xlfn.XLOOKUP(Table1[[#This Row],[date]],Table8[date],Table8[id_date])</f>
        <v>TGL0688</v>
      </c>
      <c r="C357" s="1">
        <v>45524</v>
      </c>
      <c r="D357" s="1" t="str">
        <f>_xlfn.XLOOKUP(Table1[[#This Row],[customer_name]],Table11[customer_name],Table11[id_cust])</f>
        <v>CNA0374</v>
      </c>
      <c r="E357" t="s">
        <v>1167</v>
      </c>
      <c r="F357">
        <v>24</v>
      </c>
      <c r="G357" t="str">
        <f>_xlfn.XLOOKUP(Table1[[#This Row],[branch_name]],Table3[branch_name],Table3[id_branch])</f>
        <v>BRCH003</v>
      </c>
      <c r="H357" t="s">
        <v>1215</v>
      </c>
      <c r="I357" t="str">
        <f>_xlfn.XLOOKUP(Table1[[#This Row],[city]],Table4[city],Table4[id_city])</f>
        <v>KOA0104</v>
      </c>
      <c r="J357" t="s">
        <v>1220</v>
      </c>
      <c r="K357" t="str">
        <f>_xlfn.XLOOKUP(Table1[[#This Row],[menu_name]],Table5[menu_name],Table5[id_menu])</f>
        <v>MENU010</v>
      </c>
      <c r="L357" t="s">
        <v>1232</v>
      </c>
      <c r="M357" t="str">
        <f>_xlfn.XLOOKUP(Table1[[#This Row],[category]],Table6[category],Table6[id_category])</f>
        <v>KTG0205</v>
      </c>
      <c r="N357" t="s">
        <v>1233</v>
      </c>
      <c r="O357">
        <v>2</v>
      </c>
      <c r="P357">
        <v>18000</v>
      </c>
      <c r="Q357">
        <v>0</v>
      </c>
      <c r="R357">
        <v>2.8</v>
      </c>
      <c r="S357" t="str">
        <f>_xlfn.XLOOKUP(Table1[[#This Row],[method]],Table7[method],Table7[id_method])</f>
        <v>PAY0710</v>
      </c>
      <c r="T357" t="s">
        <v>1237</v>
      </c>
      <c r="U357">
        <v>36000</v>
      </c>
    </row>
    <row r="358" spans="1:21" x14ac:dyDescent="0.25">
      <c r="A358" t="s">
        <v>370</v>
      </c>
      <c r="B358" t="str">
        <f>_xlfn.XLOOKUP(Table1[[#This Row],[date]],Table8[date],Table8[id_date])</f>
        <v>TGL0688</v>
      </c>
      <c r="C358" s="1">
        <v>45524</v>
      </c>
      <c r="D358" s="1" t="str">
        <f>_xlfn.XLOOKUP(Table1[[#This Row],[customer_name]],Table11[customer_name],Table11[id_cust])</f>
        <v>CNA0390</v>
      </c>
      <c r="E358" t="s">
        <v>1170</v>
      </c>
      <c r="F358">
        <v>32</v>
      </c>
      <c r="G358" t="str">
        <f>_xlfn.XLOOKUP(Table1[[#This Row],[branch_name]],Table3[branch_name],Table3[id_branch])</f>
        <v>BRCH002</v>
      </c>
      <c r="H358" t="s">
        <v>1214</v>
      </c>
      <c r="I358" t="str">
        <f>_xlfn.XLOOKUP(Table1[[#This Row],[city]],Table4[city],Table4[id_city])</f>
        <v>KOA0103</v>
      </c>
      <c r="J358" t="s">
        <v>1219</v>
      </c>
      <c r="K358" t="str">
        <f>_xlfn.XLOOKUP(Table1[[#This Row],[menu_name]],Table5[menu_name],Table5[id_menu])</f>
        <v>MENU005</v>
      </c>
      <c r="L358" t="s">
        <v>1227</v>
      </c>
      <c r="M358" t="str">
        <f>_xlfn.XLOOKUP(Table1[[#This Row],[category]],Table6[category],Table6[id_category])</f>
        <v>KTG0206</v>
      </c>
      <c r="N358" t="s">
        <v>1234</v>
      </c>
      <c r="O358">
        <v>2</v>
      </c>
      <c r="P358">
        <v>23000</v>
      </c>
      <c r="Q358">
        <v>0</v>
      </c>
      <c r="R358">
        <v>2.8</v>
      </c>
      <c r="S358" t="str">
        <f>_xlfn.XLOOKUP(Table1[[#This Row],[method]],Table7[method],Table7[id_method])</f>
        <v>PAY0711</v>
      </c>
      <c r="T358" t="s">
        <v>1238</v>
      </c>
      <c r="U358">
        <v>46000</v>
      </c>
    </row>
    <row r="359" spans="1:21" x14ac:dyDescent="0.25">
      <c r="A359" t="s">
        <v>371</v>
      </c>
      <c r="B359" t="str">
        <f>_xlfn.XLOOKUP(Table1[[#This Row],[date]],Table8[date],Table8[id_date])</f>
        <v>TGL0688</v>
      </c>
      <c r="C359" s="1">
        <v>45524</v>
      </c>
      <c r="D359" s="1" t="str">
        <f>_xlfn.XLOOKUP(Table1[[#This Row],[customer_name]],Table11[customer_name],Table11[id_cust])</f>
        <v>CNA0200</v>
      </c>
      <c r="E359" t="s">
        <v>1095</v>
      </c>
      <c r="F359">
        <v>51</v>
      </c>
      <c r="G359" t="str">
        <f>_xlfn.XLOOKUP(Table1[[#This Row],[branch_name]],Table3[branch_name],Table3[id_branch])</f>
        <v>BRCH004</v>
      </c>
      <c r="H359" t="s">
        <v>1216</v>
      </c>
      <c r="I359" t="str">
        <f>_xlfn.XLOOKUP(Table1[[#This Row],[city]],Table4[city],Table4[id_city])</f>
        <v>KOA0105</v>
      </c>
      <c r="J359" t="s">
        <v>1221</v>
      </c>
      <c r="K359" t="str">
        <f>_xlfn.XLOOKUP(Table1[[#This Row],[menu_name]],Table5[menu_name],Table5[id_menu])</f>
        <v>MENU007</v>
      </c>
      <c r="L359" t="s">
        <v>1229</v>
      </c>
      <c r="M359" t="str">
        <f>_xlfn.XLOOKUP(Table1[[#This Row],[category]],Table6[category],Table6[id_category])</f>
        <v>KTG0207</v>
      </c>
      <c r="N359" t="s">
        <v>1235</v>
      </c>
      <c r="O359">
        <v>1</v>
      </c>
      <c r="P359">
        <v>27000</v>
      </c>
      <c r="Q359">
        <v>15</v>
      </c>
      <c r="R359">
        <v>3.4</v>
      </c>
      <c r="S359" t="str">
        <f>_xlfn.XLOOKUP(Table1[[#This Row],[method]],Table7[method],Table7[id_method])</f>
        <v>PAY0711</v>
      </c>
      <c r="T359" t="s">
        <v>1238</v>
      </c>
      <c r="U359">
        <v>22950</v>
      </c>
    </row>
    <row r="360" spans="1:21" x14ac:dyDescent="0.25">
      <c r="A360" t="s">
        <v>372</v>
      </c>
      <c r="B360" t="str">
        <f>_xlfn.XLOOKUP(Table1[[#This Row],[date]],Table8[date],Table8[id_date])</f>
        <v>TGL0688</v>
      </c>
      <c r="C360" s="1">
        <v>45524</v>
      </c>
      <c r="D360" s="1" t="str">
        <f>_xlfn.XLOOKUP(Table1[[#This Row],[customer_name]],Table11[customer_name],Table11[id_cust])</f>
        <v>CNA0280</v>
      </c>
      <c r="E360" t="s">
        <v>1140</v>
      </c>
      <c r="F360">
        <v>25</v>
      </c>
      <c r="G360" t="str">
        <f>_xlfn.XLOOKUP(Table1[[#This Row],[branch_name]],Table3[branch_name],Table3[id_branch])</f>
        <v>BRCH002</v>
      </c>
      <c r="H360" t="s">
        <v>1214</v>
      </c>
      <c r="I360" t="str">
        <f>_xlfn.XLOOKUP(Table1[[#This Row],[city]],Table4[city],Table4[id_city])</f>
        <v>KOA0103</v>
      </c>
      <c r="J360" t="s">
        <v>1219</v>
      </c>
      <c r="K360" t="str">
        <f>_xlfn.XLOOKUP(Table1[[#This Row],[menu_name]],Table5[menu_name],Table5[id_menu])</f>
        <v>MENU002</v>
      </c>
      <c r="L360" t="s">
        <v>1224</v>
      </c>
      <c r="M360" t="str">
        <f>_xlfn.XLOOKUP(Table1[[#This Row],[category]],Table6[category],Table6[id_category])</f>
        <v>KTG0206</v>
      </c>
      <c r="N360" t="s">
        <v>1234</v>
      </c>
      <c r="O360">
        <v>3</v>
      </c>
      <c r="P360">
        <v>30000</v>
      </c>
      <c r="Q360">
        <v>0</v>
      </c>
      <c r="R360">
        <v>4.7</v>
      </c>
      <c r="S360" t="str">
        <f>_xlfn.XLOOKUP(Table1[[#This Row],[method]],Table7[method],Table7[id_method])</f>
        <v>PAY0712</v>
      </c>
      <c r="T360" t="s">
        <v>1239</v>
      </c>
      <c r="U360">
        <v>90000</v>
      </c>
    </row>
    <row r="361" spans="1:21" x14ac:dyDescent="0.25">
      <c r="A361" t="s">
        <v>373</v>
      </c>
      <c r="B361" t="str">
        <f>_xlfn.XLOOKUP(Table1[[#This Row],[date]],Table8[date],Table8[id_date])</f>
        <v>TGL0688</v>
      </c>
      <c r="C361" s="1">
        <v>45524</v>
      </c>
      <c r="D361" s="1" t="str">
        <f>_xlfn.XLOOKUP(Table1[[#This Row],[customer_name]],Table11[customer_name],Table11[id_cust])</f>
        <v>CNA0214</v>
      </c>
      <c r="E361" t="s">
        <v>1105</v>
      </c>
      <c r="F361">
        <v>18</v>
      </c>
      <c r="G361" t="str">
        <f>_xlfn.XLOOKUP(Table1[[#This Row],[branch_name]],Table3[branch_name],Table3[id_branch])</f>
        <v>BRCH001</v>
      </c>
      <c r="H361" t="s">
        <v>1213</v>
      </c>
      <c r="I361" t="str">
        <f>_xlfn.XLOOKUP(Table1[[#This Row],[city]],Table4[city],Table4[id_city])</f>
        <v>KOA0102</v>
      </c>
      <c r="J361" t="s">
        <v>1218</v>
      </c>
      <c r="K361" t="str">
        <f>_xlfn.XLOOKUP(Table1[[#This Row],[menu_name]],Table5[menu_name],Table5[id_menu])</f>
        <v>MENU007</v>
      </c>
      <c r="L361" t="s">
        <v>1229</v>
      </c>
      <c r="M361" t="str">
        <f>_xlfn.XLOOKUP(Table1[[#This Row],[category]],Table6[category],Table6[id_category])</f>
        <v>KTG0207</v>
      </c>
      <c r="N361" t="s">
        <v>1235</v>
      </c>
      <c r="O361">
        <v>3</v>
      </c>
      <c r="P361">
        <v>27000</v>
      </c>
      <c r="Q361">
        <v>5</v>
      </c>
      <c r="R361">
        <v>4.7</v>
      </c>
      <c r="S361" t="str">
        <f>_xlfn.XLOOKUP(Table1[[#This Row],[method]],Table7[method],Table7[id_method])</f>
        <v>PAY0711</v>
      </c>
      <c r="T361" t="s">
        <v>1238</v>
      </c>
      <c r="U361">
        <v>76950</v>
      </c>
    </row>
    <row r="362" spans="1:21" x14ac:dyDescent="0.25">
      <c r="A362" t="s">
        <v>374</v>
      </c>
      <c r="B362" t="str">
        <f>_xlfn.XLOOKUP(Table1[[#This Row],[date]],Table8[date],Table8[id_date])</f>
        <v>TGL0689</v>
      </c>
      <c r="C362" s="1">
        <v>45526</v>
      </c>
      <c r="D362" s="1" t="str">
        <f>_xlfn.XLOOKUP(Table1[[#This Row],[customer_name]],Table11[customer_name],Table11[id_cust])</f>
        <v>CNA0420</v>
      </c>
      <c r="E362" t="s">
        <v>1177</v>
      </c>
      <c r="F362">
        <v>44</v>
      </c>
      <c r="G362" t="str">
        <f>_xlfn.XLOOKUP(Table1[[#This Row],[branch_name]],Table3[branch_name],Table3[id_branch])</f>
        <v>BRCH003</v>
      </c>
      <c r="H362" t="s">
        <v>1215</v>
      </c>
      <c r="I362" t="str">
        <f>_xlfn.XLOOKUP(Table1[[#This Row],[city]],Table4[city],Table4[id_city])</f>
        <v>KOA0104</v>
      </c>
      <c r="J362" t="s">
        <v>1220</v>
      </c>
      <c r="K362" t="str">
        <f>_xlfn.XLOOKUP(Table1[[#This Row],[menu_name]],Table5[menu_name],Table5[id_menu])</f>
        <v>MENU005</v>
      </c>
      <c r="L362" t="s">
        <v>1227</v>
      </c>
      <c r="M362" t="str">
        <f>_xlfn.XLOOKUP(Table1[[#This Row],[category]],Table6[category],Table6[id_category])</f>
        <v>KTG0206</v>
      </c>
      <c r="N362" t="s">
        <v>1234</v>
      </c>
      <c r="O362">
        <v>3</v>
      </c>
      <c r="P362">
        <v>23000</v>
      </c>
      <c r="Q362">
        <v>15</v>
      </c>
      <c r="R362">
        <v>4.8</v>
      </c>
      <c r="S362" t="str">
        <f>_xlfn.XLOOKUP(Table1[[#This Row],[method]],Table7[method],Table7[id_method])</f>
        <v>PAY0711</v>
      </c>
      <c r="T362" t="s">
        <v>1238</v>
      </c>
      <c r="U362">
        <v>58650</v>
      </c>
    </row>
    <row r="363" spans="1:21" x14ac:dyDescent="0.25">
      <c r="A363" t="s">
        <v>375</v>
      </c>
      <c r="B363" t="str">
        <f>_xlfn.XLOOKUP(Table1[[#This Row],[date]],Table8[date],Table8[id_date])</f>
        <v>TGL0690</v>
      </c>
      <c r="C363" s="1">
        <v>45527</v>
      </c>
      <c r="D363" s="1" t="str">
        <f>_xlfn.XLOOKUP(Table1[[#This Row],[customer_name]],Table11[customer_name],Table11[id_cust])</f>
        <v>CNA0184</v>
      </c>
      <c r="E363" t="s">
        <v>1086</v>
      </c>
      <c r="F363">
        <v>24</v>
      </c>
      <c r="G363" t="str">
        <f>_xlfn.XLOOKUP(Table1[[#This Row],[branch_name]],Table3[branch_name],Table3[id_branch])</f>
        <v>BRCH004</v>
      </c>
      <c r="H363" t="s">
        <v>1216</v>
      </c>
      <c r="I363" t="str">
        <f>_xlfn.XLOOKUP(Table1[[#This Row],[city]],Table4[city],Table4[id_city])</f>
        <v>KOA0105</v>
      </c>
      <c r="J363" t="s">
        <v>1221</v>
      </c>
      <c r="K363" t="str">
        <f>_xlfn.XLOOKUP(Table1[[#This Row],[menu_name]],Table5[menu_name],Table5[id_menu])</f>
        <v>MENU003</v>
      </c>
      <c r="L363" t="s">
        <v>1225</v>
      </c>
      <c r="M363" t="str">
        <f>_xlfn.XLOOKUP(Table1[[#This Row],[category]],Table6[category],Table6[id_category])</f>
        <v>KTG0205</v>
      </c>
      <c r="N363" t="s">
        <v>1233</v>
      </c>
      <c r="O363">
        <v>1</v>
      </c>
      <c r="P363">
        <v>22000</v>
      </c>
      <c r="Q363">
        <v>0</v>
      </c>
      <c r="R363">
        <v>2.7</v>
      </c>
      <c r="S363" t="str">
        <f>_xlfn.XLOOKUP(Table1[[#This Row],[method]],Table7[method],Table7[id_method])</f>
        <v>PAY0710</v>
      </c>
      <c r="T363" t="s">
        <v>1237</v>
      </c>
      <c r="U363">
        <v>22000</v>
      </c>
    </row>
    <row r="364" spans="1:21" x14ac:dyDescent="0.25">
      <c r="A364" t="s">
        <v>376</v>
      </c>
      <c r="B364" t="str">
        <f>_xlfn.XLOOKUP(Table1[[#This Row],[date]],Table8[date],Table8[id_date])</f>
        <v>TGL0690</v>
      </c>
      <c r="C364" s="1">
        <v>45527</v>
      </c>
      <c r="D364" s="1" t="str">
        <f>_xlfn.XLOOKUP(Table1[[#This Row],[customer_name]],Table11[customer_name],Table11[id_cust])</f>
        <v>CNA0137</v>
      </c>
      <c r="E364" t="s">
        <v>1048</v>
      </c>
      <c r="F364">
        <v>32</v>
      </c>
      <c r="G364" t="str">
        <f>_xlfn.XLOOKUP(Table1[[#This Row],[branch_name]],Table3[branch_name],Table3[id_branch])</f>
        <v>BRCH002</v>
      </c>
      <c r="H364" t="s">
        <v>1214</v>
      </c>
      <c r="I364" t="str">
        <f>_xlfn.XLOOKUP(Table1[[#This Row],[city]],Table4[city],Table4[id_city])</f>
        <v>KOA0103</v>
      </c>
      <c r="J364" t="s">
        <v>1219</v>
      </c>
      <c r="K364" t="str">
        <f>_xlfn.XLOOKUP(Table1[[#This Row],[menu_name]],Table5[menu_name],Table5[id_menu])</f>
        <v>MENU004</v>
      </c>
      <c r="L364" t="s">
        <v>1226</v>
      </c>
      <c r="M364" t="str">
        <f>_xlfn.XLOOKUP(Table1[[#This Row],[category]],Table6[category],Table6[id_category])</f>
        <v>KTG0207</v>
      </c>
      <c r="N364" t="s">
        <v>1235</v>
      </c>
      <c r="O364">
        <v>2</v>
      </c>
      <c r="P364">
        <v>28000</v>
      </c>
      <c r="Q364">
        <v>5</v>
      </c>
      <c r="R364">
        <v>2.7</v>
      </c>
      <c r="S364" t="str">
        <f>_xlfn.XLOOKUP(Table1[[#This Row],[method]],Table7[method],Table7[id_method])</f>
        <v>PAY0709</v>
      </c>
      <c r="T364" t="s">
        <v>1236</v>
      </c>
      <c r="U364">
        <v>53200</v>
      </c>
    </row>
    <row r="365" spans="1:21" x14ac:dyDescent="0.25">
      <c r="A365" t="s">
        <v>377</v>
      </c>
      <c r="B365" t="str">
        <f>_xlfn.XLOOKUP(Table1[[#This Row],[date]],Table8[date],Table8[id_date])</f>
        <v>TGL0691</v>
      </c>
      <c r="C365" s="1">
        <v>45528</v>
      </c>
      <c r="D365" s="1" t="str">
        <f>_xlfn.XLOOKUP(Table1[[#This Row],[customer_name]],Table11[customer_name],Table11[id_cust])</f>
        <v>CNA0302</v>
      </c>
      <c r="E365" t="s">
        <v>1151</v>
      </c>
      <c r="F365">
        <v>48</v>
      </c>
      <c r="G365" t="str">
        <f>_xlfn.XLOOKUP(Table1[[#This Row],[branch_name]],Table3[branch_name],Table3[id_branch])</f>
        <v>BRCH003</v>
      </c>
      <c r="H365" t="s">
        <v>1215</v>
      </c>
      <c r="I365" t="str">
        <f>_xlfn.XLOOKUP(Table1[[#This Row],[city]],Table4[city],Table4[id_city])</f>
        <v>KOA0104</v>
      </c>
      <c r="J365" t="s">
        <v>1220</v>
      </c>
      <c r="K365" t="str">
        <f>_xlfn.XLOOKUP(Table1[[#This Row],[menu_name]],Table5[menu_name],Table5[id_menu])</f>
        <v>MENU008</v>
      </c>
      <c r="L365" t="s">
        <v>1230</v>
      </c>
      <c r="M365" t="str">
        <f>_xlfn.XLOOKUP(Table1[[#This Row],[category]],Table6[category],Table6[id_category])</f>
        <v>KTG0205</v>
      </c>
      <c r="N365" t="s">
        <v>1233</v>
      </c>
      <c r="O365">
        <v>4</v>
      </c>
      <c r="P365">
        <v>20000</v>
      </c>
      <c r="Q365">
        <v>20</v>
      </c>
      <c r="R365">
        <v>4.8</v>
      </c>
      <c r="S365" t="str">
        <f>_xlfn.XLOOKUP(Table1[[#This Row],[method]],Table7[method],Table7[id_method])</f>
        <v>PAY0711</v>
      </c>
      <c r="T365" t="s">
        <v>1238</v>
      </c>
      <c r="U365">
        <v>64000</v>
      </c>
    </row>
    <row r="366" spans="1:21" x14ac:dyDescent="0.25">
      <c r="A366" t="s">
        <v>378</v>
      </c>
      <c r="B366" t="str">
        <f>_xlfn.XLOOKUP(Table1[[#This Row],[date]],Table8[date],Table8[id_date])</f>
        <v>TGL0692</v>
      </c>
      <c r="C366" s="1">
        <v>45530</v>
      </c>
      <c r="D366" s="1" t="str">
        <f>_xlfn.XLOOKUP(Table1[[#This Row],[customer_name]],Table11[customer_name],Table11[id_cust])</f>
        <v>CNA0333</v>
      </c>
      <c r="E366" t="s">
        <v>1161</v>
      </c>
      <c r="F366">
        <v>27</v>
      </c>
      <c r="G366" t="str">
        <f>_xlfn.XLOOKUP(Table1[[#This Row],[branch_name]],Table3[branch_name],Table3[id_branch])</f>
        <v>BRCH002</v>
      </c>
      <c r="H366" t="s">
        <v>1214</v>
      </c>
      <c r="I366" t="str">
        <f>_xlfn.XLOOKUP(Table1[[#This Row],[city]],Table4[city],Table4[id_city])</f>
        <v>KOA0103</v>
      </c>
      <c r="J366" t="s">
        <v>1219</v>
      </c>
      <c r="K366" t="str">
        <f>_xlfn.XLOOKUP(Table1[[#This Row],[menu_name]],Table5[menu_name],Table5[id_menu])</f>
        <v>MENU006</v>
      </c>
      <c r="L366" t="s">
        <v>1228</v>
      </c>
      <c r="M366" t="str">
        <f>_xlfn.XLOOKUP(Table1[[#This Row],[category]],Table6[category],Table6[id_category])</f>
        <v>KTG0206</v>
      </c>
      <c r="N366" t="s">
        <v>1234</v>
      </c>
      <c r="O366">
        <v>5</v>
      </c>
      <c r="P366">
        <v>32000</v>
      </c>
      <c r="Q366">
        <v>15</v>
      </c>
      <c r="R366">
        <v>4.4000000000000004</v>
      </c>
      <c r="S366" t="str">
        <f>_xlfn.XLOOKUP(Table1[[#This Row],[method]],Table7[method],Table7[id_method])</f>
        <v>PAY0711</v>
      </c>
      <c r="T366" t="s">
        <v>1238</v>
      </c>
      <c r="U366">
        <v>136000</v>
      </c>
    </row>
    <row r="367" spans="1:21" x14ac:dyDescent="0.25">
      <c r="A367" t="s">
        <v>379</v>
      </c>
      <c r="B367" t="str">
        <f>_xlfn.XLOOKUP(Table1[[#This Row],[date]],Table8[date],Table8[id_date])</f>
        <v>TGL0692</v>
      </c>
      <c r="C367" s="1">
        <v>45530</v>
      </c>
      <c r="D367" s="1" t="str">
        <f>_xlfn.XLOOKUP(Table1[[#This Row],[customer_name]],Table11[customer_name],Table11[id_cust])</f>
        <v>CNA0344</v>
      </c>
      <c r="E367" t="s">
        <v>1163</v>
      </c>
      <c r="F367">
        <v>43</v>
      </c>
      <c r="G367" t="str">
        <f>_xlfn.XLOOKUP(Table1[[#This Row],[branch_name]],Table3[branch_name],Table3[id_branch])</f>
        <v>BRCH002</v>
      </c>
      <c r="H367" t="s">
        <v>1214</v>
      </c>
      <c r="I367" t="str">
        <f>_xlfn.XLOOKUP(Table1[[#This Row],[city]],Table4[city],Table4[id_city])</f>
        <v>KOA0103</v>
      </c>
      <c r="J367" t="s">
        <v>1219</v>
      </c>
      <c r="K367" t="str">
        <f>_xlfn.XLOOKUP(Table1[[#This Row],[menu_name]],Table5[menu_name],Table5[id_menu])</f>
        <v>MENU010</v>
      </c>
      <c r="L367" t="s">
        <v>1232</v>
      </c>
      <c r="M367" t="str">
        <f>_xlfn.XLOOKUP(Table1[[#This Row],[category]],Table6[category],Table6[id_category])</f>
        <v>KTG0205</v>
      </c>
      <c r="N367" t="s">
        <v>1233</v>
      </c>
      <c r="O367">
        <v>4</v>
      </c>
      <c r="P367">
        <v>18000</v>
      </c>
      <c r="Q367">
        <v>10</v>
      </c>
      <c r="R367">
        <v>1.5</v>
      </c>
      <c r="S367" t="str">
        <f>_xlfn.XLOOKUP(Table1[[#This Row],[method]],Table7[method],Table7[id_method])</f>
        <v>PAY0710</v>
      </c>
      <c r="T367" t="s">
        <v>1237</v>
      </c>
      <c r="U367">
        <v>64800</v>
      </c>
    </row>
    <row r="368" spans="1:21" x14ac:dyDescent="0.25">
      <c r="A368" t="s">
        <v>380</v>
      </c>
      <c r="B368" t="str">
        <f>_xlfn.XLOOKUP(Table1[[#This Row],[date]],Table8[date],Table8[id_date])</f>
        <v>TGL0692</v>
      </c>
      <c r="C368" s="1">
        <v>45530</v>
      </c>
      <c r="D368" s="1" t="str">
        <f>_xlfn.XLOOKUP(Table1[[#This Row],[customer_name]],Table11[customer_name],Table11[id_cust])</f>
        <v>CNA0148</v>
      </c>
      <c r="E368" t="s">
        <v>1057</v>
      </c>
      <c r="F368">
        <v>53</v>
      </c>
      <c r="G368" t="str">
        <f>_xlfn.XLOOKUP(Table1[[#This Row],[branch_name]],Table3[branch_name],Table3[id_branch])</f>
        <v>BRCH004</v>
      </c>
      <c r="H368" t="s">
        <v>1216</v>
      </c>
      <c r="I368" t="str">
        <f>_xlfn.XLOOKUP(Table1[[#This Row],[city]],Table4[city],Table4[id_city])</f>
        <v>KOA0105</v>
      </c>
      <c r="J368" t="s">
        <v>1221</v>
      </c>
      <c r="K368" t="str">
        <f>_xlfn.XLOOKUP(Table1[[#This Row],[menu_name]],Table5[menu_name],Table5[id_menu])</f>
        <v>MENU005</v>
      </c>
      <c r="L368" t="s">
        <v>1227</v>
      </c>
      <c r="M368" t="str">
        <f>_xlfn.XLOOKUP(Table1[[#This Row],[category]],Table6[category],Table6[id_category])</f>
        <v>KTG0206</v>
      </c>
      <c r="N368" t="s">
        <v>1234</v>
      </c>
      <c r="O368">
        <v>2</v>
      </c>
      <c r="P368">
        <v>23000</v>
      </c>
      <c r="Q368">
        <v>5</v>
      </c>
      <c r="R368">
        <v>2.4</v>
      </c>
      <c r="S368" t="str">
        <f>_xlfn.XLOOKUP(Table1[[#This Row],[method]],Table7[method],Table7[id_method])</f>
        <v>PAY0712</v>
      </c>
      <c r="T368" t="s">
        <v>1239</v>
      </c>
      <c r="U368">
        <v>43700</v>
      </c>
    </row>
    <row r="369" spans="1:21" x14ac:dyDescent="0.25">
      <c r="A369" t="s">
        <v>381</v>
      </c>
      <c r="B369" t="str">
        <f>_xlfn.XLOOKUP(Table1[[#This Row],[date]],Table8[date],Table8[id_date])</f>
        <v>TGL0693</v>
      </c>
      <c r="C369" s="1">
        <v>45533</v>
      </c>
      <c r="D369" s="1" t="str">
        <f>_xlfn.XLOOKUP(Table1[[#This Row],[customer_name]],Table11[customer_name],Table11[id_cust])</f>
        <v>CNA0468</v>
      </c>
      <c r="E369" t="s">
        <v>1182</v>
      </c>
      <c r="F369">
        <v>40</v>
      </c>
      <c r="G369" t="str">
        <f>_xlfn.XLOOKUP(Table1[[#This Row],[branch_name]],Table3[branch_name],Table3[id_branch])</f>
        <v>BRCH002</v>
      </c>
      <c r="H369" t="s">
        <v>1214</v>
      </c>
      <c r="I369" t="str">
        <f>_xlfn.XLOOKUP(Table1[[#This Row],[city]],Table4[city],Table4[id_city])</f>
        <v>KOA0103</v>
      </c>
      <c r="J369" t="s">
        <v>1219</v>
      </c>
      <c r="K369" t="str">
        <f>_xlfn.XLOOKUP(Table1[[#This Row],[menu_name]],Table5[menu_name],Table5[id_menu])</f>
        <v>MENU009</v>
      </c>
      <c r="L369" t="s">
        <v>1231</v>
      </c>
      <c r="M369" t="str">
        <f>_xlfn.XLOOKUP(Table1[[#This Row],[category]],Table6[category],Table6[id_category])</f>
        <v>KTG0206</v>
      </c>
      <c r="N369" t="s">
        <v>1234</v>
      </c>
      <c r="O369">
        <v>3</v>
      </c>
      <c r="P369">
        <v>18000</v>
      </c>
      <c r="Q369">
        <v>5</v>
      </c>
      <c r="R369">
        <v>2.1</v>
      </c>
      <c r="S369" t="str">
        <f>_xlfn.XLOOKUP(Table1[[#This Row],[method]],Table7[method],Table7[id_method])</f>
        <v>PAY0711</v>
      </c>
      <c r="T369" t="s">
        <v>1238</v>
      </c>
      <c r="U369">
        <v>51300</v>
      </c>
    </row>
    <row r="370" spans="1:21" x14ac:dyDescent="0.25">
      <c r="A370" t="s">
        <v>382</v>
      </c>
      <c r="B370" t="str">
        <f>_xlfn.XLOOKUP(Table1[[#This Row],[date]],Table8[date],Table8[id_date])</f>
        <v>TGL0694</v>
      </c>
      <c r="C370" s="1">
        <v>45534</v>
      </c>
      <c r="D370" s="1" t="str">
        <f>_xlfn.XLOOKUP(Table1[[#This Row],[customer_name]],Table11[customer_name],Table11[id_cust])</f>
        <v>CNA0434</v>
      </c>
      <c r="E370" t="s">
        <v>1179</v>
      </c>
      <c r="F370">
        <v>37</v>
      </c>
      <c r="G370" t="str">
        <f>_xlfn.XLOOKUP(Table1[[#This Row],[branch_name]],Table3[branch_name],Table3[id_branch])</f>
        <v>BRCH002</v>
      </c>
      <c r="H370" t="s">
        <v>1214</v>
      </c>
      <c r="I370" t="str">
        <f>_xlfn.XLOOKUP(Table1[[#This Row],[city]],Table4[city],Table4[id_city])</f>
        <v>KOA0103</v>
      </c>
      <c r="J370" t="s">
        <v>1219</v>
      </c>
      <c r="K370" t="str">
        <f>_xlfn.XLOOKUP(Table1[[#This Row],[menu_name]],Table5[menu_name],Table5[id_menu])</f>
        <v>MENU005</v>
      </c>
      <c r="L370" t="s">
        <v>1227</v>
      </c>
      <c r="M370" t="str">
        <f>_xlfn.XLOOKUP(Table1[[#This Row],[category]],Table6[category],Table6[id_category])</f>
        <v>KTG0206</v>
      </c>
      <c r="N370" t="s">
        <v>1234</v>
      </c>
      <c r="O370">
        <v>3</v>
      </c>
      <c r="P370">
        <v>23000</v>
      </c>
      <c r="Q370">
        <v>15</v>
      </c>
      <c r="R370">
        <v>2.2999999999999998</v>
      </c>
      <c r="S370" t="str">
        <f>_xlfn.XLOOKUP(Table1[[#This Row],[method]],Table7[method],Table7[id_method])</f>
        <v>PAY0710</v>
      </c>
      <c r="T370" t="s">
        <v>1237</v>
      </c>
      <c r="U370">
        <v>58650</v>
      </c>
    </row>
    <row r="371" spans="1:21" x14ac:dyDescent="0.25">
      <c r="A371" t="s">
        <v>383</v>
      </c>
      <c r="B371" t="str">
        <f>_xlfn.XLOOKUP(Table1[[#This Row],[date]],Table8[date],Table8[id_date])</f>
        <v>TGL0695</v>
      </c>
      <c r="C371" s="1">
        <v>45535</v>
      </c>
      <c r="D371" s="1" t="str">
        <f>_xlfn.XLOOKUP(Table1[[#This Row],[customer_name]],Table11[customer_name],Table11[id_cust])</f>
        <v>CNA0396</v>
      </c>
      <c r="E371" t="s">
        <v>1172</v>
      </c>
      <c r="F371">
        <v>41</v>
      </c>
      <c r="G371" t="str">
        <f>_xlfn.XLOOKUP(Table1[[#This Row],[branch_name]],Table3[branch_name],Table3[id_branch])</f>
        <v>BRCH001</v>
      </c>
      <c r="H371" t="s">
        <v>1213</v>
      </c>
      <c r="I371" t="str">
        <f>_xlfn.XLOOKUP(Table1[[#This Row],[city]],Table4[city],Table4[id_city])</f>
        <v>KOA0102</v>
      </c>
      <c r="J371" t="s">
        <v>1218</v>
      </c>
      <c r="K371" t="str">
        <f>_xlfn.XLOOKUP(Table1[[#This Row],[menu_name]],Table5[menu_name],Table5[id_menu])</f>
        <v>MENU008</v>
      </c>
      <c r="L371" t="s">
        <v>1230</v>
      </c>
      <c r="M371" t="str">
        <f>_xlfn.XLOOKUP(Table1[[#This Row],[category]],Table6[category],Table6[id_category])</f>
        <v>KTG0205</v>
      </c>
      <c r="N371" t="s">
        <v>1233</v>
      </c>
      <c r="O371">
        <v>5</v>
      </c>
      <c r="P371">
        <v>20000</v>
      </c>
      <c r="Q371">
        <v>10</v>
      </c>
      <c r="R371">
        <v>4.5</v>
      </c>
      <c r="S371" t="str">
        <f>_xlfn.XLOOKUP(Table1[[#This Row],[method]],Table7[method],Table7[id_method])</f>
        <v>PAY0711</v>
      </c>
      <c r="T371" t="s">
        <v>1238</v>
      </c>
      <c r="U371">
        <v>90000</v>
      </c>
    </row>
    <row r="372" spans="1:21" x14ac:dyDescent="0.25">
      <c r="A372" t="s">
        <v>384</v>
      </c>
      <c r="B372" t="str">
        <f>_xlfn.XLOOKUP(Table1[[#This Row],[date]],Table8[date],Table8[id_date])</f>
        <v>TGL0696</v>
      </c>
      <c r="C372" s="1">
        <v>45537</v>
      </c>
      <c r="D372" s="1" t="str">
        <f>_xlfn.XLOOKUP(Table1[[#This Row],[customer_name]],Table11[customer_name],Table11[id_cust])</f>
        <v>CNA0303</v>
      </c>
      <c r="E372" t="s">
        <v>1152</v>
      </c>
      <c r="F372">
        <v>44</v>
      </c>
      <c r="G372" t="str">
        <f>_xlfn.XLOOKUP(Table1[[#This Row],[branch_name]],Table3[branch_name],Table3[id_branch])</f>
        <v>BRCH001</v>
      </c>
      <c r="H372" t="s">
        <v>1213</v>
      </c>
      <c r="I372" t="str">
        <f>_xlfn.XLOOKUP(Table1[[#This Row],[city]],Table4[city],Table4[id_city])</f>
        <v>KOA0102</v>
      </c>
      <c r="J372" t="s">
        <v>1218</v>
      </c>
      <c r="K372" t="str">
        <f>_xlfn.XLOOKUP(Table1[[#This Row],[menu_name]],Table5[menu_name],Table5[id_menu])</f>
        <v>MENU002</v>
      </c>
      <c r="L372" t="s">
        <v>1224</v>
      </c>
      <c r="M372" t="str">
        <f>_xlfn.XLOOKUP(Table1[[#This Row],[category]],Table6[category],Table6[id_category])</f>
        <v>KTG0206</v>
      </c>
      <c r="N372" t="s">
        <v>1234</v>
      </c>
      <c r="O372">
        <v>3</v>
      </c>
      <c r="P372">
        <v>30000</v>
      </c>
      <c r="Q372">
        <v>0</v>
      </c>
      <c r="R372">
        <v>4.8</v>
      </c>
      <c r="S372" t="str">
        <f>_xlfn.XLOOKUP(Table1[[#This Row],[method]],Table7[method],Table7[id_method])</f>
        <v>PAY0710</v>
      </c>
      <c r="T372" t="s">
        <v>1237</v>
      </c>
      <c r="U372">
        <v>90000</v>
      </c>
    </row>
    <row r="373" spans="1:21" x14ac:dyDescent="0.25">
      <c r="A373" t="s">
        <v>385</v>
      </c>
      <c r="B373" t="str">
        <f>_xlfn.XLOOKUP(Table1[[#This Row],[date]],Table8[date],Table8[id_date])</f>
        <v>TGL0697</v>
      </c>
      <c r="C373" s="1">
        <v>45538</v>
      </c>
      <c r="D373" s="1" t="str">
        <f>_xlfn.XLOOKUP(Table1[[#This Row],[customer_name]],Table11[customer_name],Table11[id_cust])</f>
        <v>CNA0280</v>
      </c>
      <c r="E373" t="s">
        <v>1140</v>
      </c>
      <c r="F373">
        <v>25</v>
      </c>
      <c r="G373" t="str">
        <f>_xlfn.XLOOKUP(Table1[[#This Row],[branch_name]],Table3[branch_name],Table3[id_branch])</f>
        <v>BRCH005</v>
      </c>
      <c r="H373" t="s">
        <v>1217</v>
      </c>
      <c r="I373" t="str">
        <f>_xlfn.XLOOKUP(Table1[[#This Row],[city]],Table4[city],Table4[id_city])</f>
        <v>KOA0106</v>
      </c>
      <c r="J373" t="s">
        <v>1222</v>
      </c>
      <c r="K373" t="str">
        <f>_xlfn.XLOOKUP(Table1[[#This Row],[menu_name]],Table5[menu_name],Table5[id_menu])</f>
        <v>MENU007</v>
      </c>
      <c r="L373" t="s">
        <v>1229</v>
      </c>
      <c r="M373" t="str">
        <f>_xlfn.XLOOKUP(Table1[[#This Row],[category]],Table6[category],Table6[id_category])</f>
        <v>KTG0207</v>
      </c>
      <c r="N373" t="s">
        <v>1235</v>
      </c>
      <c r="O373">
        <v>3</v>
      </c>
      <c r="P373">
        <v>27000</v>
      </c>
      <c r="Q373">
        <v>0</v>
      </c>
      <c r="R373">
        <v>1</v>
      </c>
      <c r="S373" t="str">
        <f>_xlfn.XLOOKUP(Table1[[#This Row],[method]],Table7[method],Table7[id_method])</f>
        <v>PAY0710</v>
      </c>
      <c r="T373" t="s">
        <v>1237</v>
      </c>
      <c r="U373">
        <v>81000</v>
      </c>
    </row>
    <row r="374" spans="1:21" x14ac:dyDescent="0.25">
      <c r="A374" t="s">
        <v>386</v>
      </c>
      <c r="B374" t="str">
        <f>_xlfn.XLOOKUP(Table1[[#This Row],[date]],Table8[date],Table8[id_date])</f>
        <v>TGL0698</v>
      </c>
      <c r="C374" s="1">
        <v>45540</v>
      </c>
      <c r="D374" s="1" t="str">
        <f>_xlfn.XLOOKUP(Table1[[#This Row],[customer_name]],Table11[customer_name],Table11[id_cust])</f>
        <v>CNA0227</v>
      </c>
      <c r="E374" t="s">
        <v>1113</v>
      </c>
      <c r="F374">
        <v>17</v>
      </c>
      <c r="G374" t="str">
        <f>_xlfn.XLOOKUP(Table1[[#This Row],[branch_name]],Table3[branch_name],Table3[id_branch])</f>
        <v>BRCH001</v>
      </c>
      <c r="H374" t="s">
        <v>1213</v>
      </c>
      <c r="I374" t="str">
        <f>_xlfn.XLOOKUP(Table1[[#This Row],[city]],Table4[city],Table4[id_city])</f>
        <v>KOA0102</v>
      </c>
      <c r="J374" t="s">
        <v>1218</v>
      </c>
      <c r="K374" t="str">
        <f>_xlfn.XLOOKUP(Table1[[#This Row],[menu_name]],Table5[menu_name],Table5[id_menu])</f>
        <v>MENU004</v>
      </c>
      <c r="L374" t="s">
        <v>1226</v>
      </c>
      <c r="M374" t="str">
        <f>_xlfn.XLOOKUP(Table1[[#This Row],[category]],Table6[category],Table6[id_category])</f>
        <v>KTG0207</v>
      </c>
      <c r="N374" t="s">
        <v>1235</v>
      </c>
      <c r="O374">
        <v>4</v>
      </c>
      <c r="P374">
        <v>28000</v>
      </c>
      <c r="Q374">
        <v>5</v>
      </c>
      <c r="R374">
        <v>5</v>
      </c>
      <c r="S374" t="str">
        <f>_xlfn.XLOOKUP(Table1[[#This Row],[method]],Table7[method],Table7[id_method])</f>
        <v>PAY0710</v>
      </c>
      <c r="T374" t="s">
        <v>1237</v>
      </c>
      <c r="U374">
        <v>106400</v>
      </c>
    </row>
    <row r="375" spans="1:21" x14ac:dyDescent="0.25">
      <c r="A375" t="s">
        <v>387</v>
      </c>
      <c r="B375" t="str">
        <f>_xlfn.XLOOKUP(Table1[[#This Row],[date]],Table8[date],Table8[id_date])</f>
        <v>TGL0698</v>
      </c>
      <c r="C375" s="1">
        <v>45540</v>
      </c>
      <c r="D375" s="1" t="str">
        <f>_xlfn.XLOOKUP(Table1[[#This Row],[customer_name]],Table11[customer_name],Table11[id_cust])</f>
        <v>CNA0130</v>
      </c>
      <c r="E375" t="s">
        <v>1042</v>
      </c>
      <c r="F375">
        <v>33</v>
      </c>
      <c r="G375" t="str">
        <f>_xlfn.XLOOKUP(Table1[[#This Row],[branch_name]],Table3[branch_name],Table3[id_branch])</f>
        <v>BRCH004</v>
      </c>
      <c r="H375" t="s">
        <v>1216</v>
      </c>
      <c r="I375" t="str">
        <f>_xlfn.XLOOKUP(Table1[[#This Row],[city]],Table4[city],Table4[id_city])</f>
        <v>KOA0105</v>
      </c>
      <c r="J375" t="s">
        <v>1221</v>
      </c>
      <c r="K375" t="str">
        <f>_xlfn.XLOOKUP(Table1[[#This Row],[menu_name]],Table5[menu_name],Table5[id_menu])</f>
        <v>MENU009</v>
      </c>
      <c r="L375" t="s">
        <v>1231</v>
      </c>
      <c r="M375" t="str">
        <f>_xlfn.XLOOKUP(Table1[[#This Row],[category]],Table6[category],Table6[id_category])</f>
        <v>KTG0206</v>
      </c>
      <c r="N375" t="s">
        <v>1234</v>
      </c>
      <c r="O375">
        <v>4</v>
      </c>
      <c r="P375">
        <v>18000</v>
      </c>
      <c r="Q375">
        <v>0</v>
      </c>
      <c r="R375">
        <v>2.2000000000000002</v>
      </c>
      <c r="S375" t="str">
        <f>_xlfn.XLOOKUP(Table1[[#This Row],[method]],Table7[method],Table7[id_method])</f>
        <v>PAY0711</v>
      </c>
      <c r="T375" t="s">
        <v>1238</v>
      </c>
      <c r="U375">
        <v>72000</v>
      </c>
    </row>
    <row r="376" spans="1:21" x14ac:dyDescent="0.25">
      <c r="A376" t="s">
        <v>388</v>
      </c>
      <c r="B376" t="str">
        <f>_xlfn.XLOOKUP(Table1[[#This Row],[date]],Table8[date],Table8[id_date])</f>
        <v>TGL0699</v>
      </c>
      <c r="C376" s="1">
        <v>45541</v>
      </c>
      <c r="D376" s="1" t="str">
        <f>_xlfn.XLOOKUP(Table1[[#This Row],[customer_name]],Table11[customer_name],Table11[id_cust])</f>
        <v>CNA0188</v>
      </c>
      <c r="E376" t="s">
        <v>1090</v>
      </c>
      <c r="F376">
        <v>19</v>
      </c>
      <c r="G376" t="str">
        <f>_xlfn.XLOOKUP(Table1[[#This Row],[branch_name]],Table3[branch_name],Table3[id_branch])</f>
        <v>BRCH002</v>
      </c>
      <c r="H376" t="s">
        <v>1214</v>
      </c>
      <c r="I376" t="str">
        <f>_xlfn.XLOOKUP(Table1[[#This Row],[city]],Table4[city],Table4[id_city])</f>
        <v>KOA0103</v>
      </c>
      <c r="J376" t="s">
        <v>1219</v>
      </c>
      <c r="K376" t="str">
        <f>_xlfn.XLOOKUP(Table1[[#This Row],[menu_name]],Table5[menu_name],Table5[id_menu])</f>
        <v>MENU005</v>
      </c>
      <c r="L376" t="s">
        <v>1227</v>
      </c>
      <c r="M376" t="str">
        <f>_xlfn.XLOOKUP(Table1[[#This Row],[category]],Table6[category],Table6[id_category])</f>
        <v>KTG0206</v>
      </c>
      <c r="N376" t="s">
        <v>1234</v>
      </c>
      <c r="O376">
        <v>4</v>
      </c>
      <c r="P376">
        <v>23000</v>
      </c>
      <c r="Q376">
        <v>0</v>
      </c>
      <c r="R376">
        <v>4.4000000000000004</v>
      </c>
      <c r="S376" t="str">
        <f>_xlfn.XLOOKUP(Table1[[#This Row],[method]],Table7[method],Table7[id_method])</f>
        <v>PAY0710</v>
      </c>
      <c r="T376" t="s">
        <v>1237</v>
      </c>
      <c r="U376">
        <v>92000</v>
      </c>
    </row>
    <row r="377" spans="1:21" x14ac:dyDescent="0.25">
      <c r="A377" t="s">
        <v>389</v>
      </c>
      <c r="B377" t="str">
        <f>_xlfn.XLOOKUP(Table1[[#This Row],[date]],Table8[date],Table8[id_date])</f>
        <v>TGL0700</v>
      </c>
      <c r="C377" s="1">
        <v>45542</v>
      </c>
      <c r="D377" s="1" t="str">
        <f>_xlfn.XLOOKUP(Table1[[#This Row],[customer_name]],Table11[customer_name],Table11[id_cust])</f>
        <v>CNA0223</v>
      </c>
      <c r="E377" t="s">
        <v>1110</v>
      </c>
      <c r="F377">
        <v>18</v>
      </c>
      <c r="G377" t="str">
        <f>_xlfn.XLOOKUP(Table1[[#This Row],[branch_name]],Table3[branch_name],Table3[id_branch])</f>
        <v>BRCH004</v>
      </c>
      <c r="H377" t="s">
        <v>1216</v>
      </c>
      <c r="I377" t="str">
        <f>_xlfn.XLOOKUP(Table1[[#This Row],[city]],Table4[city],Table4[id_city])</f>
        <v>KOA0105</v>
      </c>
      <c r="J377" t="s">
        <v>1221</v>
      </c>
      <c r="K377" t="str">
        <f>_xlfn.XLOOKUP(Table1[[#This Row],[menu_name]],Table5[menu_name],Table5[id_menu])</f>
        <v>MENU008</v>
      </c>
      <c r="L377" t="s">
        <v>1230</v>
      </c>
      <c r="M377" t="str">
        <f>_xlfn.XLOOKUP(Table1[[#This Row],[category]],Table6[category],Table6[id_category])</f>
        <v>KTG0205</v>
      </c>
      <c r="N377" t="s">
        <v>1233</v>
      </c>
      <c r="O377">
        <v>4</v>
      </c>
      <c r="P377">
        <v>20000</v>
      </c>
      <c r="Q377">
        <v>20</v>
      </c>
      <c r="R377">
        <v>2.6</v>
      </c>
      <c r="S377" t="str">
        <f>_xlfn.XLOOKUP(Table1[[#This Row],[method]],Table7[method],Table7[id_method])</f>
        <v>PAY0709</v>
      </c>
      <c r="T377" t="s">
        <v>1236</v>
      </c>
      <c r="U377">
        <v>64000</v>
      </c>
    </row>
    <row r="378" spans="1:21" x14ac:dyDescent="0.25">
      <c r="A378" t="s">
        <v>390</v>
      </c>
      <c r="B378" t="str">
        <f>_xlfn.XLOOKUP(Table1[[#This Row],[date]],Table8[date],Table8[id_date])</f>
        <v>TGL0701</v>
      </c>
      <c r="C378" s="1">
        <v>45543</v>
      </c>
      <c r="D378" s="1" t="str">
        <f>_xlfn.XLOOKUP(Table1[[#This Row],[customer_name]],Table11[customer_name],Table11[id_cust])</f>
        <v>CNA0225</v>
      </c>
      <c r="E378" t="s">
        <v>1112</v>
      </c>
      <c r="F378">
        <v>25</v>
      </c>
      <c r="G378" t="str">
        <f>_xlfn.XLOOKUP(Table1[[#This Row],[branch_name]],Table3[branch_name],Table3[id_branch])</f>
        <v>BRCH001</v>
      </c>
      <c r="H378" t="s">
        <v>1213</v>
      </c>
      <c r="I378" t="str">
        <f>_xlfn.XLOOKUP(Table1[[#This Row],[city]],Table4[city],Table4[id_city])</f>
        <v>KOA0102</v>
      </c>
      <c r="J378" t="s">
        <v>1218</v>
      </c>
      <c r="K378" t="str">
        <f>_xlfn.XLOOKUP(Table1[[#This Row],[menu_name]],Table5[menu_name],Table5[id_menu])</f>
        <v>MENU010</v>
      </c>
      <c r="L378" t="s">
        <v>1232</v>
      </c>
      <c r="M378" t="str">
        <f>_xlfn.XLOOKUP(Table1[[#This Row],[category]],Table6[category],Table6[id_category])</f>
        <v>KTG0205</v>
      </c>
      <c r="N378" t="s">
        <v>1233</v>
      </c>
      <c r="O378">
        <v>4</v>
      </c>
      <c r="P378">
        <v>18000</v>
      </c>
      <c r="Q378">
        <v>0</v>
      </c>
      <c r="R378">
        <v>4.8</v>
      </c>
      <c r="S378" t="str">
        <f>_xlfn.XLOOKUP(Table1[[#This Row],[method]],Table7[method],Table7[id_method])</f>
        <v>PAY0712</v>
      </c>
      <c r="T378" t="s">
        <v>1239</v>
      </c>
      <c r="U378">
        <v>72000</v>
      </c>
    </row>
    <row r="379" spans="1:21" x14ac:dyDescent="0.25">
      <c r="A379" t="s">
        <v>391</v>
      </c>
      <c r="B379" t="str">
        <f>_xlfn.XLOOKUP(Table1[[#This Row],[date]],Table8[date],Table8[id_date])</f>
        <v>TGL0702</v>
      </c>
      <c r="C379" s="1">
        <v>45544</v>
      </c>
      <c r="D379" s="1" t="str">
        <f>_xlfn.XLOOKUP(Table1[[#This Row],[customer_name]],Table11[customer_name],Table11[id_cust])</f>
        <v>CNA0104</v>
      </c>
      <c r="E379" t="s">
        <v>1017</v>
      </c>
      <c r="F379">
        <v>41</v>
      </c>
      <c r="G379" t="str">
        <f>_xlfn.XLOOKUP(Table1[[#This Row],[branch_name]],Table3[branch_name],Table3[id_branch])</f>
        <v>BRCH004</v>
      </c>
      <c r="H379" t="s">
        <v>1216</v>
      </c>
      <c r="I379" t="str">
        <f>_xlfn.XLOOKUP(Table1[[#This Row],[city]],Table4[city],Table4[id_city])</f>
        <v>KOA0105</v>
      </c>
      <c r="J379" t="s">
        <v>1221</v>
      </c>
      <c r="K379" t="str">
        <f>_xlfn.XLOOKUP(Table1[[#This Row],[menu_name]],Table5[menu_name],Table5[id_menu])</f>
        <v>MENU008</v>
      </c>
      <c r="L379" t="s">
        <v>1230</v>
      </c>
      <c r="M379" t="str">
        <f>_xlfn.XLOOKUP(Table1[[#This Row],[category]],Table6[category],Table6[id_category])</f>
        <v>KTG0205</v>
      </c>
      <c r="N379" t="s">
        <v>1233</v>
      </c>
      <c r="O379">
        <v>3</v>
      </c>
      <c r="P379">
        <v>20000</v>
      </c>
      <c r="Q379">
        <v>20</v>
      </c>
      <c r="R379">
        <v>1.3</v>
      </c>
      <c r="S379" t="str">
        <f>_xlfn.XLOOKUP(Table1[[#This Row],[method]],Table7[method],Table7[id_method])</f>
        <v>PAY0709</v>
      </c>
      <c r="T379" t="s">
        <v>1236</v>
      </c>
      <c r="U379">
        <v>48000</v>
      </c>
    </row>
    <row r="380" spans="1:21" x14ac:dyDescent="0.25">
      <c r="A380" t="s">
        <v>392</v>
      </c>
      <c r="B380" t="str">
        <f>_xlfn.XLOOKUP(Table1[[#This Row],[date]],Table8[date],Table8[id_date])</f>
        <v>TGL0702</v>
      </c>
      <c r="C380" s="1">
        <v>45544</v>
      </c>
      <c r="D380" s="1" t="str">
        <f>_xlfn.XLOOKUP(Table1[[#This Row],[customer_name]],Table11[customer_name],Table11[id_cust])</f>
        <v>CNA0155</v>
      </c>
      <c r="E380" t="s">
        <v>1064</v>
      </c>
      <c r="F380">
        <v>18</v>
      </c>
      <c r="G380" t="str">
        <f>_xlfn.XLOOKUP(Table1[[#This Row],[branch_name]],Table3[branch_name],Table3[id_branch])</f>
        <v>BRCH004</v>
      </c>
      <c r="H380" t="s">
        <v>1216</v>
      </c>
      <c r="I380" t="str">
        <f>_xlfn.XLOOKUP(Table1[[#This Row],[city]],Table4[city],Table4[id_city])</f>
        <v>KOA0105</v>
      </c>
      <c r="J380" t="s">
        <v>1221</v>
      </c>
      <c r="K380" t="str">
        <f>_xlfn.XLOOKUP(Table1[[#This Row],[menu_name]],Table5[menu_name],Table5[id_menu])</f>
        <v>MENU006</v>
      </c>
      <c r="L380" t="s">
        <v>1228</v>
      </c>
      <c r="M380" t="str">
        <f>_xlfn.XLOOKUP(Table1[[#This Row],[category]],Table6[category],Table6[id_category])</f>
        <v>KTG0206</v>
      </c>
      <c r="N380" t="s">
        <v>1234</v>
      </c>
      <c r="O380">
        <v>2</v>
      </c>
      <c r="P380">
        <v>32000</v>
      </c>
      <c r="Q380">
        <v>15</v>
      </c>
      <c r="R380">
        <v>1.9</v>
      </c>
      <c r="S380" t="str">
        <f>_xlfn.XLOOKUP(Table1[[#This Row],[method]],Table7[method],Table7[id_method])</f>
        <v>PAY0711</v>
      </c>
      <c r="T380" t="s">
        <v>1238</v>
      </c>
      <c r="U380">
        <v>54400</v>
      </c>
    </row>
    <row r="381" spans="1:21" x14ac:dyDescent="0.25">
      <c r="A381" t="s">
        <v>393</v>
      </c>
      <c r="B381" t="str">
        <f>_xlfn.XLOOKUP(Table1[[#This Row],[date]],Table8[date],Table8[id_date])</f>
        <v>TGL0702</v>
      </c>
      <c r="C381" s="1">
        <v>45544</v>
      </c>
      <c r="D381" s="1" t="str">
        <f>_xlfn.XLOOKUP(Table1[[#This Row],[customer_name]],Table11[customer_name],Table11[id_cust])</f>
        <v>CNA0205</v>
      </c>
      <c r="E381" t="s">
        <v>1100</v>
      </c>
      <c r="F381">
        <v>17</v>
      </c>
      <c r="G381" t="str">
        <f>_xlfn.XLOOKUP(Table1[[#This Row],[branch_name]],Table3[branch_name],Table3[id_branch])</f>
        <v>BRCH001</v>
      </c>
      <c r="H381" t="s">
        <v>1213</v>
      </c>
      <c r="I381" t="str">
        <f>_xlfn.XLOOKUP(Table1[[#This Row],[city]],Table4[city],Table4[id_city])</f>
        <v>KOA0102</v>
      </c>
      <c r="J381" t="s">
        <v>1218</v>
      </c>
      <c r="K381" t="str">
        <f>_xlfn.XLOOKUP(Table1[[#This Row],[menu_name]],Table5[menu_name],Table5[id_menu])</f>
        <v>MENU010</v>
      </c>
      <c r="L381" t="s">
        <v>1232</v>
      </c>
      <c r="M381" t="str">
        <f>_xlfn.XLOOKUP(Table1[[#This Row],[category]],Table6[category],Table6[id_category])</f>
        <v>KTG0205</v>
      </c>
      <c r="N381" t="s">
        <v>1233</v>
      </c>
      <c r="O381">
        <v>5</v>
      </c>
      <c r="P381">
        <v>18000</v>
      </c>
      <c r="Q381">
        <v>15</v>
      </c>
      <c r="R381">
        <v>2.1</v>
      </c>
      <c r="S381" t="str">
        <f>_xlfn.XLOOKUP(Table1[[#This Row],[method]],Table7[method],Table7[id_method])</f>
        <v>PAY0710</v>
      </c>
      <c r="T381" t="s">
        <v>1237</v>
      </c>
      <c r="U381">
        <v>76500</v>
      </c>
    </row>
    <row r="382" spans="1:21" x14ac:dyDescent="0.25">
      <c r="A382" t="s">
        <v>394</v>
      </c>
      <c r="B382" t="str">
        <f>_xlfn.XLOOKUP(Table1[[#This Row],[date]],Table8[date],Table8[id_date])</f>
        <v>TGL0702</v>
      </c>
      <c r="C382" s="1">
        <v>45544</v>
      </c>
      <c r="D382" s="1" t="str">
        <f>_xlfn.XLOOKUP(Table1[[#This Row],[customer_name]],Table11[customer_name],Table11[id_cust])</f>
        <v>CNA0348</v>
      </c>
      <c r="E382" t="s">
        <v>1164</v>
      </c>
      <c r="F382">
        <v>42</v>
      </c>
      <c r="G382" t="str">
        <f>_xlfn.XLOOKUP(Table1[[#This Row],[branch_name]],Table3[branch_name],Table3[id_branch])</f>
        <v>BRCH005</v>
      </c>
      <c r="H382" t="s">
        <v>1217</v>
      </c>
      <c r="I382" t="str">
        <f>_xlfn.XLOOKUP(Table1[[#This Row],[city]],Table4[city],Table4[id_city])</f>
        <v>KOA0106</v>
      </c>
      <c r="J382" t="s">
        <v>1222</v>
      </c>
      <c r="K382" t="str">
        <f>_xlfn.XLOOKUP(Table1[[#This Row],[menu_name]],Table5[menu_name],Table5[id_menu])</f>
        <v>MENU003</v>
      </c>
      <c r="L382" t="s">
        <v>1225</v>
      </c>
      <c r="M382" t="str">
        <f>_xlfn.XLOOKUP(Table1[[#This Row],[category]],Table6[category],Table6[id_category])</f>
        <v>KTG0205</v>
      </c>
      <c r="N382" t="s">
        <v>1233</v>
      </c>
      <c r="O382">
        <v>4</v>
      </c>
      <c r="P382">
        <v>22000</v>
      </c>
      <c r="Q382">
        <v>20</v>
      </c>
      <c r="R382">
        <v>2.1</v>
      </c>
      <c r="S382" t="str">
        <f>_xlfn.XLOOKUP(Table1[[#This Row],[method]],Table7[method],Table7[id_method])</f>
        <v>PAY0709</v>
      </c>
      <c r="T382" t="s">
        <v>1236</v>
      </c>
      <c r="U382">
        <v>70400</v>
      </c>
    </row>
    <row r="383" spans="1:21" x14ac:dyDescent="0.25">
      <c r="A383" t="s">
        <v>395</v>
      </c>
      <c r="B383" t="str">
        <f>_xlfn.XLOOKUP(Table1[[#This Row],[date]],Table8[date],Table8[id_date])</f>
        <v>TGL0702</v>
      </c>
      <c r="C383" s="1">
        <v>45544</v>
      </c>
      <c r="D383" s="1" t="str">
        <f>_xlfn.XLOOKUP(Table1[[#This Row],[customer_name]],Table11[customer_name],Table11[id_cust])</f>
        <v>CNA0256</v>
      </c>
      <c r="E383" t="s">
        <v>1129</v>
      </c>
      <c r="F383">
        <v>29</v>
      </c>
      <c r="G383" t="str">
        <f>_xlfn.XLOOKUP(Table1[[#This Row],[branch_name]],Table3[branch_name],Table3[id_branch])</f>
        <v>BRCH001</v>
      </c>
      <c r="H383" t="s">
        <v>1213</v>
      </c>
      <c r="I383" t="str">
        <f>_xlfn.XLOOKUP(Table1[[#This Row],[city]],Table4[city],Table4[id_city])</f>
        <v>KOA0102</v>
      </c>
      <c r="J383" t="s">
        <v>1218</v>
      </c>
      <c r="K383" t="str">
        <f>_xlfn.XLOOKUP(Table1[[#This Row],[menu_name]],Table5[menu_name],Table5[id_menu])</f>
        <v>MENU001</v>
      </c>
      <c r="L383" t="s">
        <v>1223</v>
      </c>
      <c r="M383" t="str">
        <f>_xlfn.XLOOKUP(Table1[[#This Row],[category]],Table6[category],Table6[id_category])</f>
        <v>KTG0205</v>
      </c>
      <c r="N383" t="s">
        <v>1233</v>
      </c>
      <c r="O383">
        <v>4</v>
      </c>
      <c r="P383">
        <v>25000</v>
      </c>
      <c r="Q383">
        <v>0</v>
      </c>
      <c r="R383">
        <v>1</v>
      </c>
      <c r="S383" t="str">
        <f>_xlfn.XLOOKUP(Table1[[#This Row],[method]],Table7[method],Table7[id_method])</f>
        <v>PAY0712</v>
      </c>
      <c r="T383" t="s">
        <v>1239</v>
      </c>
      <c r="U383">
        <v>100000</v>
      </c>
    </row>
    <row r="384" spans="1:21" x14ac:dyDescent="0.25">
      <c r="A384" t="s">
        <v>396</v>
      </c>
      <c r="B384" t="str">
        <f>_xlfn.XLOOKUP(Table1[[#This Row],[date]],Table8[date],Table8[id_date])</f>
        <v>TGL0703</v>
      </c>
      <c r="C384" s="1">
        <v>45545</v>
      </c>
      <c r="D384" s="1" t="str">
        <f>_xlfn.XLOOKUP(Table1[[#This Row],[customer_name]],Table11[customer_name],Table11[id_cust])</f>
        <v>CNA0138</v>
      </c>
      <c r="E384" t="s">
        <v>1049</v>
      </c>
      <c r="F384">
        <v>53</v>
      </c>
      <c r="G384" t="str">
        <f>_xlfn.XLOOKUP(Table1[[#This Row],[branch_name]],Table3[branch_name],Table3[id_branch])</f>
        <v>BRCH004</v>
      </c>
      <c r="H384" t="s">
        <v>1216</v>
      </c>
      <c r="I384" t="str">
        <f>_xlfn.XLOOKUP(Table1[[#This Row],[city]],Table4[city],Table4[id_city])</f>
        <v>KOA0105</v>
      </c>
      <c r="J384" t="s">
        <v>1221</v>
      </c>
      <c r="K384" t="str">
        <f>_xlfn.XLOOKUP(Table1[[#This Row],[menu_name]],Table5[menu_name],Table5[id_menu])</f>
        <v>MENU007</v>
      </c>
      <c r="L384" t="s">
        <v>1229</v>
      </c>
      <c r="M384" t="str">
        <f>_xlfn.XLOOKUP(Table1[[#This Row],[category]],Table6[category],Table6[id_category])</f>
        <v>KTG0207</v>
      </c>
      <c r="N384" t="s">
        <v>1235</v>
      </c>
      <c r="O384">
        <v>3</v>
      </c>
      <c r="P384">
        <v>27000</v>
      </c>
      <c r="Q384">
        <v>0</v>
      </c>
      <c r="R384">
        <v>1.1000000000000001</v>
      </c>
      <c r="S384" t="str">
        <f>_xlfn.XLOOKUP(Table1[[#This Row],[method]],Table7[method],Table7[id_method])</f>
        <v>PAY0711</v>
      </c>
      <c r="T384" t="s">
        <v>1238</v>
      </c>
      <c r="U384">
        <v>81000</v>
      </c>
    </row>
    <row r="385" spans="1:21" x14ac:dyDescent="0.25">
      <c r="A385" t="s">
        <v>397</v>
      </c>
      <c r="B385" t="str">
        <f>_xlfn.XLOOKUP(Table1[[#This Row],[date]],Table8[date],Table8[id_date])</f>
        <v>TGL0703</v>
      </c>
      <c r="C385" s="1">
        <v>45545</v>
      </c>
      <c r="D385" s="1" t="str">
        <f>_xlfn.XLOOKUP(Table1[[#This Row],[customer_name]],Table11[customer_name],Table11[id_cust])</f>
        <v>CNA0410</v>
      </c>
      <c r="E385" t="s">
        <v>1174</v>
      </c>
      <c r="F385">
        <v>18</v>
      </c>
      <c r="G385" t="str">
        <f>_xlfn.XLOOKUP(Table1[[#This Row],[branch_name]],Table3[branch_name],Table3[id_branch])</f>
        <v>BRCH002</v>
      </c>
      <c r="H385" t="s">
        <v>1214</v>
      </c>
      <c r="I385" t="str">
        <f>_xlfn.XLOOKUP(Table1[[#This Row],[city]],Table4[city],Table4[id_city])</f>
        <v>KOA0103</v>
      </c>
      <c r="J385" t="s">
        <v>1219</v>
      </c>
      <c r="K385" t="str">
        <f>_xlfn.XLOOKUP(Table1[[#This Row],[menu_name]],Table5[menu_name],Table5[id_menu])</f>
        <v>MENU007</v>
      </c>
      <c r="L385" t="s">
        <v>1229</v>
      </c>
      <c r="M385" t="str">
        <f>_xlfn.XLOOKUP(Table1[[#This Row],[category]],Table6[category],Table6[id_category])</f>
        <v>KTG0207</v>
      </c>
      <c r="N385" t="s">
        <v>1235</v>
      </c>
      <c r="O385">
        <v>5</v>
      </c>
      <c r="P385">
        <v>27000</v>
      </c>
      <c r="Q385">
        <v>0</v>
      </c>
      <c r="R385">
        <v>4.8</v>
      </c>
      <c r="S385" t="str">
        <f>_xlfn.XLOOKUP(Table1[[#This Row],[method]],Table7[method],Table7[id_method])</f>
        <v>PAY0710</v>
      </c>
      <c r="T385" t="s">
        <v>1237</v>
      </c>
      <c r="U385">
        <v>135000</v>
      </c>
    </row>
    <row r="386" spans="1:21" x14ac:dyDescent="0.25">
      <c r="A386" t="s">
        <v>398</v>
      </c>
      <c r="B386" t="str">
        <f>_xlfn.XLOOKUP(Table1[[#This Row],[date]],Table8[date],Table8[id_date])</f>
        <v>TGL0703</v>
      </c>
      <c r="C386" s="1">
        <v>45545</v>
      </c>
      <c r="D386" s="1" t="str">
        <f>_xlfn.XLOOKUP(Table1[[#This Row],[customer_name]],Table11[customer_name],Table11[id_cust])</f>
        <v>CNA0173</v>
      </c>
      <c r="E386" t="s">
        <v>1078</v>
      </c>
      <c r="F386">
        <v>35</v>
      </c>
      <c r="G386" t="str">
        <f>_xlfn.XLOOKUP(Table1[[#This Row],[branch_name]],Table3[branch_name],Table3[id_branch])</f>
        <v>BRCH002</v>
      </c>
      <c r="H386" t="s">
        <v>1214</v>
      </c>
      <c r="I386" t="str">
        <f>_xlfn.XLOOKUP(Table1[[#This Row],[city]],Table4[city],Table4[id_city])</f>
        <v>KOA0103</v>
      </c>
      <c r="J386" t="s">
        <v>1219</v>
      </c>
      <c r="K386" t="str">
        <f>_xlfn.XLOOKUP(Table1[[#This Row],[menu_name]],Table5[menu_name],Table5[id_menu])</f>
        <v>MENU003</v>
      </c>
      <c r="L386" t="s">
        <v>1225</v>
      </c>
      <c r="M386" t="str">
        <f>_xlfn.XLOOKUP(Table1[[#This Row],[category]],Table6[category],Table6[id_category])</f>
        <v>KTG0205</v>
      </c>
      <c r="N386" t="s">
        <v>1233</v>
      </c>
      <c r="O386">
        <v>4</v>
      </c>
      <c r="P386">
        <v>22000</v>
      </c>
      <c r="Q386">
        <v>0</v>
      </c>
      <c r="R386">
        <v>3.9</v>
      </c>
      <c r="S386" t="str">
        <f>_xlfn.XLOOKUP(Table1[[#This Row],[method]],Table7[method],Table7[id_method])</f>
        <v>PAY0709</v>
      </c>
      <c r="T386" t="s">
        <v>1236</v>
      </c>
      <c r="U386">
        <v>88000</v>
      </c>
    </row>
    <row r="387" spans="1:21" x14ac:dyDescent="0.25">
      <c r="A387" t="s">
        <v>399</v>
      </c>
      <c r="B387" t="str">
        <f>_xlfn.XLOOKUP(Table1[[#This Row],[date]],Table8[date],Table8[id_date])</f>
        <v>TGL0703</v>
      </c>
      <c r="C387" s="1">
        <v>45545</v>
      </c>
      <c r="D387" s="1" t="str">
        <f>_xlfn.XLOOKUP(Table1[[#This Row],[customer_name]],Table11[customer_name],Table11[id_cust])</f>
        <v>CNA0233</v>
      </c>
      <c r="E387" t="s">
        <v>1117</v>
      </c>
      <c r="F387">
        <v>18</v>
      </c>
      <c r="G387" t="str">
        <f>_xlfn.XLOOKUP(Table1[[#This Row],[branch_name]],Table3[branch_name],Table3[id_branch])</f>
        <v>BRCH003</v>
      </c>
      <c r="H387" t="s">
        <v>1215</v>
      </c>
      <c r="I387" t="str">
        <f>_xlfn.XLOOKUP(Table1[[#This Row],[city]],Table4[city],Table4[id_city])</f>
        <v>KOA0104</v>
      </c>
      <c r="J387" t="s">
        <v>1220</v>
      </c>
      <c r="K387" t="str">
        <f>_xlfn.XLOOKUP(Table1[[#This Row],[menu_name]],Table5[menu_name],Table5[id_menu])</f>
        <v>MENU003</v>
      </c>
      <c r="L387" t="s">
        <v>1225</v>
      </c>
      <c r="M387" t="str">
        <f>_xlfn.XLOOKUP(Table1[[#This Row],[category]],Table6[category],Table6[id_category])</f>
        <v>KTG0205</v>
      </c>
      <c r="N387" t="s">
        <v>1233</v>
      </c>
      <c r="O387">
        <v>4</v>
      </c>
      <c r="P387">
        <v>22000</v>
      </c>
      <c r="Q387">
        <v>5</v>
      </c>
      <c r="R387">
        <v>4.2</v>
      </c>
      <c r="S387" t="str">
        <f>_xlfn.XLOOKUP(Table1[[#This Row],[method]],Table7[method],Table7[id_method])</f>
        <v>PAY0712</v>
      </c>
      <c r="T387" t="s">
        <v>1239</v>
      </c>
      <c r="U387">
        <v>83600</v>
      </c>
    </row>
    <row r="388" spans="1:21" x14ac:dyDescent="0.25">
      <c r="A388" t="s">
        <v>400</v>
      </c>
      <c r="B388" t="str">
        <f>_xlfn.XLOOKUP(Table1[[#This Row],[date]],Table8[date],Table8[id_date])</f>
        <v>TGL0703</v>
      </c>
      <c r="C388" s="1">
        <v>45545</v>
      </c>
      <c r="D388" s="1" t="str">
        <f>_xlfn.XLOOKUP(Table1[[#This Row],[customer_name]],Table11[customer_name],Table11[id_cust])</f>
        <v>CNA0292</v>
      </c>
      <c r="E388" t="s">
        <v>1146</v>
      </c>
      <c r="F388">
        <v>18</v>
      </c>
      <c r="G388" t="str">
        <f>_xlfn.XLOOKUP(Table1[[#This Row],[branch_name]],Table3[branch_name],Table3[id_branch])</f>
        <v>BRCH002</v>
      </c>
      <c r="H388" t="s">
        <v>1214</v>
      </c>
      <c r="I388" t="str">
        <f>_xlfn.XLOOKUP(Table1[[#This Row],[city]],Table4[city],Table4[id_city])</f>
        <v>KOA0103</v>
      </c>
      <c r="J388" t="s">
        <v>1219</v>
      </c>
      <c r="K388" t="str">
        <f>_xlfn.XLOOKUP(Table1[[#This Row],[menu_name]],Table5[menu_name],Table5[id_menu])</f>
        <v>MENU002</v>
      </c>
      <c r="L388" t="s">
        <v>1224</v>
      </c>
      <c r="M388" t="str">
        <f>_xlfn.XLOOKUP(Table1[[#This Row],[category]],Table6[category],Table6[id_category])</f>
        <v>KTG0206</v>
      </c>
      <c r="N388" t="s">
        <v>1234</v>
      </c>
      <c r="O388">
        <v>1</v>
      </c>
      <c r="P388">
        <v>30000</v>
      </c>
      <c r="Q388">
        <v>0</v>
      </c>
      <c r="R388">
        <v>2.1</v>
      </c>
      <c r="S388" t="str">
        <f>_xlfn.XLOOKUP(Table1[[#This Row],[method]],Table7[method],Table7[id_method])</f>
        <v>PAY0709</v>
      </c>
      <c r="T388" t="s">
        <v>1236</v>
      </c>
      <c r="U388">
        <v>30000</v>
      </c>
    </row>
    <row r="389" spans="1:21" x14ac:dyDescent="0.25">
      <c r="A389" t="s">
        <v>401</v>
      </c>
      <c r="B389" t="str">
        <f>_xlfn.XLOOKUP(Table1[[#This Row],[date]],Table8[date],Table8[id_date])</f>
        <v>TGL0704</v>
      </c>
      <c r="C389" s="1">
        <v>45547</v>
      </c>
      <c r="D389" s="1" t="str">
        <f>_xlfn.XLOOKUP(Table1[[#This Row],[customer_name]],Table11[customer_name],Table11[id_cust])</f>
        <v>CNA0187</v>
      </c>
      <c r="E389" t="s">
        <v>1089</v>
      </c>
      <c r="F389">
        <v>49</v>
      </c>
      <c r="G389" t="str">
        <f>_xlfn.XLOOKUP(Table1[[#This Row],[branch_name]],Table3[branch_name],Table3[id_branch])</f>
        <v>BRCH004</v>
      </c>
      <c r="H389" t="s">
        <v>1216</v>
      </c>
      <c r="I389" t="str">
        <f>_xlfn.XLOOKUP(Table1[[#This Row],[city]],Table4[city],Table4[id_city])</f>
        <v>KOA0105</v>
      </c>
      <c r="J389" t="s">
        <v>1221</v>
      </c>
      <c r="K389" t="str">
        <f>_xlfn.XLOOKUP(Table1[[#This Row],[menu_name]],Table5[menu_name],Table5[id_menu])</f>
        <v>MENU004</v>
      </c>
      <c r="L389" t="s">
        <v>1226</v>
      </c>
      <c r="M389" t="str">
        <f>_xlfn.XLOOKUP(Table1[[#This Row],[category]],Table6[category],Table6[id_category])</f>
        <v>KTG0207</v>
      </c>
      <c r="N389" t="s">
        <v>1235</v>
      </c>
      <c r="O389">
        <v>2</v>
      </c>
      <c r="P389">
        <v>28000</v>
      </c>
      <c r="Q389">
        <v>0</v>
      </c>
      <c r="R389">
        <v>3</v>
      </c>
      <c r="S389" t="str">
        <f>_xlfn.XLOOKUP(Table1[[#This Row],[method]],Table7[method],Table7[id_method])</f>
        <v>PAY0712</v>
      </c>
      <c r="T389" t="s">
        <v>1239</v>
      </c>
      <c r="U389">
        <v>56000</v>
      </c>
    </row>
    <row r="390" spans="1:21" x14ac:dyDescent="0.25">
      <c r="A390" t="s">
        <v>402</v>
      </c>
      <c r="B390" t="str">
        <f>_xlfn.XLOOKUP(Table1[[#This Row],[date]],Table8[date],Table8[id_date])</f>
        <v>TGL0704</v>
      </c>
      <c r="C390" s="1">
        <v>45547</v>
      </c>
      <c r="D390" s="1" t="str">
        <f>_xlfn.XLOOKUP(Table1[[#This Row],[customer_name]],Table11[customer_name],Table11[id_cust])</f>
        <v>CNA0207</v>
      </c>
      <c r="E390" t="s">
        <v>1101</v>
      </c>
      <c r="F390">
        <v>50</v>
      </c>
      <c r="G390" t="str">
        <f>_xlfn.XLOOKUP(Table1[[#This Row],[branch_name]],Table3[branch_name],Table3[id_branch])</f>
        <v>BRCH005</v>
      </c>
      <c r="H390" t="s">
        <v>1217</v>
      </c>
      <c r="I390" t="str">
        <f>_xlfn.XLOOKUP(Table1[[#This Row],[city]],Table4[city],Table4[id_city])</f>
        <v>KOA0106</v>
      </c>
      <c r="J390" t="s">
        <v>1222</v>
      </c>
      <c r="K390" t="str">
        <f>_xlfn.XLOOKUP(Table1[[#This Row],[menu_name]],Table5[menu_name],Table5[id_menu])</f>
        <v>MENU007</v>
      </c>
      <c r="L390" t="s">
        <v>1229</v>
      </c>
      <c r="M390" t="str">
        <f>_xlfn.XLOOKUP(Table1[[#This Row],[category]],Table6[category],Table6[id_category])</f>
        <v>KTG0207</v>
      </c>
      <c r="N390" t="s">
        <v>1235</v>
      </c>
      <c r="O390">
        <v>3</v>
      </c>
      <c r="P390">
        <v>27000</v>
      </c>
      <c r="Q390">
        <v>15</v>
      </c>
      <c r="R390">
        <v>2.9</v>
      </c>
      <c r="S390" t="str">
        <f>_xlfn.XLOOKUP(Table1[[#This Row],[method]],Table7[method],Table7[id_method])</f>
        <v>PAY0711</v>
      </c>
      <c r="T390" t="s">
        <v>1238</v>
      </c>
      <c r="U390">
        <v>68850</v>
      </c>
    </row>
    <row r="391" spans="1:21" x14ac:dyDescent="0.25">
      <c r="A391" t="s">
        <v>403</v>
      </c>
      <c r="B391" t="str">
        <f>_xlfn.XLOOKUP(Table1[[#This Row],[date]],Table8[date],Table8[id_date])</f>
        <v>TGL0705</v>
      </c>
      <c r="C391" s="1">
        <v>45548</v>
      </c>
      <c r="D391" s="1" t="str">
        <f>_xlfn.XLOOKUP(Table1[[#This Row],[customer_name]],Table11[customer_name],Table11[id_cust])</f>
        <v>CNA0232</v>
      </c>
      <c r="E391" t="s">
        <v>1116</v>
      </c>
      <c r="F391">
        <v>17</v>
      </c>
      <c r="G391" t="str">
        <f>_xlfn.XLOOKUP(Table1[[#This Row],[branch_name]],Table3[branch_name],Table3[id_branch])</f>
        <v>BRCH001</v>
      </c>
      <c r="H391" t="s">
        <v>1213</v>
      </c>
      <c r="I391" t="str">
        <f>_xlfn.XLOOKUP(Table1[[#This Row],[city]],Table4[city],Table4[id_city])</f>
        <v>KOA0102</v>
      </c>
      <c r="J391" t="s">
        <v>1218</v>
      </c>
      <c r="K391" t="str">
        <f>_xlfn.XLOOKUP(Table1[[#This Row],[menu_name]],Table5[menu_name],Table5[id_menu])</f>
        <v>MENU007</v>
      </c>
      <c r="L391" t="s">
        <v>1229</v>
      </c>
      <c r="M391" t="str">
        <f>_xlfn.XLOOKUP(Table1[[#This Row],[category]],Table6[category],Table6[id_category])</f>
        <v>KTG0207</v>
      </c>
      <c r="N391" t="s">
        <v>1235</v>
      </c>
      <c r="O391">
        <v>5</v>
      </c>
      <c r="P391">
        <v>27000</v>
      </c>
      <c r="Q391">
        <v>0</v>
      </c>
      <c r="R391">
        <v>4.0999999999999996</v>
      </c>
      <c r="S391" t="str">
        <f>_xlfn.XLOOKUP(Table1[[#This Row],[method]],Table7[method],Table7[id_method])</f>
        <v>PAY0711</v>
      </c>
      <c r="T391" t="s">
        <v>1238</v>
      </c>
      <c r="U391">
        <v>135000</v>
      </c>
    </row>
    <row r="392" spans="1:21" x14ac:dyDescent="0.25">
      <c r="A392" t="s">
        <v>404</v>
      </c>
      <c r="B392" t="str">
        <f>_xlfn.XLOOKUP(Table1[[#This Row],[date]],Table8[date],Table8[id_date])</f>
        <v>TGL0706</v>
      </c>
      <c r="C392" s="1">
        <v>45549</v>
      </c>
      <c r="D392" s="1" t="str">
        <f>_xlfn.XLOOKUP(Table1[[#This Row],[customer_name]],Table11[customer_name],Table11[id_cust])</f>
        <v>CNA0137</v>
      </c>
      <c r="E392" t="s">
        <v>1048</v>
      </c>
      <c r="F392">
        <v>32</v>
      </c>
      <c r="G392" t="str">
        <f>_xlfn.XLOOKUP(Table1[[#This Row],[branch_name]],Table3[branch_name],Table3[id_branch])</f>
        <v>BRCH004</v>
      </c>
      <c r="H392" t="s">
        <v>1216</v>
      </c>
      <c r="I392" t="str">
        <f>_xlfn.XLOOKUP(Table1[[#This Row],[city]],Table4[city],Table4[id_city])</f>
        <v>KOA0105</v>
      </c>
      <c r="J392" t="s">
        <v>1221</v>
      </c>
      <c r="K392" t="str">
        <f>_xlfn.XLOOKUP(Table1[[#This Row],[menu_name]],Table5[menu_name],Table5[id_menu])</f>
        <v>MENU005</v>
      </c>
      <c r="L392" t="s">
        <v>1227</v>
      </c>
      <c r="M392" t="str">
        <f>_xlfn.XLOOKUP(Table1[[#This Row],[category]],Table6[category],Table6[id_category])</f>
        <v>KTG0206</v>
      </c>
      <c r="N392" t="s">
        <v>1234</v>
      </c>
      <c r="O392">
        <v>3</v>
      </c>
      <c r="P392">
        <v>23000</v>
      </c>
      <c r="Q392">
        <v>10</v>
      </c>
      <c r="R392">
        <v>4.4000000000000004</v>
      </c>
      <c r="S392" t="str">
        <f>_xlfn.XLOOKUP(Table1[[#This Row],[method]],Table7[method],Table7[id_method])</f>
        <v>PAY0710</v>
      </c>
      <c r="T392" t="s">
        <v>1237</v>
      </c>
      <c r="U392">
        <v>62100</v>
      </c>
    </row>
    <row r="393" spans="1:21" x14ac:dyDescent="0.25">
      <c r="A393" t="s">
        <v>405</v>
      </c>
      <c r="B393" t="str">
        <f>_xlfn.XLOOKUP(Table1[[#This Row],[date]],Table8[date],Table8[id_date])</f>
        <v>TGL0707</v>
      </c>
      <c r="C393" s="1">
        <v>45550</v>
      </c>
      <c r="D393" s="1" t="str">
        <f>_xlfn.XLOOKUP(Table1[[#This Row],[customer_name]],Table11[customer_name],Table11[id_cust])</f>
        <v>CNA0230</v>
      </c>
      <c r="E393" t="s">
        <v>1115</v>
      </c>
      <c r="F393">
        <v>23</v>
      </c>
      <c r="G393" t="str">
        <f>_xlfn.XLOOKUP(Table1[[#This Row],[branch_name]],Table3[branch_name],Table3[id_branch])</f>
        <v>BRCH002</v>
      </c>
      <c r="H393" t="s">
        <v>1214</v>
      </c>
      <c r="I393" t="str">
        <f>_xlfn.XLOOKUP(Table1[[#This Row],[city]],Table4[city],Table4[id_city])</f>
        <v>KOA0103</v>
      </c>
      <c r="J393" t="s">
        <v>1219</v>
      </c>
      <c r="K393" t="str">
        <f>_xlfn.XLOOKUP(Table1[[#This Row],[menu_name]],Table5[menu_name],Table5[id_menu])</f>
        <v>MENU008</v>
      </c>
      <c r="L393" t="s">
        <v>1230</v>
      </c>
      <c r="M393" t="str">
        <f>_xlfn.XLOOKUP(Table1[[#This Row],[category]],Table6[category],Table6[id_category])</f>
        <v>KTG0205</v>
      </c>
      <c r="N393" t="s">
        <v>1233</v>
      </c>
      <c r="O393">
        <v>2</v>
      </c>
      <c r="P393">
        <v>20000</v>
      </c>
      <c r="Q393">
        <v>0</v>
      </c>
      <c r="R393">
        <v>1.5</v>
      </c>
      <c r="S393" t="str">
        <f>_xlfn.XLOOKUP(Table1[[#This Row],[method]],Table7[method],Table7[id_method])</f>
        <v>PAY0712</v>
      </c>
      <c r="T393" t="s">
        <v>1239</v>
      </c>
      <c r="U393">
        <v>40000</v>
      </c>
    </row>
    <row r="394" spans="1:21" x14ac:dyDescent="0.25">
      <c r="A394" t="s">
        <v>406</v>
      </c>
      <c r="B394" t="str">
        <f>_xlfn.XLOOKUP(Table1[[#This Row],[date]],Table8[date],Table8[id_date])</f>
        <v>TGL0707</v>
      </c>
      <c r="C394" s="1">
        <v>45550</v>
      </c>
      <c r="D394" s="1" t="str">
        <f>_xlfn.XLOOKUP(Table1[[#This Row],[customer_name]],Table11[customer_name],Table11[id_cust])</f>
        <v>CNA0280</v>
      </c>
      <c r="E394" t="s">
        <v>1140</v>
      </c>
      <c r="F394">
        <v>25</v>
      </c>
      <c r="G394" t="str">
        <f>_xlfn.XLOOKUP(Table1[[#This Row],[branch_name]],Table3[branch_name],Table3[id_branch])</f>
        <v>BRCH005</v>
      </c>
      <c r="H394" t="s">
        <v>1217</v>
      </c>
      <c r="I394" t="str">
        <f>_xlfn.XLOOKUP(Table1[[#This Row],[city]],Table4[city],Table4[id_city])</f>
        <v>KOA0106</v>
      </c>
      <c r="J394" t="s">
        <v>1222</v>
      </c>
      <c r="K394" t="str">
        <f>_xlfn.XLOOKUP(Table1[[#This Row],[menu_name]],Table5[menu_name],Table5[id_menu])</f>
        <v>MENU004</v>
      </c>
      <c r="L394" t="s">
        <v>1226</v>
      </c>
      <c r="M394" t="str">
        <f>_xlfn.XLOOKUP(Table1[[#This Row],[category]],Table6[category],Table6[id_category])</f>
        <v>KTG0207</v>
      </c>
      <c r="N394" t="s">
        <v>1235</v>
      </c>
      <c r="O394">
        <v>4</v>
      </c>
      <c r="P394">
        <v>28000</v>
      </c>
      <c r="Q394">
        <v>20</v>
      </c>
      <c r="R394">
        <v>4.3</v>
      </c>
      <c r="S394" t="str">
        <f>_xlfn.XLOOKUP(Table1[[#This Row],[method]],Table7[method],Table7[id_method])</f>
        <v>PAY0710</v>
      </c>
      <c r="T394" t="s">
        <v>1237</v>
      </c>
      <c r="U394">
        <v>89600</v>
      </c>
    </row>
    <row r="395" spans="1:21" x14ac:dyDescent="0.25">
      <c r="A395" t="s">
        <v>407</v>
      </c>
      <c r="B395" t="str">
        <f>_xlfn.XLOOKUP(Table1[[#This Row],[date]],Table8[date],Table8[id_date])</f>
        <v>TGL0708</v>
      </c>
      <c r="C395" s="1">
        <v>45552</v>
      </c>
      <c r="D395" s="1" t="str">
        <f>_xlfn.XLOOKUP(Table1[[#This Row],[customer_name]],Table11[customer_name],Table11[id_cust])</f>
        <v>CNA0494</v>
      </c>
      <c r="E395" t="s">
        <v>1183</v>
      </c>
      <c r="F395">
        <v>40</v>
      </c>
      <c r="G395" t="str">
        <f>_xlfn.XLOOKUP(Table1[[#This Row],[branch_name]],Table3[branch_name],Table3[id_branch])</f>
        <v>BRCH005</v>
      </c>
      <c r="H395" t="s">
        <v>1217</v>
      </c>
      <c r="I395" t="str">
        <f>_xlfn.XLOOKUP(Table1[[#This Row],[city]],Table4[city],Table4[id_city])</f>
        <v>KOA0106</v>
      </c>
      <c r="J395" t="s">
        <v>1222</v>
      </c>
      <c r="K395" t="str">
        <f>_xlfn.XLOOKUP(Table1[[#This Row],[menu_name]],Table5[menu_name],Table5[id_menu])</f>
        <v>MENU009</v>
      </c>
      <c r="L395" t="s">
        <v>1231</v>
      </c>
      <c r="M395" t="str">
        <f>_xlfn.XLOOKUP(Table1[[#This Row],[category]],Table6[category],Table6[id_category])</f>
        <v>KTG0206</v>
      </c>
      <c r="N395" t="s">
        <v>1234</v>
      </c>
      <c r="O395">
        <v>2</v>
      </c>
      <c r="P395">
        <v>18000</v>
      </c>
      <c r="Q395">
        <v>0</v>
      </c>
      <c r="R395">
        <v>4.0999999999999996</v>
      </c>
      <c r="S395" t="str">
        <f>_xlfn.XLOOKUP(Table1[[#This Row],[method]],Table7[method],Table7[id_method])</f>
        <v>PAY0711</v>
      </c>
      <c r="T395" t="s">
        <v>1238</v>
      </c>
      <c r="U395">
        <v>36000</v>
      </c>
    </row>
    <row r="396" spans="1:21" x14ac:dyDescent="0.25">
      <c r="A396" t="s">
        <v>408</v>
      </c>
      <c r="B396" t="str">
        <f>_xlfn.XLOOKUP(Table1[[#This Row],[date]],Table8[date],Table8[id_date])</f>
        <v>TGL0708</v>
      </c>
      <c r="C396" s="1">
        <v>45552</v>
      </c>
      <c r="D396" s="1" t="str">
        <f>_xlfn.XLOOKUP(Table1[[#This Row],[customer_name]],Table11[customer_name],Table11[id_cust])</f>
        <v>CNA0106</v>
      </c>
      <c r="E396" t="s">
        <v>1019</v>
      </c>
      <c r="F396">
        <v>30</v>
      </c>
      <c r="G396" t="str">
        <f>_xlfn.XLOOKUP(Table1[[#This Row],[branch_name]],Table3[branch_name],Table3[id_branch])</f>
        <v>BRCH005</v>
      </c>
      <c r="H396" t="s">
        <v>1217</v>
      </c>
      <c r="I396" t="str">
        <f>_xlfn.XLOOKUP(Table1[[#This Row],[city]],Table4[city],Table4[id_city])</f>
        <v>KOA0106</v>
      </c>
      <c r="J396" t="s">
        <v>1222</v>
      </c>
      <c r="K396" t="str">
        <f>_xlfn.XLOOKUP(Table1[[#This Row],[menu_name]],Table5[menu_name],Table5[id_menu])</f>
        <v>MENU009</v>
      </c>
      <c r="L396" t="s">
        <v>1231</v>
      </c>
      <c r="M396" t="str">
        <f>_xlfn.XLOOKUP(Table1[[#This Row],[category]],Table6[category],Table6[id_category])</f>
        <v>KTG0206</v>
      </c>
      <c r="N396" t="s">
        <v>1234</v>
      </c>
      <c r="O396">
        <v>4</v>
      </c>
      <c r="P396">
        <v>18000</v>
      </c>
      <c r="Q396">
        <v>20</v>
      </c>
      <c r="R396">
        <v>1.8</v>
      </c>
      <c r="S396" t="str">
        <f>_xlfn.XLOOKUP(Table1[[#This Row],[method]],Table7[method],Table7[id_method])</f>
        <v>PAY0712</v>
      </c>
      <c r="T396" t="s">
        <v>1239</v>
      </c>
      <c r="U396">
        <v>57600</v>
      </c>
    </row>
    <row r="397" spans="1:21" x14ac:dyDescent="0.25">
      <c r="A397" t="s">
        <v>409</v>
      </c>
      <c r="B397" t="str">
        <f>_xlfn.XLOOKUP(Table1[[#This Row],[date]],Table8[date],Table8[id_date])</f>
        <v>TGL0709</v>
      </c>
      <c r="C397" s="1">
        <v>45554</v>
      </c>
      <c r="D397" s="1" t="str">
        <f>_xlfn.XLOOKUP(Table1[[#This Row],[customer_name]],Table11[customer_name],Table11[id_cust])</f>
        <v>CNA0199</v>
      </c>
      <c r="E397" t="s">
        <v>1094</v>
      </c>
      <c r="F397">
        <v>24</v>
      </c>
      <c r="G397" t="str">
        <f>_xlfn.XLOOKUP(Table1[[#This Row],[branch_name]],Table3[branch_name],Table3[id_branch])</f>
        <v>BRCH003</v>
      </c>
      <c r="H397" t="s">
        <v>1215</v>
      </c>
      <c r="I397" t="str">
        <f>_xlfn.XLOOKUP(Table1[[#This Row],[city]],Table4[city],Table4[id_city])</f>
        <v>KOA0104</v>
      </c>
      <c r="J397" t="s">
        <v>1220</v>
      </c>
      <c r="K397" t="str">
        <f>_xlfn.XLOOKUP(Table1[[#This Row],[menu_name]],Table5[menu_name],Table5[id_menu])</f>
        <v>MENU005</v>
      </c>
      <c r="L397" t="s">
        <v>1227</v>
      </c>
      <c r="M397" t="str">
        <f>_xlfn.XLOOKUP(Table1[[#This Row],[category]],Table6[category],Table6[id_category])</f>
        <v>KTG0206</v>
      </c>
      <c r="N397" t="s">
        <v>1234</v>
      </c>
      <c r="O397">
        <v>5</v>
      </c>
      <c r="P397">
        <v>23000</v>
      </c>
      <c r="Q397">
        <v>20</v>
      </c>
      <c r="R397">
        <v>1.1000000000000001</v>
      </c>
      <c r="S397" t="str">
        <f>_xlfn.XLOOKUP(Table1[[#This Row],[method]],Table7[method],Table7[id_method])</f>
        <v>PAY0710</v>
      </c>
      <c r="T397" t="s">
        <v>1237</v>
      </c>
      <c r="U397">
        <v>92000</v>
      </c>
    </row>
    <row r="398" spans="1:21" x14ac:dyDescent="0.25">
      <c r="A398" t="s">
        <v>410</v>
      </c>
      <c r="B398" t="str">
        <f>_xlfn.XLOOKUP(Table1[[#This Row],[date]],Table8[date],Table8[id_date])</f>
        <v>TGL0710</v>
      </c>
      <c r="C398" s="1">
        <v>45555</v>
      </c>
      <c r="D398" s="1" t="str">
        <f>_xlfn.XLOOKUP(Table1[[#This Row],[customer_name]],Table11[customer_name],Table11[id_cust])</f>
        <v>CNA0497</v>
      </c>
      <c r="E398" t="s">
        <v>1184</v>
      </c>
      <c r="F398">
        <v>25</v>
      </c>
      <c r="G398" t="str">
        <f>_xlfn.XLOOKUP(Table1[[#This Row],[branch_name]],Table3[branch_name],Table3[id_branch])</f>
        <v>BRCH002</v>
      </c>
      <c r="H398" t="s">
        <v>1214</v>
      </c>
      <c r="I398" t="str">
        <f>_xlfn.XLOOKUP(Table1[[#This Row],[city]],Table4[city],Table4[id_city])</f>
        <v>KOA0103</v>
      </c>
      <c r="J398" t="s">
        <v>1219</v>
      </c>
      <c r="K398" t="str">
        <f>_xlfn.XLOOKUP(Table1[[#This Row],[menu_name]],Table5[menu_name],Table5[id_menu])</f>
        <v>MENU009</v>
      </c>
      <c r="L398" t="s">
        <v>1231</v>
      </c>
      <c r="M398" t="str">
        <f>_xlfn.XLOOKUP(Table1[[#This Row],[category]],Table6[category],Table6[id_category])</f>
        <v>KTG0206</v>
      </c>
      <c r="N398" t="s">
        <v>1234</v>
      </c>
      <c r="O398">
        <v>2</v>
      </c>
      <c r="P398">
        <v>18000</v>
      </c>
      <c r="Q398">
        <v>0</v>
      </c>
      <c r="R398">
        <v>4.4000000000000004</v>
      </c>
      <c r="S398" t="str">
        <f>_xlfn.XLOOKUP(Table1[[#This Row],[method]],Table7[method],Table7[id_method])</f>
        <v>PAY0711</v>
      </c>
      <c r="T398" t="s">
        <v>1238</v>
      </c>
      <c r="U398">
        <v>36000</v>
      </c>
    </row>
    <row r="399" spans="1:21" x14ac:dyDescent="0.25">
      <c r="A399" t="s">
        <v>411</v>
      </c>
      <c r="B399" t="str">
        <f>_xlfn.XLOOKUP(Table1[[#This Row],[date]],Table8[date],Table8[id_date])</f>
        <v>TGL0710</v>
      </c>
      <c r="C399" s="1">
        <v>45555</v>
      </c>
      <c r="D399" s="1" t="str">
        <f>_xlfn.XLOOKUP(Table1[[#This Row],[customer_name]],Table11[customer_name],Table11[id_cust])</f>
        <v>CNA0317</v>
      </c>
      <c r="E399" t="s">
        <v>1156</v>
      </c>
      <c r="F399">
        <v>31</v>
      </c>
      <c r="G399" t="str">
        <f>_xlfn.XLOOKUP(Table1[[#This Row],[branch_name]],Table3[branch_name],Table3[id_branch])</f>
        <v>BRCH004</v>
      </c>
      <c r="H399" t="s">
        <v>1216</v>
      </c>
      <c r="I399" t="str">
        <f>_xlfn.XLOOKUP(Table1[[#This Row],[city]],Table4[city],Table4[id_city])</f>
        <v>KOA0105</v>
      </c>
      <c r="J399" t="s">
        <v>1221</v>
      </c>
      <c r="K399" t="str">
        <f>_xlfn.XLOOKUP(Table1[[#This Row],[menu_name]],Table5[menu_name],Table5[id_menu])</f>
        <v>MENU004</v>
      </c>
      <c r="L399" t="s">
        <v>1226</v>
      </c>
      <c r="M399" t="str">
        <f>_xlfn.XLOOKUP(Table1[[#This Row],[category]],Table6[category],Table6[id_category])</f>
        <v>KTG0207</v>
      </c>
      <c r="N399" t="s">
        <v>1235</v>
      </c>
      <c r="O399">
        <v>4</v>
      </c>
      <c r="P399">
        <v>28000</v>
      </c>
      <c r="Q399">
        <v>0</v>
      </c>
      <c r="R399">
        <v>1.5</v>
      </c>
      <c r="S399" t="str">
        <f>_xlfn.XLOOKUP(Table1[[#This Row],[method]],Table7[method],Table7[id_method])</f>
        <v>PAY0710</v>
      </c>
      <c r="T399" t="s">
        <v>1237</v>
      </c>
      <c r="U399">
        <v>112000</v>
      </c>
    </row>
    <row r="400" spans="1:21" x14ac:dyDescent="0.25">
      <c r="A400" t="s">
        <v>412</v>
      </c>
      <c r="B400" t="str">
        <f>_xlfn.XLOOKUP(Table1[[#This Row],[date]],Table8[date],Table8[id_date])</f>
        <v>TGL0710</v>
      </c>
      <c r="C400" s="1">
        <v>45555</v>
      </c>
      <c r="D400" s="1" t="str">
        <f>_xlfn.XLOOKUP(Table1[[#This Row],[customer_name]],Table11[customer_name],Table11[id_cust])</f>
        <v>CNA0255</v>
      </c>
      <c r="E400" t="s">
        <v>1128</v>
      </c>
      <c r="F400">
        <v>30</v>
      </c>
      <c r="G400" t="str">
        <f>_xlfn.XLOOKUP(Table1[[#This Row],[branch_name]],Table3[branch_name],Table3[id_branch])</f>
        <v>BRCH003</v>
      </c>
      <c r="H400" t="s">
        <v>1215</v>
      </c>
      <c r="I400" t="str">
        <f>_xlfn.XLOOKUP(Table1[[#This Row],[city]],Table4[city],Table4[id_city])</f>
        <v>KOA0104</v>
      </c>
      <c r="J400" t="s">
        <v>1220</v>
      </c>
      <c r="K400" t="str">
        <f>_xlfn.XLOOKUP(Table1[[#This Row],[menu_name]],Table5[menu_name],Table5[id_menu])</f>
        <v>MENU007</v>
      </c>
      <c r="L400" t="s">
        <v>1229</v>
      </c>
      <c r="M400" t="str">
        <f>_xlfn.XLOOKUP(Table1[[#This Row],[category]],Table6[category],Table6[id_category])</f>
        <v>KTG0207</v>
      </c>
      <c r="N400" t="s">
        <v>1235</v>
      </c>
      <c r="O400">
        <v>5</v>
      </c>
      <c r="P400">
        <v>27000</v>
      </c>
      <c r="Q400">
        <v>5</v>
      </c>
      <c r="R400">
        <v>1.1000000000000001</v>
      </c>
      <c r="S400" t="str">
        <f>_xlfn.XLOOKUP(Table1[[#This Row],[method]],Table7[method],Table7[id_method])</f>
        <v>PAY0710</v>
      </c>
      <c r="T400" t="s">
        <v>1237</v>
      </c>
      <c r="U400">
        <v>128250</v>
      </c>
    </row>
    <row r="401" spans="1:21" x14ac:dyDescent="0.25">
      <c r="A401" t="s">
        <v>413</v>
      </c>
      <c r="B401" t="str">
        <f>_xlfn.XLOOKUP(Table1[[#This Row],[date]],Table8[date],Table8[id_date])</f>
        <v>TGL0711</v>
      </c>
      <c r="C401" s="1">
        <v>45556</v>
      </c>
      <c r="D401" s="1" t="str">
        <f>_xlfn.XLOOKUP(Table1[[#This Row],[customer_name]],Table11[customer_name],Table11[id_cust])</f>
        <v>CNA0244</v>
      </c>
      <c r="E401" t="s">
        <v>1124</v>
      </c>
      <c r="F401">
        <v>39</v>
      </c>
      <c r="G401" t="str">
        <f>_xlfn.XLOOKUP(Table1[[#This Row],[branch_name]],Table3[branch_name],Table3[id_branch])</f>
        <v>BRCH005</v>
      </c>
      <c r="H401" t="s">
        <v>1217</v>
      </c>
      <c r="I401" t="str">
        <f>_xlfn.XLOOKUP(Table1[[#This Row],[city]],Table4[city],Table4[id_city])</f>
        <v>KOA0106</v>
      </c>
      <c r="J401" t="s">
        <v>1222</v>
      </c>
      <c r="K401" t="str">
        <f>_xlfn.XLOOKUP(Table1[[#This Row],[menu_name]],Table5[menu_name],Table5[id_menu])</f>
        <v>MENU010</v>
      </c>
      <c r="L401" t="s">
        <v>1232</v>
      </c>
      <c r="M401" t="str">
        <f>_xlfn.XLOOKUP(Table1[[#This Row],[category]],Table6[category],Table6[id_category])</f>
        <v>KTG0205</v>
      </c>
      <c r="N401" t="s">
        <v>1233</v>
      </c>
      <c r="O401">
        <v>4</v>
      </c>
      <c r="P401">
        <v>18000</v>
      </c>
      <c r="Q401">
        <v>5</v>
      </c>
      <c r="R401">
        <v>1.2</v>
      </c>
      <c r="S401" t="str">
        <f>_xlfn.XLOOKUP(Table1[[#This Row],[method]],Table7[method],Table7[id_method])</f>
        <v>PAY0710</v>
      </c>
      <c r="T401" t="s">
        <v>1237</v>
      </c>
      <c r="U401">
        <v>68400</v>
      </c>
    </row>
    <row r="402" spans="1:21" x14ac:dyDescent="0.25">
      <c r="A402" t="s">
        <v>414</v>
      </c>
      <c r="B402" t="str">
        <f>_xlfn.XLOOKUP(Table1[[#This Row],[date]],Table8[date],Table8[id_date])</f>
        <v>TGL0712</v>
      </c>
      <c r="C402" s="1">
        <v>45559</v>
      </c>
      <c r="D402" s="1" t="str">
        <f>_xlfn.XLOOKUP(Table1[[#This Row],[customer_name]],Table11[customer_name],Table11[id_cust])</f>
        <v>CNA0301</v>
      </c>
      <c r="E402" t="s">
        <v>1150</v>
      </c>
      <c r="F402">
        <v>29</v>
      </c>
      <c r="G402" t="str">
        <f>_xlfn.XLOOKUP(Table1[[#This Row],[branch_name]],Table3[branch_name],Table3[id_branch])</f>
        <v>BRCH002</v>
      </c>
      <c r="H402" t="s">
        <v>1214</v>
      </c>
      <c r="I402" t="str">
        <f>_xlfn.XLOOKUP(Table1[[#This Row],[city]],Table4[city],Table4[id_city])</f>
        <v>KOA0103</v>
      </c>
      <c r="J402" t="s">
        <v>1219</v>
      </c>
      <c r="K402" t="str">
        <f>_xlfn.XLOOKUP(Table1[[#This Row],[menu_name]],Table5[menu_name],Table5[id_menu])</f>
        <v>MENU006</v>
      </c>
      <c r="L402" t="s">
        <v>1228</v>
      </c>
      <c r="M402" t="str">
        <f>_xlfn.XLOOKUP(Table1[[#This Row],[category]],Table6[category],Table6[id_category])</f>
        <v>KTG0206</v>
      </c>
      <c r="N402" t="s">
        <v>1234</v>
      </c>
      <c r="O402">
        <v>3</v>
      </c>
      <c r="P402">
        <v>32000</v>
      </c>
      <c r="Q402">
        <v>15</v>
      </c>
      <c r="R402">
        <v>2.2000000000000002</v>
      </c>
      <c r="S402" t="str">
        <f>_xlfn.XLOOKUP(Table1[[#This Row],[method]],Table7[method],Table7[id_method])</f>
        <v>PAY0710</v>
      </c>
      <c r="T402" t="s">
        <v>1237</v>
      </c>
      <c r="U402">
        <v>81600</v>
      </c>
    </row>
    <row r="403" spans="1:21" x14ac:dyDescent="0.25">
      <c r="A403" t="s">
        <v>415</v>
      </c>
      <c r="B403" t="str">
        <f>_xlfn.XLOOKUP(Table1[[#This Row],[date]],Table8[date],Table8[id_date])</f>
        <v>TGL0712</v>
      </c>
      <c r="C403" s="1">
        <v>45559</v>
      </c>
      <c r="D403" s="1" t="str">
        <f>_xlfn.XLOOKUP(Table1[[#This Row],[customer_name]],Table11[customer_name],Table11[id_cust])</f>
        <v>CNA0123</v>
      </c>
      <c r="E403" t="s">
        <v>1036</v>
      </c>
      <c r="F403">
        <v>31</v>
      </c>
      <c r="G403" t="str">
        <f>_xlfn.XLOOKUP(Table1[[#This Row],[branch_name]],Table3[branch_name],Table3[id_branch])</f>
        <v>BRCH003</v>
      </c>
      <c r="H403" t="s">
        <v>1215</v>
      </c>
      <c r="I403" t="str">
        <f>_xlfn.XLOOKUP(Table1[[#This Row],[city]],Table4[city],Table4[id_city])</f>
        <v>KOA0104</v>
      </c>
      <c r="J403" t="s">
        <v>1220</v>
      </c>
      <c r="K403" t="str">
        <f>_xlfn.XLOOKUP(Table1[[#This Row],[menu_name]],Table5[menu_name],Table5[id_menu])</f>
        <v>MENU001</v>
      </c>
      <c r="L403" t="s">
        <v>1223</v>
      </c>
      <c r="M403" t="str">
        <f>_xlfn.XLOOKUP(Table1[[#This Row],[category]],Table6[category],Table6[id_category])</f>
        <v>KTG0205</v>
      </c>
      <c r="N403" t="s">
        <v>1233</v>
      </c>
      <c r="O403">
        <v>3</v>
      </c>
      <c r="P403">
        <v>25000</v>
      </c>
      <c r="Q403">
        <v>20</v>
      </c>
      <c r="R403">
        <v>2.8</v>
      </c>
      <c r="S403" t="str">
        <f>_xlfn.XLOOKUP(Table1[[#This Row],[method]],Table7[method],Table7[id_method])</f>
        <v>PAY0712</v>
      </c>
      <c r="T403" t="s">
        <v>1239</v>
      </c>
      <c r="U403">
        <v>60000</v>
      </c>
    </row>
    <row r="404" spans="1:21" x14ac:dyDescent="0.25">
      <c r="A404" t="s">
        <v>416</v>
      </c>
      <c r="B404" t="str">
        <f>_xlfn.XLOOKUP(Table1[[#This Row],[date]],Table8[date],Table8[id_date])</f>
        <v>TGL0713</v>
      </c>
      <c r="C404" s="1">
        <v>45560</v>
      </c>
      <c r="D404" s="1" t="str">
        <f>_xlfn.XLOOKUP(Table1[[#This Row],[customer_name]],Table11[customer_name],Table11[id_cust])</f>
        <v>CNA0414</v>
      </c>
      <c r="E404" t="s">
        <v>1176</v>
      </c>
      <c r="F404">
        <v>46</v>
      </c>
      <c r="G404" t="str">
        <f>_xlfn.XLOOKUP(Table1[[#This Row],[branch_name]],Table3[branch_name],Table3[id_branch])</f>
        <v>BRCH002</v>
      </c>
      <c r="H404" t="s">
        <v>1214</v>
      </c>
      <c r="I404" t="str">
        <f>_xlfn.XLOOKUP(Table1[[#This Row],[city]],Table4[city],Table4[id_city])</f>
        <v>KOA0103</v>
      </c>
      <c r="J404" t="s">
        <v>1219</v>
      </c>
      <c r="K404" t="str">
        <f>_xlfn.XLOOKUP(Table1[[#This Row],[menu_name]],Table5[menu_name],Table5[id_menu])</f>
        <v>MENU007</v>
      </c>
      <c r="L404" t="s">
        <v>1229</v>
      </c>
      <c r="M404" t="str">
        <f>_xlfn.XLOOKUP(Table1[[#This Row],[category]],Table6[category],Table6[id_category])</f>
        <v>KTG0207</v>
      </c>
      <c r="N404" t="s">
        <v>1235</v>
      </c>
      <c r="O404">
        <v>5</v>
      </c>
      <c r="P404">
        <v>27000</v>
      </c>
      <c r="Q404">
        <v>20</v>
      </c>
      <c r="R404">
        <v>4</v>
      </c>
      <c r="S404" t="str">
        <f>_xlfn.XLOOKUP(Table1[[#This Row],[method]],Table7[method],Table7[id_method])</f>
        <v>PAY0710</v>
      </c>
      <c r="T404" t="s">
        <v>1237</v>
      </c>
      <c r="U404">
        <v>108000</v>
      </c>
    </row>
    <row r="405" spans="1:21" x14ac:dyDescent="0.25">
      <c r="A405" t="s">
        <v>417</v>
      </c>
      <c r="B405" t="str">
        <f>_xlfn.XLOOKUP(Table1[[#This Row],[date]],Table8[date],Table8[id_date])</f>
        <v>TGL0714</v>
      </c>
      <c r="C405" s="1">
        <v>45561</v>
      </c>
      <c r="D405" s="1" t="str">
        <f>_xlfn.XLOOKUP(Table1[[#This Row],[customer_name]],Table11[customer_name],Table11[id_cust])</f>
        <v>CNA0350</v>
      </c>
      <c r="E405" t="s">
        <v>1165</v>
      </c>
      <c r="F405">
        <v>52</v>
      </c>
      <c r="G405" t="str">
        <f>_xlfn.XLOOKUP(Table1[[#This Row],[branch_name]],Table3[branch_name],Table3[id_branch])</f>
        <v>BRCH005</v>
      </c>
      <c r="H405" t="s">
        <v>1217</v>
      </c>
      <c r="I405" t="str">
        <f>_xlfn.XLOOKUP(Table1[[#This Row],[city]],Table4[city],Table4[id_city])</f>
        <v>KOA0106</v>
      </c>
      <c r="J405" t="s">
        <v>1222</v>
      </c>
      <c r="K405" t="str">
        <f>_xlfn.XLOOKUP(Table1[[#This Row],[menu_name]],Table5[menu_name],Table5[id_menu])</f>
        <v>MENU008</v>
      </c>
      <c r="L405" t="s">
        <v>1230</v>
      </c>
      <c r="M405" t="str">
        <f>_xlfn.XLOOKUP(Table1[[#This Row],[category]],Table6[category],Table6[id_category])</f>
        <v>KTG0205</v>
      </c>
      <c r="N405" t="s">
        <v>1233</v>
      </c>
      <c r="O405">
        <v>2</v>
      </c>
      <c r="P405">
        <v>20000</v>
      </c>
      <c r="Q405">
        <v>15</v>
      </c>
      <c r="R405">
        <v>1.1000000000000001</v>
      </c>
      <c r="S405" t="str">
        <f>_xlfn.XLOOKUP(Table1[[#This Row],[method]],Table7[method],Table7[id_method])</f>
        <v>PAY0710</v>
      </c>
      <c r="T405" t="s">
        <v>1237</v>
      </c>
      <c r="U405">
        <v>34000</v>
      </c>
    </row>
    <row r="406" spans="1:21" x14ac:dyDescent="0.25">
      <c r="A406" t="s">
        <v>418</v>
      </c>
      <c r="B406" t="str">
        <f>_xlfn.XLOOKUP(Table1[[#This Row],[date]],Table8[date],Table8[id_date])</f>
        <v>TGL0715</v>
      </c>
      <c r="C406" s="1">
        <v>45563</v>
      </c>
      <c r="D406" s="1" t="str">
        <f>_xlfn.XLOOKUP(Table1[[#This Row],[customer_name]],Table11[customer_name],Table11[id_cust])</f>
        <v>CNA0133</v>
      </c>
      <c r="E406" t="s">
        <v>1045</v>
      </c>
      <c r="F406">
        <v>42</v>
      </c>
      <c r="G406" t="str">
        <f>_xlfn.XLOOKUP(Table1[[#This Row],[branch_name]],Table3[branch_name],Table3[id_branch])</f>
        <v>BRCH005</v>
      </c>
      <c r="H406" t="s">
        <v>1217</v>
      </c>
      <c r="I406" t="str">
        <f>_xlfn.XLOOKUP(Table1[[#This Row],[city]],Table4[city],Table4[id_city])</f>
        <v>KOA0106</v>
      </c>
      <c r="J406" t="s">
        <v>1222</v>
      </c>
      <c r="K406" t="str">
        <f>_xlfn.XLOOKUP(Table1[[#This Row],[menu_name]],Table5[menu_name],Table5[id_menu])</f>
        <v>MENU001</v>
      </c>
      <c r="L406" t="s">
        <v>1223</v>
      </c>
      <c r="M406" t="str">
        <f>_xlfn.XLOOKUP(Table1[[#This Row],[category]],Table6[category],Table6[id_category])</f>
        <v>KTG0205</v>
      </c>
      <c r="N406" t="s">
        <v>1233</v>
      </c>
      <c r="O406">
        <v>4</v>
      </c>
      <c r="P406">
        <v>25000</v>
      </c>
      <c r="Q406">
        <v>10</v>
      </c>
      <c r="R406">
        <v>2.4</v>
      </c>
      <c r="S406" t="str">
        <f>_xlfn.XLOOKUP(Table1[[#This Row],[method]],Table7[method],Table7[id_method])</f>
        <v>PAY0709</v>
      </c>
      <c r="T406" t="s">
        <v>1236</v>
      </c>
      <c r="U406">
        <v>90000</v>
      </c>
    </row>
    <row r="407" spans="1:21" x14ac:dyDescent="0.25">
      <c r="A407" t="s">
        <v>419</v>
      </c>
      <c r="B407" t="str">
        <f>_xlfn.XLOOKUP(Table1[[#This Row],[date]],Table8[date],Table8[id_date])</f>
        <v>TGL0716</v>
      </c>
      <c r="C407" s="1">
        <v>45564</v>
      </c>
      <c r="D407" s="1" t="str">
        <f>_xlfn.XLOOKUP(Table1[[#This Row],[customer_name]],Table11[customer_name],Table11[id_cust])</f>
        <v>CNA0120</v>
      </c>
      <c r="E407" t="s">
        <v>1033</v>
      </c>
      <c r="F407">
        <v>44</v>
      </c>
      <c r="G407" t="str">
        <f>_xlfn.XLOOKUP(Table1[[#This Row],[branch_name]],Table3[branch_name],Table3[id_branch])</f>
        <v>BRCH002</v>
      </c>
      <c r="H407" t="s">
        <v>1214</v>
      </c>
      <c r="I407" t="str">
        <f>_xlfn.XLOOKUP(Table1[[#This Row],[city]],Table4[city],Table4[id_city])</f>
        <v>KOA0103</v>
      </c>
      <c r="J407" t="s">
        <v>1219</v>
      </c>
      <c r="K407" t="str">
        <f>_xlfn.XLOOKUP(Table1[[#This Row],[menu_name]],Table5[menu_name],Table5[id_menu])</f>
        <v>MENU003</v>
      </c>
      <c r="L407" t="s">
        <v>1225</v>
      </c>
      <c r="M407" t="str">
        <f>_xlfn.XLOOKUP(Table1[[#This Row],[category]],Table6[category],Table6[id_category])</f>
        <v>KTG0205</v>
      </c>
      <c r="N407" t="s">
        <v>1233</v>
      </c>
      <c r="O407">
        <v>5</v>
      </c>
      <c r="P407">
        <v>22000</v>
      </c>
      <c r="Q407">
        <v>0</v>
      </c>
      <c r="R407">
        <v>3</v>
      </c>
      <c r="S407" t="str">
        <f>_xlfn.XLOOKUP(Table1[[#This Row],[method]],Table7[method],Table7[id_method])</f>
        <v>PAY0710</v>
      </c>
      <c r="T407" t="s">
        <v>1237</v>
      </c>
      <c r="U407">
        <v>110000</v>
      </c>
    </row>
    <row r="408" spans="1:21" x14ac:dyDescent="0.25">
      <c r="A408" t="s">
        <v>420</v>
      </c>
      <c r="B408" t="str">
        <f>_xlfn.XLOOKUP(Table1[[#This Row],[date]],Table8[date],Table8[id_date])</f>
        <v>TGL0716</v>
      </c>
      <c r="C408" s="1">
        <v>45564</v>
      </c>
      <c r="D408" s="1" t="str">
        <f>_xlfn.XLOOKUP(Table1[[#This Row],[customer_name]],Table11[customer_name],Table11[id_cust])</f>
        <v>CNA0507</v>
      </c>
      <c r="E408" t="s">
        <v>1185</v>
      </c>
      <c r="F408">
        <v>24</v>
      </c>
      <c r="G408" t="str">
        <f>_xlfn.XLOOKUP(Table1[[#This Row],[branch_name]],Table3[branch_name],Table3[id_branch])</f>
        <v>BRCH005</v>
      </c>
      <c r="H408" t="s">
        <v>1217</v>
      </c>
      <c r="I408" t="str">
        <f>_xlfn.XLOOKUP(Table1[[#This Row],[city]],Table4[city],Table4[id_city])</f>
        <v>KOA0106</v>
      </c>
      <c r="J408" t="s">
        <v>1222</v>
      </c>
      <c r="K408" t="str">
        <f>_xlfn.XLOOKUP(Table1[[#This Row],[menu_name]],Table5[menu_name],Table5[id_menu])</f>
        <v>MENU008</v>
      </c>
      <c r="L408" t="s">
        <v>1230</v>
      </c>
      <c r="M408" t="str">
        <f>_xlfn.XLOOKUP(Table1[[#This Row],[category]],Table6[category],Table6[id_category])</f>
        <v>KTG0205</v>
      </c>
      <c r="N408" t="s">
        <v>1233</v>
      </c>
      <c r="O408">
        <v>3</v>
      </c>
      <c r="P408">
        <v>20000</v>
      </c>
      <c r="Q408">
        <v>10</v>
      </c>
      <c r="R408">
        <v>3.6</v>
      </c>
      <c r="S408" t="str">
        <f>_xlfn.XLOOKUP(Table1[[#This Row],[method]],Table7[method],Table7[id_method])</f>
        <v>PAY0709</v>
      </c>
      <c r="T408" t="s">
        <v>1236</v>
      </c>
      <c r="U408">
        <v>54000</v>
      </c>
    </row>
    <row r="409" spans="1:21" x14ac:dyDescent="0.25">
      <c r="A409" t="s">
        <v>421</v>
      </c>
      <c r="B409" t="str">
        <f>_xlfn.XLOOKUP(Table1[[#This Row],[date]],Table8[date],Table8[id_date])</f>
        <v>TGL0717</v>
      </c>
      <c r="C409" s="1">
        <v>45565</v>
      </c>
      <c r="D409" s="1" t="str">
        <f>_xlfn.XLOOKUP(Table1[[#This Row],[customer_name]],Table11[customer_name],Table11[id_cust])</f>
        <v>CNA0114</v>
      </c>
      <c r="E409" t="s">
        <v>1027</v>
      </c>
      <c r="F409">
        <v>51</v>
      </c>
      <c r="G409" t="str">
        <f>_xlfn.XLOOKUP(Table1[[#This Row],[branch_name]],Table3[branch_name],Table3[id_branch])</f>
        <v>BRCH002</v>
      </c>
      <c r="H409" t="s">
        <v>1214</v>
      </c>
      <c r="I409" t="str">
        <f>_xlfn.XLOOKUP(Table1[[#This Row],[city]],Table4[city],Table4[id_city])</f>
        <v>KOA0103</v>
      </c>
      <c r="J409" t="s">
        <v>1219</v>
      </c>
      <c r="K409" t="str">
        <f>_xlfn.XLOOKUP(Table1[[#This Row],[menu_name]],Table5[menu_name],Table5[id_menu])</f>
        <v>MENU004</v>
      </c>
      <c r="L409" t="s">
        <v>1226</v>
      </c>
      <c r="M409" t="str">
        <f>_xlfn.XLOOKUP(Table1[[#This Row],[category]],Table6[category],Table6[id_category])</f>
        <v>KTG0207</v>
      </c>
      <c r="N409" t="s">
        <v>1235</v>
      </c>
      <c r="O409">
        <v>3</v>
      </c>
      <c r="P409">
        <v>28000</v>
      </c>
      <c r="Q409">
        <v>20</v>
      </c>
      <c r="R409">
        <v>1.4</v>
      </c>
      <c r="S409" t="str">
        <f>_xlfn.XLOOKUP(Table1[[#This Row],[method]],Table7[method],Table7[id_method])</f>
        <v>PAY0711</v>
      </c>
      <c r="T409" t="s">
        <v>1238</v>
      </c>
      <c r="U409">
        <v>67200</v>
      </c>
    </row>
    <row r="410" spans="1:21" x14ac:dyDescent="0.25">
      <c r="A410" t="s">
        <v>422</v>
      </c>
      <c r="B410" t="str">
        <f>_xlfn.XLOOKUP(Table1[[#This Row],[date]],Table8[date],Table8[id_date])</f>
        <v>TGL0718</v>
      </c>
      <c r="C410" s="1">
        <v>45568</v>
      </c>
      <c r="D410" s="1" t="str">
        <f>_xlfn.XLOOKUP(Table1[[#This Row],[customer_name]],Table11[customer_name],Table11[id_cust])</f>
        <v>CNA0342</v>
      </c>
      <c r="E410" t="s">
        <v>1162</v>
      </c>
      <c r="F410">
        <v>35</v>
      </c>
      <c r="G410" t="str">
        <f>_xlfn.XLOOKUP(Table1[[#This Row],[branch_name]],Table3[branch_name],Table3[id_branch])</f>
        <v>BRCH005</v>
      </c>
      <c r="H410" t="s">
        <v>1217</v>
      </c>
      <c r="I410" t="str">
        <f>_xlfn.XLOOKUP(Table1[[#This Row],[city]],Table4[city],Table4[id_city])</f>
        <v>KOA0106</v>
      </c>
      <c r="J410" t="s">
        <v>1222</v>
      </c>
      <c r="K410" t="str">
        <f>_xlfn.XLOOKUP(Table1[[#This Row],[menu_name]],Table5[menu_name],Table5[id_menu])</f>
        <v>MENU006</v>
      </c>
      <c r="L410" t="s">
        <v>1228</v>
      </c>
      <c r="M410" t="str">
        <f>_xlfn.XLOOKUP(Table1[[#This Row],[category]],Table6[category],Table6[id_category])</f>
        <v>KTG0206</v>
      </c>
      <c r="N410" t="s">
        <v>1234</v>
      </c>
      <c r="O410">
        <v>5</v>
      </c>
      <c r="P410">
        <v>32000</v>
      </c>
      <c r="Q410">
        <v>15</v>
      </c>
      <c r="R410">
        <v>2</v>
      </c>
      <c r="S410" t="str">
        <f>_xlfn.XLOOKUP(Table1[[#This Row],[method]],Table7[method],Table7[id_method])</f>
        <v>PAY0711</v>
      </c>
      <c r="T410" t="s">
        <v>1238</v>
      </c>
      <c r="U410">
        <v>136000</v>
      </c>
    </row>
    <row r="411" spans="1:21" x14ac:dyDescent="0.25">
      <c r="A411" t="s">
        <v>423</v>
      </c>
      <c r="B411" t="str">
        <f>_xlfn.XLOOKUP(Table1[[#This Row],[date]],Table8[date],Table8[id_date])</f>
        <v>TGL0718</v>
      </c>
      <c r="C411" s="1">
        <v>45568</v>
      </c>
      <c r="D411" s="1" t="str">
        <f>_xlfn.XLOOKUP(Table1[[#This Row],[customer_name]],Table11[customer_name],Table11[id_cust])</f>
        <v>CNA0106</v>
      </c>
      <c r="E411" t="s">
        <v>1019</v>
      </c>
      <c r="F411">
        <v>30</v>
      </c>
      <c r="G411" t="str">
        <f>_xlfn.XLOOKUP(Table1[[#This Row],[branch_name]],Table3[branch_name],Table3[id_branch])</f>
        <v>BRCH004</v>
      </c>
      <c r="H411" t="s">
        <v>1216</v>
      </c>
      <c r="I411" t="str">
        <f>_xlfn.XLOOKUP(Table1[[#This Row],[city]],Table4[city],Table4[id_city])</f>
        <v>KOA0105</v>
      </c>
      <c r="J411" t="s">
        <v>1221</v>
      </c>
      <c r="K411" t="str">
        <f>_xlfn.XLOOKUP(Table1[[#This Row],[menu_name]],Table5[menu_name],Table5[id_menu])</f>
        <v>MENU004</v>
      </c>
      <c r="L411" t="s">
        <v>1226</v>
      </c>
      <c r="M411" t="str">
        <f>_xlfn.XLOOKUP(Table1[[#This Row],[category]],Table6[category],Table6[id_category])</f>
        <v>KTG0207</v>
      </c>
      <c r="N411" t="s">
        <v>1235</v>
      </c>
      <c r="O411">
        <v>5</v>
      </c>
      <c r="P411">
        <v>28000</v>
      </c>
      <c r="Q411">
        <v>10</v>
      </c>
      <c r="R411">
        <v>2.9</v>
      </c>
      <c r="S411" t="str">
        <f>_xlfn.XLOOKUP(Table1[[#This Row],[method]],Table7[method],Table7[id_method])</f>
        <v>PAY0711</v>
      </c>
      <c r="T411" t="s">
        <v>1238</v>
      </c>
      <c r="U411">
        <v>126000</v>
      </c>
    </row>
    <row r="412" spans="1:21" x14ac:dyDescent="0.25">
      <c r="A412" t="s">
        <v>424</v>
      </c>
      <c r="B412" t="str">
        <f>_xlfn.XLOOKUP(Table1[[#This Row],[date]],Table8[date],Table8[id_date])</f>
        <v>TGL0718</v>
      </c>
      <c r="C412" s="1">
        <v>45568</v>
      </c>
      <c r="D412" s="1" t="str">
        <f>_xlfn.XLOOKUP(Table1[[#This Row],[customer_name]],Table11[customer_name],Table11[id_cust])</f>
        <v>CNA0511</v>
      </c>
      <c r="E412" t="s">
        <v>1186</v>
      </c>
      <c r="F412">
        <v>36</v>
      </c>
      <c r="G412" t="str">
        <f>_xlfn.XLOOKUP(Table1[[#This Row],[branch_name]],Table3[branch_name],Table3[id_branch])</f>
        <v>BRCH002</v>
      </c>
      <c r="H412" t="s">
        <v>1214</v>
      </c>
      <c r="I412" t="str">
        <f>_xlfn.XLOOKUP(Table1[[#This Row],[city]],Table4[city],Table4[id_city])</f>
        <v>KOA0103</v>
      </c>
      <c r="J412" t="s">
        <v>1219</v>
      </c>
      <c r="K412" t="str">
        <f>_xlfn.XLOOKUP(Table1[[#This Row],[menu_name]],Table5[menu_name],Table5[id_menu])</f>
        <v>MENU002</v>
      </c>
      <c r="L412" t="s">
        <v>1224</v>
      </c>
      <c r="M412" t="str">
        <f>_xlfn.XLOOKUP(Table1[[#This Row],[category]],Table6[category],Table6[id_category])</f>
        <v>KTG0206</v>
      </c>
      <c r="N412" t="s">
        <v>1234</v>
      </c>
      <c r="O412">
        <v>5</v>
      </c>
      <c r="P412">
        <v>30000</v>
      </c>
      <c r="Q412">
        <v>10</v>
      </c>
      <c r="R412">
        <v>3.9</v>
      </c>
      <c r="S412" t="str">
        <f>_xlfn.XLOOKUP(Table1[[#This Row],[method]],Table7[method],Table7[id_method])</f>
        <v>PAY0709</v>
      </c>
      <c r="T412" t="s">
        <v>1236</v>
      </c>
      <c r="U412">
        <v>135000</v>
      </c>
    </row>
    <row r="413" spans="1:21" x14ac:dyDescent="0.25">
      <c r="A413" t="s">
        <v>425</v>
      </c>
      <c r="B413" t="str">
        <f>_xlfn.XLOOKUP(Table1[[#This Row],[date]],Table8[date],Table8[id_date])</f>
        <v>TGL0718</v>
      </c>
      <c r="C413" s="1">
        <v>45568</v>
      </c>
      <c r="D413" s="1" t="str">
        <f>_xlfn.XLOOKUP(Table1[[#This Row],[customer_name]],Table11[customer_name],Table11[id_cust])</f>
        <v>CNA0325</v>
      </c>
      <c r="E413" t="s">
        <v>1160</v>
      </c>
      <c r="F413">
        <v>45</v>
      </c>
      <c r="G413" t="str">
        <f>_xlfn.XLOOKUP(Table1[[#This Row],[branch_name]],Table3[branch_name],Table3[id_branch])</f>
        <v>BRCH001</v>
      </c>
      <c r="H413" t="s">
        <v>1213</v>
      </c>
      <c r="I413" t="str">
        <f>_xlfn.XLOOKUP(Table1[[#This Row],[city]],Table4[city],Table4[id_city])</f>
        <v>KOA0102</v>
      </c>
      <c r="J413" t="s">
        <v>1218</v>
      </c>
      <c r="K413" t="str">
        <f>_xlfn.XLOOKUP(Table1[[#This Row],[menu_name]],Table5[menu_name],Table5[id_menu])</f>
        <v>MENU004</v>
      </c>
      <c r="L413" t="s">
        <v>1226</v>
      </c>
      <c r="M413" t="str">
        <f>_xlfn.XLOOKUP(Table1[[#This Row],[category]],Table6[category],Table6[id_category])</f>
        <v>KTG0207</v>
      </c>
      <c r="N413" t="s">
        <v>1235</v>
      </c>
      <c r="O413">
        <v>1</v>
      </c>
      <c r="P413">
        <v>28000</v>
      </c>
      <c r="Q413">
        <v>0</v>
      </c>
      <c r="R413">
        <v>3.8</v>
      </c>
      <c r="S413" t="str">
        <f>_xlfn.XLOOKUP(Table1[[#This Row],[method]],Table7[method],Table7[id_method])</f>
        <v>PAY0712</v>
      </c>
      <c r="T413" t="s">
        <v>1239</v>
      </c>
      <c r="U413">
        <v>28000</v>
      </c>
    </row>
    <row r="414" spans="1:21" x14ac:dyDescent="0.25">
      <c r="A414" t="s">
        <v>426</v>
      </c>
      <c r="B414" t="str">
        <f>_xlfn.XLOOKUP(Table1[[#This Row],[date]],Table8[date],Table8[id_date])</f>
        <v>TGL0719</v>
      </c>
      <c r="C414" s="1">
        <v>45570</v>
      </c>
      <c r="D414" s="1" t="str">
        <f>_xlfn.XLOOKUP(Table1[[#This Row],[customer_name]],Table11[customer_name],Table11[id_cust])</f>
        <v>CNA0513</v>
      </c>
      <c r="E414" t="s">
        <v>1187</v>
      </c>
      <c r="F414">
        <v>52</v>
      </c>
      <c r="G414" t="str">
        <f>_xlfn.XLOOKUP(Table1[[#This Row],[branch_name]],Table3[branch_name],Table3[id_branch])</f>
        <v>BRCH005</v>
      </c>
      <c r="H414" t="s">
        <v>1217</v>
      </c>
      <c r="I414" t="str">
        <f>_xlfn.XLOOKUP(Table1[[#This Row],[city]],Table4[city],Table4[id_city])</f>
        <v>KOA0106</v>
      </c>
      <c r="J414" t="s">
        <v>1222</v>
      </c>
      <c r="K414" t="str">
        <f>_xlfn.XLOOKUP(Table1[[#This Row],[menu_name]],Table5[menu_name],Table5[id_menu])</f>
        <v>MENU004</v>
      </c>
      <c r="L414" t="s">
        <v>1226</v>
      </c>
      <c r="M414" t="str">
        <f>_xlfn.XLOOKUP(Table1[[#This Row],[category]],Table6[category],Table6[id_category])</f>
        <v>KTG0207</v>
      </c>
      <c r="N414" t="s">
        <v>1235</v>
      </c>
      <c r="O414">
        <v>1</v>
      </c>
      <c r="P414">
        <v>28000</v>
      </c>
      <c r="Q414">
        <v>0</v>
      </c>
      <c r="R414">
        <v>3</v>
      </c>
      <c r="S414" t="str">
        <f>_xlfn.XLOOKUP(Table1[[#This Row],[method]],Table7[method],Table7[id_method])</f>
        <v>PAY0709</v>
      </c>
      <c r="T414" t="s">
        <v>1236</v>
      </c>
      <c r="U414">
        <v>28000</v>
      </c>
    </row>
    <row r="415" spans="1:21" x14ac:dyDescent="0.25">
      <c r="A415" t="s">
        <v>427</v>
      </c>
      <c r="B415" t="str">
        <f>_xlfn.XLOOKUP(Table1[[#This Row],[date]],Table8[date],Table8[id_date])</f>
        <v>TGL0720</v>
      </c>
      <c r="C415" s="1">
        <v>45571</v>
      </c>
      <c r="D415" s="1" t="str">
        <f>_xlfn.XLOOKUP(Table1[[#This Row],[customer_name]],Table11[customer_name],Table11[id_cust])</f>
        <v>CNA0278</v>
      </c>
      <c r="E415" t="s">
        <v>1139</v>
      </c>
      <c r="F415">
        <v>32</v>
      </c>
      <c r="G415" t="str">
        <f>_xlfn.XLOOKUP(Table1[[#This Row],[branch_name]],Table3[branch_name],Table3[id_branch])</f>
        <v>BRCH002</v>
      </c>
      <c r="H415" t="s">
        <v>1214</v>
      </c>
      <c r="I415" t="str">
        <f>_xlfn.XLOOKUP(Table1[[#This Row],[city]],Table4[city],Table4[id_city])</f>
        <v>KOA0103</v>
      </c>
      <c r="J415" t="s">
        <v>1219</v>
      </c>
      <c r="K415" t="str">
        <f>_xlfn.XLOOKUP(Table1[[#This Row],[menu_name]],Table5[menu_name],Table5[id_menu])</f>
        <v>MENU001</v>
      </c>
      <c r="L415" t="s">
        <v>1223</v>
      </c>
      <c r="M415" t="str">
        <f>_xlfn.XLOOKUP(Table1[[#This Row],[category]],Table6[category],Table6[id_category])</f>
        <v>KTG0205</v>
      </c>
      <c r="N415" t="s">
        <v>1233</v>
      </c>
      <c r="O415">
        <v>3</v>
      </c>
      <c r="P415">
        <v>25000</v>
      </c>
      <c r="Q415">
        <v>5</v>
      </c>
      <c r="R415">
        <v>2.2999999999999998</v>
      </c>
      <c r="S415" t="str">
        <f>_xlfn.XLOOKUP(Table1[[#This Row],[method]],Table7[method],Table7[id_method])</f>
        <v>PAY0709</v>
      </c>
      <c r="T415" t="s">
        <v>1236</v>
      </c>
      <c r="U415">
        <v>71250</v>
      </c>
    </row>
    <row r="416" spans="1:21" x14ac:dyDescent="0.25">
      <c r="A416" t="s">
        <v>428</v>
      </c>
      <c r="B416" t="str">
        <f>_xlfn.XLOOKUP(Table1[[#This Row],[date]],Table8[date],Table8[id_date])</f>
        <v>TGL0721</v>
      </c>
      <c r="C416" s="1">
        <v>45572</v>
      </c>
      <c r="D416" s="1" t="str">
        <f>_xlfn.XLOOKUP(Table1[[#This Row],[customer_name]],Table11[customer_name],Table11[id_cust])</f>
        <v>CNA0222</v>
      </c>
      <c r="E416" t="s">
        <v>1109</v>
      </c>
      <c r="F416">
        <v>34</v>
      </c>
      <c r="G416" t="str">
        <f>_xlfn.XLOOKUP(Table1[[#This Row],[branch_name]],Table3[branch_name],Table3[id_branch])</f>
        <v>BRCH003</v>
      </c>
      <c r="H416" t="s">
        <v>1215</v>
      </c>
      <c r="I416" t="str">
        <f>_xlfn.XLOOKUP(Table1[[#This Row],[city]],Table4[city],Table4[id_city])</f>
        <v>KOA0104</v>
      </c>
      <c r="J416" t="s">
        <v>1220</v>
      </c>
      <c r="K416" t="str">
        <f>_xlfn.XLOOKUP(Table1[[#This Row],[menu_name]],Table5[menu_name],Table5[id_menu])</f>
        <v>MENU004</v>
      </c>
      <c r="L416" t="s">
        <v>1226</v>
      </c>
      <c r="M416" t="str">
        <f>_xlfn.XLOOKUP(Table1[[#This Row],[category]],Table6[category],Table6[id_category])</f>
        <v>KTG0207</v>
      </c>
      <c r="N416" t="s">
        <v>1235</v>
      </c>
      <c r="O416">
        <v>4</v>
      </c>
      <c r="P416">
        <v>28000</v>
      </c>
      <c r="Q416">
        <v>0</v>
      </c>
      <c r="R416">
        <v>2.1</v>
      </c>
      <c r="S416" t="str">
        <f>_xlfn.XLOOKUP(Table1[[#This Row],[method]],Table7[method],Table7[id_method])</f>
        <v>PAY0712</v>
      </c>
      <c r="T416" t="s">
        <v>1239</v>
      </c>
      <c r="U416">
        <v>112000</v>
      </c>
    </row>
    <row r="417" spans="1:21" x14ac:dyDescent="0.25">
      <c r="A417" t="s">
        <v>429</v>
      </c>
      <c r="B417" t="str">
        <f>_xlfn.XLOOKUP(Table1[[#This Row],[date]],Table8[date],Table8[id_date])</f>
        <v>TGL0722</v>
      </c>
      <c r="C417" s="1">
        <v>45573</v>
      </c>
      <c r="D417" s="1" t="str">
        <f>_xlfn.XLOOKUP(Table1[[#This Row],[customer_name]],Table11[customer_name],Table11[id_cust])</f>
        <v>CNA0233</v>
      </c>
      <c r="E417" t="s">
        <v>1117</v>
      </c>
      <c r="F417">
        <v>18</v>
      </c>
      <c r="G417" t="str">
        <f>_xlfn.XLOOKUP(Table1[[#This Row],[branch_name]],Table3[branch_name],Table3[id_branch])</f>
        <v>BRCH005</v>
      </c>
      <c r="H417" t="s">
        <v>1217</v>
      </c>
      <c r="I417" t="str">
        <f>_xlfn.XLOOKUP(Table1[[#This Row],[city]],Table4[city],Table4[id_city])</f>
        <v>KOA0106</v>
      </c>
      <c r="J417" t="s">
        <v>1222</v>
      </c>
      <c r="K417" t="str">
        <f>_xlfn.XLOOKUP(Table1[[#This Row],[menu_name]],Table5[menu_name],Table5[id_menu])</f>
        <v>MENU001</v>
      </c>
      <c r="L417" t="s">
        <v>1223</v>
      </c>
      <c r="M417" t="str">
        <f>_xlfn.XLOOKUP(Table1[[#This Row],[category]],Table6[category],Table6[id_category])</f>
        <v>KTG0205</v>
      </c>
      <c r="N417" t="s">
        <v>1233</v>
      </c>
      <c r="O417">
        <v>5</v>
      </c>
      <c r="P417">
        <v>25000</v>
      </c>
      <c r="Q417">
        <v>20</v>
      </c>
      <c r="R417">
        <v>2.9</v>
      </c>
      <c r="S417" t="str">
        <f>_xlfn.XLOOKUP(Table1[[#This Row],[method]],Table7[method],Table7[id_method])</f>
        <v>PAY0711</v>
      </c>
      <c r="T417" t="s">
        <v>1238</v>
      </c>
      <c r="U417">
        <v>100000</v>
      </c>
    </row>
    <row r="418" spans="1:21" x14ac:dyDescent="0.25">
      <c r="A418" t="s">
        <v>430</v>
      </c>
      <c r="B418" t="str">
        <f>_xlfn.XLOOKUP(Table1[[#This Row],[date]],Table8[date],Table8[id_date])</f>
        <v>TGL0722</v>
      </c>
      <c r="C418" s="1">
        <v>45573</v>
      </c>
      <c r="D418" s="1" t="str">
        <f>_xlfn.XLOOKUP(Table1[[#This Row],[customer_name]],Table11[customer_name],Table11[id_cust])</f>
        <v>CNA0107</v>
      </c>
      <c r="E418" t="s">
        <v>1020</v>
      </c>
      <c r="F418">
        <v>19</v>
      </c>
      <c r="G418" t="str">
        <f>_xlfn.XLOOKUP(Table1[[#This Row],[branch_name]],Table3[branch_name],Table3[id_branch])</f>
        <v>BRCH005</v>
      </c>
      <c r="H418" t="s">
        <v>1217</v>
      </c>
      <c r="I418" t="str">
        <f>_xlfn.XLOOKUP(Table1[[#This Row],[city]],Table4[city],Table4[id_city])</f>
        <v>KOA0106</v>
      </c>
      <c r="J418" t="s">
        <v>1222</v>
      </c>
      <c r="K418" t="str">
        <f>_xlfn.XLOOKUP(Table1[[#This Row],[menu_name]],Table5[menu_name],Table5[id_menu])</f>
        <v>MENU010</v>
      </c>
      <c r="L418" t="s">
        <v>1232</v>
      </c>
      <c r="M418" t="str">
        <f>_xlfn.XLOOKUP(Table1[[#This Row],[category]],Table6[category],Table6[id_category])</f>
        <v>KTG0205</v>
      </c>
      <c r="N418" t="s">
        <v>1233</v>
      </c>
      <c r="O418">
        <v>5</v>
      </c>
      <c r="P418">
        <v>18000</v>
      </c>
      <c r="Q418">
        <v>0</v>
      </c>
      <c r="R418">
        <v>5</v>
      </c>
      <c r="S418" t="str">
        <f>_xlfn.XLOOKUP(Table1[[#This Row],[method]],Table7[method],Table7[id_method])</f>
        <v>PAY0712</v>
      </c>
      <c r="T418" t="s">
        <v>1239</v>
      </c>
      <c r="U418">
        <v>90000</v>
      </c>
    </row>
    <row r="419" spans="1:21" x14ac:dyDescent="0.25">
      <c r="A419" t="s">
        <v>431</v>
      </c>
      <c r="B419" t="str">
        <f>_xlfn.XLOOKUP(Table1[[#This Row],[date]],Table8[date],Table8[id_date])</f>
        <v>TGL0723</v>
      </c>
      <c r="C419" s="1">
        <v>45574</v>
      </c>
      <c r="D419" s="1" t="str">
        <f>_xlfn.XLOOKUP(Table1[[#This Row],[customer_name]],Table11[customer_name],Table11[id_cust])</f>
        <v>CNA0513</v>
      </c>
      <c r="E419" t="s">
        <v>1187</v>
      </c>
      <c r="F419">
        <v>52</v>
      </c>
      <c r="G419" t="str">
        <f>_xlfn.XLOOKUP(Table1[[#This Row],[branch_name]],Table3[branch_name],Table3[id_branch])</f>
        <v>BRCH005</v>
      </c>
      <c r="H419" t="s">
        <v>1217</v>
      </c>
      <c r="I419" t="str">
        <f>_xlfn.XLOOKUP(Table1[[#This Row],[city]],Table4[city],Table4[id_city])</f>
        <v>KOA0106</v>
      </c>
      <c r="J419" t="s">
        <v>1222</v>
      </c>
      <c r="K419" t="str">
        <f>_xlfn.XLOOKUP(Table1[[#This Row],[menu_name]],Table5[menu_name],Table5[id_menu])</f>
        <v>MENU009</v>
      </c>
      <c r="L419" t="s">
        <v>1231</v>
      </c>
      <c r="M419" t="str">
        <f>_xlfn.XLOOKUP(Table1[[#This Row],[category]],Table6[category],Table6[id_category])</f>
        <v>KTG0206</v>
      </c>
      <c r="N419" t="s">
        <v>1234</v>
      </c>
      <c r="O419">
        <v>1</v>
      </c>
      <c r="P419">
        <v>18000</v>
      </c>
      <c r="Q419">
        <v>0</v>
      </c>
      <c r="R419">
        <v>2.2999999999999998</v>
      </c>
      <c r="S419" t="str">
        <f>_xlfn.XLOOKUP(Table1[[#This Row],[method]],Table7[method],Table7[id_method])</f>
        <v>PAY0709</v>
      </c>
      <c r="T419" t="s">
        <v>1236</v>
      </c>
      <c r="U419">
        <v>18000</v>
      </c>
    </row>
    <row r="420" spans="1:21" x14ac:dyDescent="0.25">
      <c r="A420" t="s">
        <v>432</v>
      </c>
      <c r="B420" t="str">
        <f>_xlfn.XLOOKUP(Table1[[#This Row],[date]],Table8[date],Table8[id_date])</f>
        <v>TGL0723</v>
      </c>
      <c r="C420" s="1">
        <v>45574</v>
      </c>
      <c r="D420" s="1" t="str">
        <f>_xlfn.XLOOKUP(Table1[[#This Row],[customer_name]],Table11[customer_name],Table11[id_cust])</f>
        <v>CNA0119</v>
      </c>
      <c r="E420" t="s">
        <v>1032</v>
      </c>
      <c r="F420">
        <v>35</v>
      </c>
      <c r="G420" t="str">
        <f>_xlfn.XLOOKUP(Table1[[#This Row],[branch_name]],Table3[branch_name],Table3[id_branch])</f>
        <v>BRCH004</v>
      </c>
      <c r="H420" t="s">
        <v>1216</v>
      </c>
      <c r="I420" t="str">
        <f>_xlfn.XLOOKUP(Table1[[#This Row],[city]],Table4[city],Table4[id_city])</f>
        <v>KOA0105</v>
      </c>
      <c r="J420" t="s">
        <v>1221</v>
      </c>
      <c r="K420" t="str">
        <f>_xlfn.XLOOKUP(Table1[[#This Row],[menu_name]],Table5[menu_name],Table5[id_menu])</f>
        <v>MENU005</v>
      </c>
      <c r="L420" t="s">
        <v>1227</v>
      </c>
      <c r="M420" t="str">
        <f>_xlfn.XLOOKUP(Table1[[#This Row],[category]],Table6[category],Table6[id_category])</f>
        <v>KTG0206</v>
      </c>
      <c r="N420" t="s">
        <v>1234</v>
      </c>
      <c r="O420">
        <v>3</v>
      </c>
      <c r="P420">
        <v>23000</v>
      </c>
      <c r="Q420">
        <v>0</v>
      </c>
      <c r="R420">
        <v>1.2</v>
      </c>
      <c r="S420" t="str">
        <f>_xlfn.XLOOKUP(Table1[[#This Row],[method]],Table7[method],Table7[id_method])</f>
        <v>PAY0709</v>
      </c>
      <c r="T420" t="s">
        <v>1236</v>
      </c>
      <c r="U420">
        <v>69000</v>
      </c>
    </row>
    <row r="421" spans="1:21" x14ac:dyDescent="0.25">
      <c r="A421" t="s">
        <v>433</v>
      </c>
      <c r="B421" t="str">
        <f>_xlfn.XLOOKUP(Table1[[#This Row],[date]],Table8[date],Table8[id_date])</f>
        <v>TGL0724</v>
      </c>
      <c r="C421" s="1">
        <v>45575</v>
      </c>
      <c r="D421" s="1" t="str">
        <f>_xlfn.XLOOKUP(Table1[[#This Row],[customer_name]],Table11[customer_name],Table11[id_cust])</f>
        <v>CNA0188</v>
      </c>
      <c r="E421" t="s">
        <v>1090</v>
      </c>
      <c r="F421">
        <v>19</v>
      </c>
      <c r="G421" t="str">
        <f>_xlfn.XLOOKUP(Table1[[#This Row],[branch_name]],Table3[branch_name],Table3[id_branch])</f>
        <v>BRCH002</v>
      </c>
      <c r="H421" t="s">
        <v>1214</v>
      </c>
      <c r="I421" t="str">
        <f>_xlfn.XLOOKUP(Table1[[#This Row],[city]],Table4[city],Table4[id_city])</f>
        <v>KOA0103</v>
      </c>
      <c r="J421" t="s">
        <v>1219</v>
      </c>
      <c r="K421" t="str">
        <f>_xlfn.XLOOKUP(Table1[[#This Row],[menu_name]],Table5[menu_name],Table5[id_menu])</f>
        <v>MENU008</v>
      </c>
      <c r="L421" t="s">
        <v>1230</v>
      </c>
      <c r="M421" t="str">
        <f>_xlfn.XLOOKUP(Table1[[#This Row],[category]],Table6[category],Table6[id_category])</f>
        <v>KTG0205</v>
      </c>
      <c r="N421" t="s">
        <v>1233</v>
      </c>
      <c r="O421">
        <v>5</v>
      </c>
      <c r="P421">
        <v>20000</v>
      </c>
      <c r="Q421">
        <v>5</v>
      </c>
      <c r="R421">
        <v>2.1</v>
      </c>
      <c r="S421" t="str">
        <f>_xlfn.XLOOKUP(Table1[[#This Row],[method]],Table7[method],Table7[id_method])</f>
        <v>PAY0710</v>
      </c>
      <c r="T421" t="s">
        <v>1237</v>
      </c>
      <c r="U421">
        <v>95000</v>
      </c>
    </row>
    <row r="422" spans="1:21" x14ac:dyDescent="0.25">
      <c r="A422" t="s">
        <v>434</v>
      </c>
      <c r="B422" t="str">
        <f>_xlfn.XLOOKUP(Table1[[#This Row],[date]],Table8[date],Table8[id_date])</f>
        <v>TGL0725</v>
      </c>
      <c r="C422" s="1">
        <v>45576</v>
      </c>
      <c r="D422" s="1" t="str">
        <f>_xlfn.XLOOKUP(Table1[[#This Row],[customer_name]],Table11[customer_name],Table11[id_cust])</f>
        <v>CNA0280</v>
      </c>
      <c r="E422" t="s">
        <v>1140</v>
      </c>
      <c r="F422">
        <v>25</v>
      </c>
      <c r="G422" t="str">
        <f>_xlfn.XLOOKUP(Table1[[#This Row],[branch_name]],Table3[branch_name],Table3[id_branch])</f>
        <v>BRCH003</v>
      </c>
      <c r="H422" t="s">
        <v>1215</v>
      </c>
      <c r="I422" t="str">
        <f>_xlfn.XLOOKUP(Table1[[#This Row],[city]],Table4[city],Table4[id_city])</f>
        <v>KOA0104</v>
      </c>
      <c r="J422" t="s">
        <v>1220</v>
      </c>
      <c r="K422" t="str">
        <f>_xlfn.XLOOKUP(Table1[[#This Row],[menu_name]],Table5[menu_name],Table5[id_menu])</f>
        <v>MENU008</v>
      </c>
      <c r="L422" t="s">
        <v>1230</v>
      </c>
      <c r="M422" t="str">
        <f>_xlfn.XLOOKUP(Table1[[#This Row],[category]],Table6[category],Table6[id_category])</f>
        <v>KTG0205</v>
      </c>
      <c r="N422" t="s">
        <v>1233</v>
      </c>
      <c r="O422">
        <v>4</v>
      </c>
      <c r="P422">
        <v>20000</v>
      </c>
      <c r="Q422">
        <v>10</v>
      </c>
      <c r="R422">
        <v>3.3</v>
      </c>
      <c r="S422" t="str">
        <f>_xlfn.XLOOKUP(Table1[[#This Row],[method]],Table7[method],Table7[id_method])</f>
        <v>PAY0711</v>
      </c>
      <c r="T422" t="s">
        <v>1238</v>
      </c>
      <c r="U422">
        <v>72000</v>
      </c>
    </row>
    <row r="423" spans="1:21" x14ac:dyDescent="0.25">
      <c r="A423" t="s">
        <v>435</v>
      </c>
      <c r="B423" t="str">
        <f>_xlfn.XLOOKUP(Table1[[#This Row],[date]],Table8[date],Table8[id_date])</f>
        <v>TGL0725</v>
      </c>
      <c r="C423" s="1">
        <v>45576</v>
      </c>
      <c r="D423" s="1" t="str">
        <f>_xlfn.XLOOKUP(Table1[[#This Row],[customer_name]],Table11[customer_name],Table11[id_cust])</f>
        <v>CNA0139</v>
      </c>
      <c r="E423" t="s">
        <v>1050</v>
      </c>
      <c r="F423">
        <v>51</v>
      </c>
      <c r="G423" t="str">
        <f>_xlfn.XLOOKUP(Table1[[#This Row],[branch_name]],Table3[branch_name],Table3[id_branch])</f>
        <v>BRCH005</v>
      </c>
      <c r="H423" t="s">
        <v>1217</v>
      </c>
      <c r="I423" t="str">
        <f>_xlfn.XLOOKUP(Table1[[#This Row],[city]],Table4[city],Table4[id_city])</f>
        <v>KOA0106</v>
      </c>
      <c r="J423" t="s">
        <v>1222</v>
      </c>
      <c r="K423" t="str">
        <f>_xlfn.XLOOKUP(Table1[[#This Row],[menu_name]],Table5[menu_name],Table5[id_menu])</f>
        <v>MENU005</v>
      </c>
      <c r="L423" t="s">
        <v>1227</v>
      </c>
      <c r="M423" t="str">
        <f>_xlfn.XLOOKUP(Table1[[#This Row],[category]],Table6[category],Table6[id_category])</f>
        <v>KTG0206</v>
      </c>
      <c r="N423" t="s">
        <v>1234</v>
      </c>
      <c r="O423">
        <v>1</v>
      </c>
      <c r="P423">
        <v>23000</v>
      </c>
      <c r="Q423">
        <v>0</v>
      </c>
      <c r="R423">
        <v>4.7</v>
      </c>
      <c r="S423" t="str">
        <f>_xlfn.XLOOKUP(Table1[[#This Row],[method]],Table7[method],Table7[id_method])</f>
        <v>PAY0711</v>
      </c>
      <c r="T423" t="s">
        <v>1238</v>
      </c>
      <c r="U423">
        <v>23000</v>
      </c>
    </row>
    <row r="424" spans="1:21" x14ac:dyDescent="0.25">
      <c r="A424" t="s">
        <v>436</v>
      </c>
      <c r="B424" t="str">
        <f>_xlfn.XLOOKUP(Table1[[#This Row],[date]],Table8[date],Table8[id_date])</f>
        <v>TGL0725</v>
      </c>
      <c r="C424" s="1">
        <v>45576</v>
      </c>
      <c r="D424" s="1" t="str">
        <f>_xlfn.XLOOKUP(Table1[[#This Row],[customer_name]],Table11[customer_name],Table11[id_cust])</f>
        <v>CNA0202</v>
      </c>
      <c r="E424" t="s">
        <v>1097</v>
      </c>
      <c r="F424">
        <v>53</v>
      </c>
      <c r="G424" t="str">
        <f>_xlfn.XLOOKUP(Table1[[#This Row],[branch_name]],Table3[branch_name],Table3[id_branch])</f>
        <v>BRCH003</v>
      </c>
      <c r="H424" t="s">
        <v>1215</v>
      </c>
      <c r="I424" t="str">
        <f>_xlfn.XLOOKUP(Table1[[#This Row],[city]],Table4[city],Table4[id_city])</f>
        <v>KOA0104</v>
      </c>
      <c r="J424" t="s">
        <v>1220</v>
      </c>
      <c r="K424" t="str">
        <f>_xlfn.XLOOKUP(Table1[[#This Row],[menu_name]],Table5[menu_name],Table5[id_menu])</f>
        <v>MENU003</v>
      </c>
      <c r="L424" t="s">
        <v>1225</v>
      </c>
      <c r="M424" t="str">
        <f>_xlfn.XLOOKUP(Table1[[#This Row],[category]],Table6[category],Table6[id_category])</f>
        <v>KTG0205</v>
      </c>
      <c r="N424" t="s">
        <v>1233</v>
      </c>
      <c r="O424">
        <v>5</v>
      </c>
      <c r="P424">
        <v>22000</v>
      </c>
      <c r="Q424">
        <v>5</v>
      </c>
      <c r="R424">
        <v>3.5</v>
      </c>
      <c r="S424" t="str">
        <f>_xlfn.XLOOKUP(Table1[[#This Row],[method]],Table7[method],Table7[id_method])</f>
        <v>PAY0710</v>
      </c>
      <c r="T424" t="s">
        <v>1237</v>
      </c>
      <c r="U424">
        <v>104500</v>
      </c>
    </row>
    <row r="425" spans="1:21" x14ac:dyDescent="0.25">
      <c r="A425" t="s">
        <v>437</v>
      </c>
      <c r="B425" t="str">
        <f>_xlfn.XLOOKUP(Table1[[#This Row],[date]],Table8[date],Table8[id_date])</f>
        <v>TGL0725</v>
      </c>
      <c r="C425" s="1">
        <v>45576</v>
      </c>
      <c r="D425" s="1" t="str">
        <f>_xlfn.XLOOKUP(Table1[[#This Row],[customer_name]],Table11[customer_name],Table11[id_cust])</f>
        <v>CNA0191</v>
      </c>
      <c r="E425" t="s">
        <v>1091</v>
      </c>
      <c r="F425">
        <v>41</v>
      </c>
      <c r="G425" t="str">
        <f>_xlfn.XLOOKUP(Table1[[#This Row],[branch_name]],Table3[branch_name],Table3[id_branch])</f>
        <v>BRCH002</v>
      </c>
      <c r="H425" t="s">
        <v>1214</v>
      </c>
      <c r="I425" t="str">
        <f>_xlfn.XLOOKUP(Table1[[#This Row],[city]],Table4[city],Table4[id_city])</f>
        <v>KOA0103</v>
      </c>
      <c r="J425" t="s">
        <v>1219</v>
      </c>
      <c r="K425" t="str">
        <f>_xlfn.XLOOKUP(Table1[[#This Row],[menu_name]],Table5[menu_name],Table5[id_menu])</f>
        <v>MENU009</v>
      </c>
      <c r="L425" t="s">
        <v>1231</v>
      </c>
      <c r="M425" t="str">
        <f>_xlfn.XLOOKUP(Table1[[#This Row],[category]],Table6[category],Table6[id_category])</f>
        <v>KTG0206</v>
      </c>
      <c r="N425" t="s">
        <v>1234</v>
      </c>
      <c r="O425">
        <v>2</v>
      </c>
      <c r="P425">
        <v>18000</v>
      </c>
      <c r="Q425">
        <v>5</v>
      </c>
      <c r="R425">
        <v>2.2000000000000002</v>
      </c>
      <c r="S425" t="str">
        <f>_xlfn.XLOOKUP(Table1[[#This Row],[method]],Table7[method],Table7[id_method])</f>
        <v>PAY0712</v>
      </c>
      <c r="T425" t="s">
        <v>1239</v>
      </c>
      <c r="U425">
        <v>34200</v>
      </c>
    </row>
    <row r="426" spans="1:21" x14ac:dyDescent="0.25">
      <c r="A426" t="s">
        <v>438</v>
      </c>
      <c r="B426" t="str">
        <f>_xlfn.XLOOKUP(Table1[[#This Row],[date]],Table8[date],Table8[id_date])</f>
        <v>TGL0726</v>
      </c>
      <c r="C426" s="1">
        <v>45577</v>
      </c>
      <c r="D426" s="1" t="str">
        <f>_xlfn.XLOOKUP(Table1[[#This Row],[customer_name]],Table11[customer_name],Table11[id_cust])</f>
        <v>CNA0103</v>
      </c>
      <c r="E426" t="s">
        <v>1016</v>
      </c>
      <c r="F426">
        <v>44</v>
      </c>
      <c r="G426" t="str">
        <f>_xlfn.XLOOKUP(Table1[[#This Row],[branch_name]],Table3[branch_name],Table3[id_branch])</f>
        <v>BRCH002</v>
      </c>
      <c r="H426" t="s">
        <v>1214</v>
      </c>
      <c r="I426" t="str">
        <f>_xlfn.XLOOKUP(Table1[[#This Row],[city]],Table4[city],Table4[id_city])</f>
        <v>KOA0103</v>
      </c>
      <c r="J426" t="s">
        <v>1219</v>
      </c>
      <c r="K426" t="str">
        <f>_xlfn.XLOOKUP(Table1[[#This Row],[menu_name]],Table5[menu_name],Table5[id_menu])</f>
        <v>MENU007</v>
      </c>
      <c r="L426" t="s">
        <v>1229</v>
      </c>
      <c r="M426" t="str">
        <f>_xlfn.XLOOKUP(Table1[[#This Row],[category]],Table6[category],Table6[id_category])</f>
        <v>KTG0207</v>
      </c>
      <c r="N426" t="s">
        <v>1235</v>
      </c>
      <c r="O426">
        <v>4</v>
      </c>
      <c r="P426">
        <v>27000</v>
      </c>
      <c r="Q426">
        <v>0</v>
      </c>
      <c r="R426">
        <v>4.4000000000000004</v>
      </c>
      <c r="S426" t="str">
        <f>_xlfn.XLOOKUP(Table1[[#This Row],[method]],Table7[method],Table7[id_method])</f>
        <v>PAY0709</v>
      </c>
      <c r="T426" t="s">
        <v>1236</v>
      </c>
      <c r="U426">
        <v>108000</v>
      </c>
    </row>
    <row r="427" spans="1:21" x14ac:dyDescent="0.25">
      <c r="A427" t="s">
        <v>439</v>
      </c>
      <c r="B427" t="str">
        <f>_xlfn.XLOOKUP(Table1[[#This Row],[date]],Table8[date],Table8[id_date])</f>
        <v>TGL0727</v>
      </c>
      <c r="C427" s="1">
        <v>45579</v>
      </c>
      <c r="D427" s="1" t="str">
        <f>_xlfn.XLOOKUP(Table1[[#This Row],[customer_name]],Table11[customer_name],Table11[id_cust])</f>
        <v>CNA0149</v>
      </c>
      <c r="E427" t="s">
        <v>1058</v>
      </c>
      <c r="F427">
        <v>33</v>
      </c>
      <c r="G427" t="str">
        <f>_xlfn.XLOOKUP(Table1[[#This Row],[branch_name]],Table3[branch_name],Table3[id_branch])</f>
        <v>BRCH004</v>
      </c>
      <c r="H427" t="s">
        <v>1216</v>
      </c>
      <c r="I427" t="str">
        <f>_xlfn.XLOOKUP(Table1[[#This Row],[city]],Table4[city],Table4[id_city])</f>
        <v>KOA0105</v>
      </c>
      <c r="J427" t="s">
        <v>1221</v>
      </c>
      <c r="K427" t="str">
        <f>_xlfn.XLOOKUP(Table1[[#This Row],[menu_name]],Table5[menu_name],Table5[id_menu])</f>
        <v>MENU008</v>
      </c>
      <c r="L427" t="s">
        <v>1230</v>
      </c>
      <c r="M427" t="str">
        <f>_xlfn.XLOOKUP(Table1[[#This Row],[category]],Table6[category],Table6[id_category])</f>
        <v>KTG0205</v>
      </c>
      <c r="N427" t="s">
        <v>1233</v>
      </c>
      <c r="O427">
        <v>5</v>
      </c>
      <c r="P427">
        <v>20000</v>
      </c>
      <c r="Q427">
        <v>5</v>
      </c>
      <c r="R427">
        <v>4.9000000000000004</v>
      </c>
      <c r="S427" t="str">
        <f>_xlfn.XLOOKUP(Table1[[#This Row],[method]],Table7[method],Table7[id_method])</f>
        <v>PAY0710</v>
      </c>
      <c r="T427" t="s">
        <v>1237</v>
      </c>
      <c r="U427">
        <v>95000</v>
      </c>
    </row>
    <row r="428" spans="1:21" x14ac:dyDescent="0.25">
      <c r="A428" t="s">
        <v>440</v>
      </c>
      <c r="B428" t="str">
        <f>_xlfn.XLOOKUP(Table1[[#This Row],[date]],Table8[date],Table8[id_date])</f>
        <v>TGL0727</v>
      </c>
      <c r="C428" s="1">
        <v>45579</v>
      </c>
      <c r="D428" s="1" t="str">
        <f>_xlfn.XLOOKUP(Table1[[#This Row],[customer_name]],Table11[customer_name],Table11[id_cust])</f>
        <v>CNA0497</v>
      </c>
      <c r="E428" t="s">
        <v>1184</v>
      </c>
      <c r="F428">
        <v>25</v>
      </c>
      <c r="G428" t="str">
        <f>_xlfn.XLOOKUP(Table1[[#This Row],[branch_name]],Table3[branch_name],Table3[id_branch])</f>
        <v>BRCH003</v>
      </c>
      <c r="H428" t="s">
        <v>1215</v>
      </c>
      <c r="I428" t="str">
        <f>_xlfn.XLOOKUP(Table1[[#This Row],[city]],Table4[city],Table4[id_city])</f>
        <v>KOA0104</v>
      </c>
      <c r="J428" t="s">
        <v>1220</v>
      </c>
      <c r="K428" t="str">
        <f>_xlfn.XLOOKUP(Table1[[#This Row],[menu_name]],Table5[menu_name],Table5[id_menu])</f>
        <v>MENU009</v>
      </c>
      <c r="L428" t="s">
        <v>1231</v>
      </c>
      <c r="M428" t="str">
        <f>_xlfn.XLOOKUP(Table1[[#This Row],[category]],Table6[category],Table6[id_category])</f>
        <v>KTG0206</v>
      </c>
      <c r="N428" t="s">
        <v>1234</v>
      </c>
      <c r="O428">
        <v>1</v>
      </c>
      <c r="P428">
        <v>18000</v>
      </c>
      <c r="Q428">
        <v>20</v>
      </c>
      <c r="R428">
        <v>5</v>
      </c>
      <c r="S428" t="str">
        <f>_xlfn.XLOOKUP(Table1[[#This Row],[method]],Table7[method],Table7[id_method])</f>
        <v>PAY0709</v>
      </c>
      <c r="T428" t="s">
        <v>1236</v>
      </c>
      <c r="U428">
        <v>14400</v>
      </c>
    </row>
    <row r="429" spans="1:21" x14ac:dyDescent="0.25">
      <c r="A429" t="s">
        <v>441</v>
      </c>
      <c r="B429" t="str">
        <f>_xlfn.XLOOKUP(Table1[[#This Row],[date]],Table8[date],Table8[id_date])</f>
        <v>TGL0728</v>
      </c>
      <c r="C429" s="1">
        <v>45580</v>
      </c>
      <c r="D429" s="1" t="str">
        <f>_xlfn.XLOOKUP(Table1[[#This Row],[customer_name]],Table11[customer_name],Table11[id_cust])</f>
        <v>CNA0129</v>
      </c>
      <c r="E429" t="s">
        <v>1041</v>
      </c>
      <c r="F429">
        <v>49</v>
      </c>
      <c r="G429" t="str">
        <f>_xlfn.XLOOKUP(Table1[[#This Row],[branch_name]],Table3[branch_name],Table3[id_branch])</f>
        <v>BRCH002</v>
      </c>
      <c r="H429" t="s">
        <v>1214</v>
      </c>
      <c r="I429" t="str">
        <f>_xlfn.XLOOKUP(Table1[[#This Row],[city]],Table4[city],Table4[id_city])</f>
        <v>KOA0103</v>
      </c>
      <c r="J429" t="s">
        <v>1219</v>
      </c>
      <c r="K429" t="str">
        <f>_xlfn.XLOOKUP(Table1[[#This Row],[menu_name]],Table5[menu_name],Table5[id_menu])</f>
        <v>MENU001</v>
      </c>
      <c r="L429" t="s">
        <v>1223</v>
      </c>
      <c r="M429" t="str">
        <f>_xlfn.XLOOKUP(Table1[[#This Row],[category]],Table6[category],Table6[id_category])</f>
        <v>KTG0205</v>
      </c>
      <c r="N429" t="s">
        <v>1233</v>
      </c>
      <c r="O429">
        <v>3</v>
      </c>
      <c r="P429">
        <v>25000</v>
      </c>
      <c r="Q429">
        <v>15</v>
      </c>
      <c r="R429">
        <v>1</v>
      </c>
      <c r="S429" t="str">
        <f>_xlfn.XLOOKUP(Table1[[#This Row],[method]],Table7[method],Table7[id_method])</f>
        <v>PAY0711</v>
      </c>
      <c r="T429" t="s">
        <v>1238</v>
      </c>
      <c r="U429">
        <v>63750</v>
      </c>
    </row>
    <row r="430" spans="1:21" x14ac:dyDescent="0.25">
      <c r="A430" t="s">
        <v>442</v>
      </c>
      <c r="B430" t="str">
        <f>_xlfn.XLOOKUP(Table1[[#This Row],[date]],Table8[date],Table8[id_date])</f>
        <v>TGL0728</v>
      </c>
      <c r="C430" s="1">
        <v>45580</v>
      </c>
      <c r="D430" s="1" t="str">
        <f>_xlfn.XLOOKUP(Table1[[#This Row],[customer_name]],Table11[customer_name],Table11[id_cust])</f>
        <v>CNA0214</v>
      </c>
      <c r="E430" t="s">
        <v>1105</v>
      </c>
      <c r="F430">
        <v>18</v>
      </c>
      <c r="G430" t="str">
        <f>_xlfn.XLOOKUP(Table1[[#This Row],[branch_name]],Table3[branch_name],Table3[id_branch])</f>
        <v>BRCH001</v>
      </c>
      <c r="H430" t="s">
        <v>1213</v>
      </c>
      <c r="I430" t="str">
        <f>_xlfn.XLOOKUP(Table1[[#This Row],[city]],Table4[city],Table4[id_city])</f>
        <v>KOA0102</v>
      </c>
      <c r="J430" t="s">
        <v>1218</v>
      </c>
      <c r="K430" t="str">
        <f>_xlfn.XLOOKUP(Table1[[#This Row],[menu_name]],Table5[menu_name],Table5[id_menu])</f>
        <v>MENU009</v>
      </c>
      <c r="L430" t="s">
        <v>1231</v>
      </c>
      <c r="M430" t="str">
        <f>_xlfn.XLOOKUP(Table1[[#This Row],[category]],Table6[category],Table6[id_category])</f>
        <v>KTG0206</v>
      </c>
      <c r="N430" t="s">
        <v>1234</v>
      </c>
      <c r="O430">
        <v>4</v>
      </c>
      <c r="P430">
        <v>18000</v>
      </c>
      <c r="Q430">
        <v>0</v>
      </c>
      <c r="R430">
        <v>4.5999999999999996</v>
      </c>
      <c r="S430" t="str">
        <f>_xlfn.XLOOKUP(Table1[[#This Row],[method]],Table7[method],Table7[id_method])</f>
        <v>PAY0710</v>
      </c>
      <c r="T430" t="s">
        <v>1237</v>
      </c>
      <c r="U430">
        <v>72000</v>
      </c>
    </row>
    <row r="431" spans="1:21" x14ac:dyDescent="0.25">
      <c r="A431" t="s">
        <v>443</v>
      </c>
      <c r="B431" t="str">
        <f>_xlfn.XLOOKUP(Table1[[#This Row],[date]],Table8[date],Table8[id_date])</f>
        <v>TGL0728</v>
      </c>
      <c r="C431" s="1">
        <v>45580</v>
      </c>
      <c r="D431" s="1" t="str">
        <f>_xlfn.XLOOKUP(Table1[[#This Row],[customer_name]],Table11[customer_name],Table11[id_cust])</f>
        <v>CNA0122</v>
      </c>
      <c r="E431" t="s">
        <v>1035</v>
      </c>
      <c r="F431">
        <v>20</v>
      </c>
      <c r="G431" t="str">
        <f>_xlfn.XLOOKUP(Table1[[#This Row],[branch_name]],Table3[branch_name],Table3[id_branch])</f>
        <v>BRCH005</v>
      </c>
      <c r="H431" t="s">
        <v>1217</v>
      </c>
      <c r="I431" t="str">
        <f>_xlfn.XLOOKUP(Table1[[#This Row],[city]],Table4[city],Table4[id_city])</f>
        <v>KOA0106</v>
      </c>
      <c r="J431" t="s">
        <v>1222</v>
      </c>
      <c r="K431" t="str">
        <f>_xlfn.XLOOKUP(Table1[[#This Row],[menu_name]],Table5[menu_name],Table5[id_menu])</f>
        <v>MENU001</v>
      </c>
      <c r="L431" t="s">
        <v>1223</v>
      </c>
      <c r="M431" t="str">
        <f>_xlfn.XLOOKUP(Table1[[#This Row],[category]],Table6[category],Table6[id_category])</f>
        <v>KTG0205</v>
      </c>
      <c r="N431" t="s">
        <v>1233</v>
      </c>
      <c r="O431">
        <v>1</v>
      </c>
      <c r="P431">
        <v>25000</v>
      </c>
      <c r="Q431">
        <v>0</v>
      </c>
      <c r="R431">
        <v>5</v>
      </c>
      <c r="S431" t="str">
        <f>_xlfn.XLOOKUP(Table1[[#This Row],[method]],Table7[method],Table7[id_method])</f>
        <v>PAY0709</v>
      </c>
      <c r="T431" t="s">
        <v>1236</v>
      </c>
      <c r="U431">
        <v>25000</v>
      </c>
    </row>
    <row r="432" spans="1:21" x14ac:dyDescent="0.25">
      <c r="A432" t="s">
        <v>444</v>
      </c>
      <c r="B432" t="str">
        <f>_xlfn.XLOOKUP(Table1[[#This Row],[date]],Table8[date],Table8[id_date])</f>
        <v>TGL0728</v>
      </c>
      <c r="C432" s="1">
        <v>45580</v>
      </c>
      <c r="D432" s="1" t="str">
        <f>_xlfn.XLOOKUP(Table1[[#This Row],[customer_name]],Table11[customer_name],Table11[id_cust])</f>
        <v>CNA0531</v>
      </c>
      <c r="E432" t="s">
        <v>1188</v>
      </c>
      <c r="F432">
        <v>45</v>
      </c>
      <c r="G432" t="str">
        <f>_xlfn.XLOOKUP(Table1[[#This Row],[branch_name]],Table3[branch_name],Table3[id_branch])</f>
        <v>BRCH001</v>
      </c>
      <c r="H432" t="s">
        <v>1213</v>
      </c>
      <c r="I432" t="str">
        <f>_xlfn.XLOOKUP(Table1[[#This Row],[city]],Table4[city],Table4[id_city])</f>
        <v>KOA0102</v>
      </c>
      <c r="J432" t="s">
        <v>1218</v>
      </c>
      <c r="K432" t="str">
        <f>_xlfn.XLOOKUP(Table1[[#This Row],[menu_name]],Table5[menu_name],Table5[id_menu])</f>
        <v>MENU007</v>
      </c>
      <c r="L432" t="s">
        <v>1229</v>
      </c>
      <c r="M432" t="str">
        <f>_xlfn.XLOOKUP(Table1[[#This Row],[category]],Table6[category],Table6[id_category])</f>
        <v>KTG0207</v>
      </c>
      <c r="N432" t="s">
        <v>1235</v>
      </c>
      <c r="O432">
        <v>4</v>
      </c>
      <c r="P432">
        <v>27000</v>
      </c>
      <c r="Q432">
        <v>0</v>
      </c>
      <c r="R432">
        <v>2.8</v>
      </c>
      <c r="S432" t="str">
        <f>_xlfn.XLOOKUP(Table1[[#This Row],[method]],Table7[method],Table7[id_method])</f>
        <v>PAY0711</v>
      </c>
      <c r="T432" t="s">
        <v>1238</v>
      </c>
      <c r="U432">
        <v>108000</v>
      </c>
    </row>
    <row r="433" spans="1:21" x14ac:dyDescent="0.25">
      <c r="A433" t="s">
        <v>445</v>
      </c>
      <c r="B433" t="str">
        <f>_xlfn.XLOOKUP(Table1[[#This Row],[date]],Table8[date],Table8[id_date])</f>
        <v>TGL0729</v>
      </c>
      <c r="C433" s="1">
        <v>45582</v>
      </c>
      <c r="D433" s="1" t="str">
        <f>_xlfn.XLOOKUP(Table1[[#This Row],[customer_name]],Table11[customer_name],Table11[id_cust])</f>
        <v>CNA0381</v>
      </c>
      <c r="E433" t="s">
        <v>1168</v>
      </c>
      <c r="F433">
        <v>40</v>
      </c>
      <c r="G433" t="str">
        <f>_xlfn.XLOOKUP(Table1[[#This Row],[branch_name]],Table3[branch_name],Table3[id_branch])</f>
        <v>BRCH004</v>
      </c>
      <c r="H433" t="s">
        <v>1216</v>
      </c>
      <c r="I433" t="str">
        <f>_xlfn.XLOOKUP(Table1[[#This Row],[city]],Table4[city],Table4[id_city])</f>
        <v>KOA0105</v>
      </c>
      <c r="J433" t="s">
        <v>1221</v>
      </c>
      <c r="K433" t="str">
        <f>_xlfn.XLOOKUP(Table1[[#This Row],[menu_name]],Table5[menu_name],Table5[id_menu])</f>
        <v>MENU007</v>
      </c>
      <c r="L433" t="s">
        <v>1229</v>
      </c>
      <c r="M433" t="str">
        <f>_xlfn.XLOOKUP(Table1[[#This Row],[category]],Table6[category],Table6[id_category])</f>
        <v>KTG0207</v>
      </c>
      <c r="N433" t="s">
        <v>1235</v>
      </c>
      <c r="O433">
        <v>2</v>
      </c>
      <c r="P433">
        <v>27000</v>
      </c>
      <c r="Q433">
        <v>10</v>
      </c>
      <c r="R433">
        <v>1.4</v>
      </c>
      <c r="S433" t="str">
        <f>_xlfn.XLOOKUP(Table1[[#This Row],[method]],Table7[method],Table7[id_method])</f>
        <v>PAY0710</v>
      </c>
      <c r="T433" t="s">
        <v>1237</v>
      </c>
      <c r="U433">
        <v>48600</v>
      </c>
    </row>
    <row r="434" spans="1:21" x14ac:dyDescent="0.25">
      <c r="A434" t="s">
        <v>446</v>
      </c>
      <c r="B434" t="str">
        <f>_xlfn.XLOOKUP(Table1[[#This Row],[date]],Table8[date],Table8[id_date])</f>
        <v>TGL0730</v>
      </c>
      <c r="C434" s="1">
        <v>45583</v>
      </c>
      <c r="D434" s="1" t="str">
        <f>_xlfn.XLOOKUP(Table1[[#This Row],[customer_name]],Table11[customer_name],Table11[id_cust])</f>
        <v>CNA0315</v>
      </c>
      <c r="E434" t="s">
        <v>1155</v>
      </c>
      <c r="F434">
        <v>51</v>
      </c>
      <c r="G434" t="str">
        <f>_xlfn.XLOOKUP(Table1[[#This Row],[branch_name]],Table3[branch_name],Table3[id_branch])</f>
        <v>BRCH004</v>
      </c>
      <c r="H434" t="s">
        <v>1216</v>
      </c>
      <c r="I434" t="str">
        <f>_xlfn.XLOOKUP(Table1[[#This Row],[city]],Table4[city],Table4[id_city])</f>
        <v>KOA0105</v>
      </c>
      <c r="J434" t="s">
        <v>1221</v>
      </c>
      <c r="K434" t="str">
        <f>_xlfn.XLOOKUP(Table1[[#This Row],[menu_name]],Table5[menu_name],Table5[id_menu])</f>
        <v>MENU010</v>
      </c>
      <c r="L434" t="s">
        <v>1232</v>
      </c>
      <c r="M434" t="str">
        <f>_xlfn.XLOOKUP(Table1[[#This Row],[category]],Table6[category],Table6[id_category])</f>
        <v>KTG0205</v>
      </c>
      <c r="N434" t="s">
        <v>1233</v>
      </c>
      <c r="O434">
        <v>2</v>
      </c>
      <c r="P434">
        <v>18000</v>
      </c>
      <c r="Q434">
        <v>15</v>
      </c>
      <c r="R434">
        <v>1.6</v>
      </c>
      <c r="S434" t="str">
        <f>_xlfn.XLOOKUP(Table1[[#This Row],[method]],Table7[method],Table7[id_method])</f>
        <v>PAY0709</v>
      </c>
      <c r="T434" t="s">
        <v>1236</v>
      </c>
      <c r="U434">
        <v>30600</v>
      </c>
    </row>
    <row r="435" spans="1:21" x14ac:dyDescent="0.25">
      <c r="A435" t="s">
        <v>447</v>
      </c>
      <c r="B435" t="str">
        <f>_xlfn.XLOOKUP(Table1[[#This Row],[date]],Table8[date],Table8[id_date])</f>
        <v>TGL0731</v>
      </c>
      <c r="C435" s="1">
        <v>45586</v>
      </c>
      <c r="D435" s="1" t="str">
        <f>_xlfn.XLOOKUP(Table1[[#This Row],[customer_name]],Table11[customer_name],Table11[id_cust])</f>
        <v>CNA0284</v>
      </c>
      <c r="E435" t="s">
        <v>1141</v>
      </c>
      <c r="F435">
        <v>21</v>
      </c>
      <c r="G435" t="str">
        <f>_xlfn.XLOOKUP(Table1[[#This Row],[branch_name]],Table3[branch_name],Table3[id_branch])</f>
        <v>BRCH004</v>
      </c>
      <c r="H435" t="s">
        <v>1216</v>
      </c>
      <c r="I435" t="str">
        <f>_xlfn.XLOOKUP(Table1[[#This Row],[city]],Table4[city],Table4[id_city])</f>
        <v>KOA0105</v>
      </c>
      <c r="J435" t="s">
        <v>1221</v>
      </c>
      <c r="K435" t="str">
        <f>_xlfn.XLOOKUP(Table1[[#This Row],[menu_name]],Table5[menu_name],Table5[id_menu])</f>
        <v>MENU009</v>
      </c>
      <c r="L435" t="s">
        <v>1231</v>
      </c>
      <c r="M435" t="str">
        <f>_xlfn.XLOOKUP(Table1[[#This Row],[category]],Table6[category],Table6[id_category])</f>
        <v>KTG0206</v>
      </c>
      <c r="N435" t="s">
        <v>1234</v>
      </c>
      <c r="O435">
        <v>3</v>
      </c>
      <c r="P435">
        <v>18000</v>
      </c>
      <c r="Q435">
        <v>10</v>
      </c>
      <c r="R435">
        <v>2.1</v>
      </c>
      <c r="S435" t="str">
        <f>_xlfn.XLOOKUP(Table1[[#This Row],[method]],Table7[method],Table7[id_method])</f>
        <v>PAY0712</v>
      </c>
      <c r="T435" t="s">
        <v>1239</v>
      </c>
      <c r="U435">
        <v>48600</v>
      </c>
    </row>
    <row r="436" spans="1:21" x14ac:dyDescent="0.25">
      <c r="A436" t="s">
        <v>448</v>
      </c>
      <c r="B436" t="str">
        <f>_xlfn.XLOOKUP(Table1[[#This Row],[date]],Table8[date],Table8[id_date])</f>
        <v>TGL0732</v>
      </c>
      <c r="C436" s="1">
        <v>45587</v>
      </c>
      <c r="D436" s="1" t="str">
        <f>_xlfn.XLOOKUP(Table1[[#This Row],[customer_name]],Table11[customer_name],Table11[id_cust])</f>
        <v>CNA0195</v>
      </c>
      <c r="E436" t="s">
        <v>1093</v>
      </c>
      <c r="F436">
        <v>42</v>
      </c>
      <c r="G436" t="str">
        <f>_xlfn.XLOOKUP(Table1[[#This Row],[branch_name]],Table3[branch_name],Table3[id_branch])</f>
        <v>BRCH005</v>
      </c>
      <c r="H436" t="s">
        <v>1217</v>
      </c>
      <c r="I436" t="str">
        <f>_xlfn.XLOOKUP(Table1[[#This Row],[city]],Table4[city],Table4[id_city])</f>
        <v>KOA0106</v>
      </c>
      <c r="J436" t="s">
        <v>1222</v>
      </c>
      <c r="K436" t="str">
        <f>_xlfn.XLOOKUP(Table1[[#This Row],[menu_name]],Table5[menu_name],Table5[id_menu])</f>
        <v>MENU009</v>
      </c>
      <c r="L436" t="s">
        <v>1231</v>
      </c>
      <c r="M436" t="str">
        <f>_xlfn.XLOOKUP(Table1[[#This Row],[category]],Table6[category],Table6[id_category])</f>
        <v>KTG0206</v>
      </c>
      <c r="N436" t="s">
        <v>1234</v>
      </c>
      <c r="O436">
        <v>5</v>
      </c>
      <c r="P436">
        <v>18000</v>
      </c>
      <c r="Q436">
        <v>0</v>
      </c>
      <c r="R436">
        <v>3.6</v>
      </c>
      <c r="S436" t="str">
        <f>_xlfn.XLOOKUP(Table1[[#This Row],[method]],Table7[method],Table7[id_method])</f>
        <v>PAY0711</v>
      </c>
      <c r="T436" t="s">
        <v>1238</v>
      </c>
      <c r="U436">
        <v>90000</v>
      </c>
    </row>
    <row r="437" spans="1:21" x14ac:dyDescent="0.25">
      <c r="A437" t="s">
        <v>449</v>
      </c>
      <c r="B437" t="str">
        <f>_xlfn.XLOOKUP(Table1[[#This Row],[date]],Table8[date],Table8[id_date])</f>
        <v>TGL0732</v>
      </c>
      <c r="C437" s="1">
        <v>45587</v>
      </c>
      <c r="D437" s="1" t="str">
        <f>_xlfn.XLOOKUP(Table1[[#This Row],[customer_name]],Table11[customer_name],Table11[id_cust])</f>
        <v>CNA0110</v>
      </c>
      <c r="E437" t="s">
        <v>1023</v>
      </c>
      <c r="F437">
        <v>39</v>
      </c>
      <c r="G437" t="str">
        <f>_xlfn.XLOOKUP(Table1[[#This Row],[branch_name]],Table3[branch_name],Table3[id_branch])</f>
        <v>BRCH005</v>
      </c>
      <c r="H437" t="s">
        <v>1217</v>
      </c>
      <c r="I437" t="str">
        <f>_xlfn.XLOOKUP(Table1[[#This Row],[city]],Table4[city],Table4[id_city])</f>
        <v>KOA0106</v>
      </c>
      <c r="J437" t="s">
        <v>1222</v>
      </c>
      <c r="K437" t="str">
        <f>_xlfn.XLOOKUP(Table1[[#This Row],[menu_name]],Table5[menu_name],Table5[id_menu])</f>
        <v>MENU003</v>
      </c>
      <c r="L437" t="s">
        <v>1225</v>
      </c>
      <c r="M437" t="str">
        <f>_xlfn.XLOOKUP(Table1[[#This Row],[category]],Table6[category],Table6[id_category])</f>
        <v>KTG0205</v>
      </c>
      <c r="N437" t="s">
        <v>1233</v>
      </c>
      <c r="O437">
        <v>4</v>
      </c>
      <c r="P437">
        <v>22000</v>
      </c>
      <c r="Q437">
        <v>5</v>
      </c>
      <c r="R437">
        <v>4.5</v>
      </c>
      <c r="S437" t="str">
        <f>_xlfn.XLOOKUP(Table1[[#This Row],[method]],Table7[method],Table7[id_method])</f>
        <v>PAY0711</v>
      </c>
      <c r="T437" t="s">
        <v>1238</v>
      </c>
      <c r="U437">
        <v>83600</v>
      </c>
    </row>
    <row r="438" spans="1:21" x14ac:dyDescent="0.25">
      <c r="A438" t="s">
        <v>450</v>
      </c>
      <c r="B438" t="str">
        <f>_xlfn.XLOOKUP(Table1[[#This Row],[date]],Table8[date],Table8[id_date])</f>
        <v>TGL0732</v>
      </c>
      <c r="C438" s="1">
        <v>45587</v>
      </c>
      <c r="D438" s="1" t="str">
        <f>_xlfn.XLOOKUP(Table1[[#This Row],[customer_name]],Table11[customer_name],Table11[id_cust])</f>
        <v>CNA0537</v>
      </c>
      <c r="E438" t="s">
        <v>1189</v>
      </c>
      <c r="F438">
        <v>19</v>
      </c>
      <c r="G438" t="str">
        <f>_xlfn.XLOOKUP(Table1[[#This Row],[branch_name]],Table3[branch_name],Table3[id_branch])</f>
        <v>BRCH004</v>
      </c>
      <c r="H438" t="s">
        <v>1216</v>
      </c>
      <c r="I438" t="str">
        <f>_xlfn.XLOOKUP(Table1[[#This Row],[city]],Table4[city],Table4[id_city])</f>
        <v>KOA0105</v>
      </c>
      <c r="J438" t="s">
        <v>1221</v>
      </c>
      <c r="K438" t="str">
        <f>_xlfn.XLOOKUP(Table1[[#This Row],[menu_name]],Table5[menu_name],Table5[id_menu])</f>
        <v>MENU010</v>
      </c>
      <c r="L438" t="s">
        <v>1232</v>
      </c>
      <c r="M438" t="str">
        <f>_xlfn.XLOOKUP(Table1[[#This Row],[category]],Table6[category],Table6[id_category])</f>
        <v>KTG0205</v>
      </c>
      <c r="N438" t="s">
        <v>1233</v>
      </c>
      <c r="O438">
        <v>4</v>
      </c>
      <c r="P438">
        <v>18000</v>
      </c>
      <c r="Q438">
        <v>10</v>
      </c>
      <c r="R438">
        <v>1.5</v>
      </c>
      <c r="S438" t="str">
        <f>_xlfn.XLOOKUP(Table1[[#This Row],[method]],Table7[method],Table7[id_method])</f>
        <v>PAY0711</v>
      </c>
      <c r="T438" t="s">
        <v>1238</v>
      </c>
      <c r="U438">
        <v>64800</v>
      </c>
    </row>
    <row r="439" spans="1:21" x14ac:dyDescent="0.25">
      <c r="A439" t="s">
        <v>451</v>
      </c>
      <c r="B439" t="str">
        <f>_xlfn.XLOOKUP(Table1[[#This Row],[date]],Table8[date],Table8[id_date])</f>
        <v>TGL0733</v>
      </c>
      <c r="C439" s="1">
        <v>45588</v>
      </c>
      <c r="D439" s="1" t="str">
        <f>_xlfn.XLOOKUP(Table1[[#This Row],[customer_name]],Table11[customer_name],Table11[id_cust])</f>
        <v>CNA0411</v>
      </c>
      <c r="E439" t="s">
        <v>1175</v>
      </c>
      <c r="F439">
        <v>52</v>
      </c>
      <c r="G439" t="str">
        <f>_xlfn.XLOOKUP(Table1[[#This Row],[branch_name]],Table3[branch_name],Table3[id_branch])</f>
        <v>BRCH002</v>
      </c>
      <c r="H439" t="s">
        <v>1214</v>
      </c>
      <c r="I439" t="str">
        <f>_xlfn.XLOOKUP(Table1[[#This Row],[city]],Table4[city],Table4[id_city])</f>
        <v>KOA0103</v>
      </c>
      <c r="J439" t="s">
        <v>1219</v>
      </c>
      <c r="K439" t="str">
        <f>_xlfn.XLOOKUP(Table1[[#This Row],[menu_name]],Table5[menu_name],Table5[id_menu])</f>
        <v>MENU008</v>
      </c>
      <c r="L439" t="s">
        <v>1230</v>
      </c>
      <c r="M439" t="str">
        <f>_xlfn.XLOOKUP(Table1[[#This Row],[category]],Table6[category],Table6[id_category])</f>
        <v>KTG0205</v>
      </c>
      <c r="N439" t="s">
        <v>1233</v>
      </c>
      <c r="O439">
        <v>3</v>
      </c>
      <c r="P439">
        <v>20000</v>
      </c>
      <c r="Q439">
        <v>0</v>
      </c>
      <c r="R439">
        <v>2.1</v>
      </c>
      <c r="S439" t="str">
        <f>_xlfn.XLOOKUP(Table1[[#This Row],[method]],Table7[method],Table7[id_method])</f>
        <v>PAY0712</v>
      </c>
      <c r="T439" t="s">
        <v>1239</v>
      </c>
      <c r="U439">
        <v>60000</v>
      </c>
    </row>
    <row r="440" spans="1:21" x14ac:dyDescent="0.25">
      <c r="A440" t="s">
        <v>452</v>
      </c>
      <c r="B440" t="str">
        <f>_xlfn.XLOOKUP(Table1[[#This Row],[date]],Table8[date],Table8[id_date])</f>
        <v>TGL0734</v>
      </c>
      <c r="C440" s="1">
        <v>45589</v>
      </c>
      <c r="D440" s="1" t="str">
        <f>_xlfn.XLOOKUP(Table1[[#This Row],[customer_name]],Table11[customer_name],Table11[id_cust])</f>
        <v>CNA0169</v>
      </c>
      <c r="E440" t="s">
        <v>1074</v>
      </c>
      <c r="F440">
        <v>53</v>
      </c>
      <c r="G440" t="str">
        <f>_xlfn.XLOOKUP(Table1[[#This Row],[branch_name]],Table3[branch_name],Table3[id_branch])</f>
        <v>BRCH002</v>
      </c>
      <c r="H440" t="s">
        <v>1214</v>
      </c>
      <c r="I440" t="str">
        <f>_xlfn.XLOOKUP(Table1[[#This Row],[city]],Table4[city],Table4[id_city])</f>
        <v>KOA0103</v>
      </c>
      <c r="J440" t="s">
        <v>1219</v>
      </c>
      <c r="K440" t="str">
        <f>_xlfn.XLOOKUP(Table1[[#This Row],[menu_name]],Table5[menu_name],Table5[id_menu])</f>
        <v>MENU008</v>
      </c>
      <c r="L440" t="s">
        <v>1230</v>
      </c>
      <c r="M440" t="str">
        <f>_xlfn.XLOOKUP(Table1[[#This Row],[category]],Table6[category],Table6[id_category])</f>
        <v>KTG0205</v>
      </c>
      <c r="N440" t="s">
        <v>1233</v>
      </c>
      <c r="O440">
        <v>5</v>
      </c>
      <c r="P440">
        <v>20000</v>
      </c>
      <c r="Q440">
        <v>5</v>
      </c>
      <c r="R440">
        <v>2.7</v>
      </c>
      <c r="S440" t="str">
        <f>_xlfn.XLOOKUP(Table1[[#This Row],[method]],Table7[method],Table7[id_method])</f>
        <v>PAY0711</v>
      </c>
      <c r="T440" t="s">
        <v>1238</v>
      </c>
      <c r="U440">
        <v>95000</v>
      </c>
    </row>
    <row r="441" spans="1:21" x14ac:dyDescent="0.25">
      <c r="A441" t="s">
        <v>453</v>
      </c>
      <c r="B441" t="str">
        <f>_xlfn.XLOOKUP(Table1[[#This Row],[date]],Table8[date],Table8[id_date])</f>
        <v>TGL0735</v>
      </c>
      <c r="C441" s="1">
        <v>45591</v>
      </c>
      <c r="D441" s="1" t="str">
        <f>_xlfn.XLOOKUP(Table1[[#This Row],[customer_name]],Table11[customer_name],Table11[id_cust])</f>
        <v>CNA0256</v>
      </c>
      <c r="E441" t="s">
        <v>1129</v>
      </c>
      <c r="F441">
        <v>29</v>
      </c>
      <c r="G441" t="str">
        <f>_xlfn.XLOOKUP(Table1[[#This Row],[branch_name]],Table3[branch_name],Table3[id_branch])</f>
        <v>BRCH005</v>
      </c>
      <c r="H441" t="s">
        <v>1217</v>
      </c>
      <c r="I441" t="str">
        <f>_xlfn.XLOOKUP(Table1[[#This Row],[city]],Table4[city],Table4[id_city])</f>
        <v>KOA0106</v>
      </c>
      <c r="J441" t="s">
        <v>1222</v>
      </c>
      <c r="K441" t="str">
        <f>_xlfn.XLOOKUP(Table1[[#This Row],[menu_name]],Table5[menu_name],Table5[id_menu])</f>
        <v>MENU002</v>
      </c>
      <c r="L441" t="s">
        <v>1224</v>
      </c>
      <c r="M441" t="str">
        <f>_xlfn.XLOOKUP(Table1[[#This Row],[category]],Table6[category],Table6[id_category])</f>
        <v>KTG0206</v>
      </c>
      <c r="N441" t="s">
        <v>1234</v>
      </c>
      <c r="O441">
        <v>1</v>
      </c>
      <c r="P441">
        <v>30000</v>
      </c>
      <c r="Q441">
        <v>0</v>
      </c>
      <c r="R441">
        <v>4.7</v>
      </c>
      <c r="S441" t="str">
        <f>_xlfn.XLOOKUP(Table1[[#This Row],[method]],Table7[method],Table7[id_method])</f>
        <v>PAY0709</v>
      </c>
      <c r="T441" t="s">
        <v>1236</v>
      </c>
      <c r="U441">
        <v>30000</v>
      </c>
    </row>
    <row r="442" spans="1:21" x14ac:dyDescent="0.25">
      <c r="A442" t="s">
        <v>454</v>
      </c>
      <c r="B442" t="str">
        <f>_xlfn.XLOOKUP(Table1[[#This Row],[date]],Table8[date],Table8[id_date])</f>
        <v>TGL0736</v>
      </c>
      <c r="C442" s="1">
        <v>45592</v>
      </c>
      <c r="D442" s="1" t="str">
        <f>_xlfn.XLOOKUP(Table1[[#This Row],[customer_name]],Table11[customer_name],Table11[id_cust])</f>
        <v>CNA0541</v>
      </c>
      <c r="E442" t="s">
        <v>1190</v>
      </c>
      <c r="F442">
        <v>28</v>
      </c>
      <c r="G442" t="str">
        <f>_xlfn.XLOOKUP(Table1[[#This Row],[branch_name]],Table3[branch_name],Table3[id_branch])</f>
        <v>BRCH001</v>
      </c>
      <c r="H442" t="s">
        <v>1213</v>
      </c>
      <c r="I442" t="str">
        <f>_xlfn.XLOOKUP(Table1[[#This Row],[city]],Table4[city],Table4[id_city])</f>
        <v>KOA0102</v>
      </c>
      <c r="J442" t="s">
        <v>1218</v>
      </c>
      <c r="K442" t="str">
        <f>_xlfn.XLOOKUP(Table1[[#This Row],[menu_name]],Table5[menu_name],Table5[id_menu])</f>
        <v>MENU001</v>
      </c>
      <c r="L442" t="s">
        <v>1223</v>
      </c>
      <c r="M442" t="str">
        <f>_xlfn.XLOOKUP(Table1[[#This Row],[category]],Table6[category],Table6[id_category])</f>
        <v>KTG0205</v>
      </c>
      <c r="N442" t="s">
        <v>1233</v>
      </c>
      <c r="O442">
        <v>2</v>
      </c>
      <c r="P442">
        <v>25000</v>
      </c>
      <c r="Q442">
        <v>20</v>
      </c>
      <c r="R442">
        <v>3.7</v>
      </c>
      <c r="S442" t="str">
        <f>_xlfn.XLOOKUP(Table1[[#This Row],[method]],Table7[method],Table7[id_method])</f>
        <v>PAY0711</v>
      </c>
      <c r="T442" t="s">
        <v>1238</v>
      </c>
      <c r="U442">
        <v>40000</v>
      </c>
    </row>
    <row r="443" spans="1:21" x14ac:dyDescent="0.25">
      <c r="A443" t="s">
        <v>455</v>
      </c>
      <c r="B443" t="str">
        <f>_xlfn.XLOOKUP(Table1[[#This Row],[date]],Table8[date],Table8[id_date])</f>
        <v>TGL0737</v>
      </c>
      <c r="C443" s="1">
        <v>45593</v>
      </c>
      <c r="D443" s="1" t="str">
        <f>_xlfn.XLOOKUP(Table1[[#This Row],[customer_name]],Table11[customer_name],Table11[id_cust])</f>
        <v>CNA0310</v>
      </c>
      <c r="E443" t="s">
        <v>1153</v>
      </c>
      <c r="F443">
        <v>22</v>
      </c>
      <c r="G443" t="str">
        <f>_xlfn.XLOOKUP(Table1[[#This Row],[branch_name]],Table3[branch_name],Table3[id_branch])</f>
        <v>BRCH002</v>
      </c>
      <c r="H443" t="s">
        <v>1214</v>
      </c>
      <c r="I443" t="str">
        <f>_xlfn.XLOOKUP(Table1[[#This Row],[city]],Table4[city],Table4[id_city])</f>
        <v>KOA0103</v>
      </c>
      <c r="J443" t="s">
        <v>1219</v>
      </c>
      <c r="K443" t="str">
        <f>_xlfn.XLOOKUP(Table1[[#This Row],[menu_name]],Table5[menu_name],Table5[id_menu])</f>
        <v>MENU004</v>
      </c>
      <c r="L443" t="s">
        <v>1226</v>
      </c>
      <c r="M443" t="str">
        <f>_xlfn.XLOOKUP(Table1[[#This Row],[category]],Table6[category],Table6[id_category])</f>
        <v>KTG0207</v>
      </c>
      <c r="N443" t="s">
        <v>1235</v>
      </c>
      <c r="O443">
        <v>5</v>
      </c>
      <c r="P443">
        <v>28000</v>
      </c>
      <c r="Q443">
        <v>5</v>
      </c>
      <c r="R443">
        <v>4.2</v>
      </c>
      <c r="S443" t="str">
        <f>_xlfn.XLOOKUP(Table1[[#This Row],[method]],Table7[method],Table7[id_method])</f>
        <v>PAY0711</v>
      </c>
      <c r="T443" t="s">
        <v>1238</v>
      </c>
      <c r="U443">
        <v>133000</v>
      </c>
    </row>
    <row r="444" spans="1:21" x14ac:dyDescent="0.25">
      <c r="A444" t="s">
        <v>456</v>
      </c>
      <c r="B444" t="str">
        <f>_xlfn.XLOOKUP(Table1[[#This Row],[date]],Table8[date],Table8[id_date])</f>
        <v>TGL0737</v>
      </c>
      <c r="C444" s="1">
        <v>45593</v>
      </c>
      <c r="D444" s="1" t="str">
        <f>_xlfn.XLOOKUP(Table1[[#This Row],[customer_name]],Table11[customer_name],Table11[id_cust])</f>
        <v>CNA0242</v>
      </c>
      <c r="E444" t="s">
        <v>1123</v>
      </c>
      <c r="F444">
        <v>40</v>
      </c>
      <c r="G444" t="str">
        <f>_xlfn.XLOOKUP(Table1[[#This Row],[branch_name]],Table3[branch_name],Table3[id_branch])</f>
        <v>BRCH003</v>
      </c>
      <c r="H444" t="s">
        <v>1215</v>
      </c>
      <c r="I444" t="str">
        <f>_xlfn.XLOOKUP(Table1[[#This Row],[city]],Table4[city],Table4[id_city])</f>
        <v>KOA0104</v>
      </c>
      <c r="J444" t="s">
        <v>1220</v>
      </c>
      <c r="K444" t="str">
        <f>_xlfn.XLOOKUP(Table1[[#This Row],[menu_name]],Table5[menu_name],Table5[id_menu])</f>
        <v>MENU006</v>
      </c>
      <c r="L444" t="s">
        <v>1228</v>
      </c>
      <c r="M444" t="str">
        <f>_xlfn.XLOOKUP(Table1[[#This Row],[category]],Table6[category],Table6[id_category])</f>
        <v>KTG0206</v>
      </c>
      <c r="N444" t="s">
        <v>1234</v>
      </c>
      <c r="O444">
        <v>1</v>
      </c>
      <c r="P444">
        <v>32000</v>
      </c>
      <c r="Q444">
        <v>10</v>
      </c>
      <c r="R444">
        <v>1.2</v>
      </c>
      <c r="S444" t="str">
        <f>_xlfn.XLOOKUP(Table1[[#This Row],[method]],Table7[method],Table7[id_method])</f>
        <v>PAY0712</v>
      </c>
      <c r="T444" t="s">
        <v>1239</v>
      </c>
      <c r="U444">
        <v>28800</v>
      </c>
    </row>
    <row r="445" spans="1:21" x14ac:dyDescent="0.25">
      <c r="A445" t="s">
        <v>457</v>
      </c>
      <c r="B445" t="str">
        <f>_xlfn.XLOOKUP(Table1[[#This Row],[date]],Table8[date],Table8[id_date])</f>
        <v>TGL0737</v>
      </c>
      <c r="C445" s="1">
        <v>45593</v>
      </c>
      <c r="D445" s="1" t="str">
        <f>_xlfn.XLOOKUP(Table1[[#This Row],[customer_name]],Table11[customer_name],Table11[id_cust])</f>
        <v>CNA0184</v>
      </c>
      <c r="E445" t="s">
        <v>1086</v>
      </c>
      <c r="F445">
        <v>24</v>
      </c>
      <c r="G445" t="str">
        <f>_xlfn.XLOOKUP(Table1[[#This Row],[branch_name]],Table3[branch_name],Table3[id_branch])</f>
        <v>BRCH001</v>
      </c>
      <c r="H445" t="s">
        <v>1213</v>
      </c>
      <c r="I445" t="str">
        <f>_xlfn.XLOOKUP(Table1[[#This Row],[city]],Table4[city],Table4[id_city])</f>
        <v>KOA0102</v>
      </c>
      <c r="J445" t="s">
        <v>1218</v>
      </c>
      <c r="K445" t="str">
        <f>_xlfn.XLOOKUP(Table1[[#This Row],[menu_name]],Table5[menu_name],Table5[id_menu])</f>
        <v>MENU007</v>
      </c>
      <c r="L445" t="s">
        <v>1229</v>
      </c>
      <c r="M445" t="str">
        <f>_xlfn.XLOOKUP(Table1[[#This Row],[category]],Table6[category],Table6[id_category])</f>
        <v>KTG0207</v>
      </c>
      <c r="N445" t="s">
        <v>1235</v>
      </c>
      <c r="O445">
        <v>4</v>
      </c>
      <c r="P445">
        <v>27000</v>
      </c>
      <c r="Q445">
        <v>0</v>
      </c>
      <c r="R445">
        <v>3.4</v>
      </c>
      <c r="S445" t="str">
        <f>_xlfn.XLOOKUP(Table1[[#This Row],[method]],Table7[method],Table7[id_method])</f>
        <v>PAY0711</v>
      </c>
      <c r="T445" t="s">
        <v>1238</v>
      </c>
      <c r="U445">
        <v>108000</v>
      </c>
    </row>
    <row r="446" spans="1:21" x14ac:dyDescent="0.25">
      <c r="A446" t="s">
        <v>458</v>
      </c>
      <c r="B446" t="str">
        <f>_xlfn.XLOOKUP(Table1[[#This Row],[date]],Table8[date],Table8[id_date])</f>
        <v>TGL0738</v>
      </c>
      <c r="C446" s="1">
        <v>45594</v>
      </c>
      <c r="D446" s="1" t="str">
        <f>_xlfn.XLOOKUP(Table1[[#This Row],[customer_name]],Table11[customer_name],Table11[id_cust])</f>
        <v>CNA0537</v>
      </c>
      <c r="E446" t="s">
        <v>1189</v>
      </c>
      <c r="F446">
        <v>19</v>
      </c>
      <c r="G446" t="str">
        <f>_xlfn.XLOOKUP(Table1[[#This Row],[branch_name]],Table3[branch_name],Table3[id_branch])</f>
        <v>BRCH003</v>
      </c>
      <c r="H446" t="s">
        <v>1215</v>
      </c>
      <c r="I446" t="str">
        <f>_xlfn.XLOOKUP(Table1[[#This Row],[city]],Table4[city],Table4[id_city])</f>
        <v>KOA0104</v>
      </c>
      <c r="J446" t="s">
        <v>1220</v>
      </c>
      <c r="K446" t="str">
        <f>_xlfn.XLOOKUP(Table1[[#This Row],[menu_name]],Table5[menu_name],Table5[id_menu])</f>
        <v>MENU002</v>
      </c>
      <c r="L446" t="s">
        <v>1224</v>
      </c>
      <c r="M446" t="str">
        <f>_xlfn.XLOOKUP(Table1[[#This Row],[category]],Table6[category],Table6[id_category])</f>
        <v>KTG0206</v>
      </c>
      <c r="N446" t="s">
        <v>1234</v>
      </c>
      <c r="O446">
        <v>1</v>
      </c>
      <c r="P446">
        <v>30000</v>
      </c>
      <c r="Q446">
        <v>10</v>
      </c>
      <c r="R446">
        <v>3.4</v>
      </c>
      <c r="S446" t="str">
        <f>_xlfn.XLOOKUP(Table1[[#This Row],[method]],Table7[method],Table7[id_method])</f>
        <v>PAY0711</v>
      </c>
      <c r="T446" t="s">
        <v>1238</v>
      </c>
      <c r="U446">
        <v>27000</v>
      </c>
    </row>
    <row r="447" spans="1:21" x14ac:dyDescent="0.25">
      <c r="A447" t="s">
        <v>459</v>
      </c>
      <c r="B447" t="str">
        <f>_xlfn.XLOOKUP(Table1[[#This Row],[date]],Table8[date],Table8[id_date])</f>
        <v>TGL0738</v>
      </c>
      <c r="C447" s="1">
        <v>45594</v>
      </c>
      <c r="D447" s="1" t="str">
        <f>_xlfn.XLOOKUP(Table1[[#This Row],[customer_name]],Table11[customer_name],Table11[id_cust])</f>
        <v>CNA0468</v>
      </c>
      <c r="E447" t="s">
        <v>1182</v>
      </c>
      <c r="F447">
        <v>40</v>
      </c>
      <c r="G447" t="str">
        <f>_xlfn.XLOOKUP(Table1[[#This Row],[branch_name]],Table3[branch_name],Table3[id_branch])</f>
        <v>BRCH002</v>
      </c>
      <c r="H447" t="s">
        <v>1214</v>
      </c>
      <c r="I447" t="str">
        <f>_xlfn.XLOOKUP(Table1[[#This Row],[city]],Table4[city],Table4[id_city])</f>
        <v>KOA0103</v>
      </c>
      <c r="J447" t="s">
        <v>1219</v>
      </c>
      <c r="K447" t="str">
        <f>_xlfn.XLOOKUP(Table1[[#This Row],[menu_name]],Table5[menu_name],Table5[id_menu])</f>
        <v>MENU007</v>
      </c>
      <c r="L447" t="s">
        <v>1229</v>
      </c>
      <c r="M447" t="str">
        <f>_xlfn.XLOOKUP(Table1[[#This Row],[category]],Table6[category],Table6[id_category])</f>
        <v>KTG0207</v>
      </c>
      <c r="N447" t="s">
        <v>1235</v>
      </c>
      <c r="O447">
        <v>2</v>
      </c>
      <c r="P447">
        <v>27000</v>
      </c>
      <c r="Q447">
        <v>15</v>
      </c>
      <c r="R447">
        <v>3.1</v>
      </c>
      <c r="S447" t="str">
        <f>_xlfn.XLOOKUP(Table1[[#This Row],[method]],Table7[method],Table7[id_method])</f>
        <v>PAY0711</v>
      </c>
      <c r="T447" t="s">
        <v>1238</v>
      </c>
      <c r="U447">
        <v>45900</v>
      </c>
    </row>
    <row r="448" spans="1:21" x14ac:dyDescent="0.25">
      <c r="A448" t="s">
        <v>460</v>
      </c>
      <c r="B448" t="str">
        <f>_xlfn.XLOOKUP(Table1[[#This Row],[date]],Table8[date],Table8[id_date])</f>
        <v>TGL0739</v>
      </c>
      <c r="C448" s="1">
        <v>45595</v>
      </c>
      <c r="D448" s="1" t="str">
        <f>_xlfn.XLOOKUP(Table1[[#This Row],[customer_name]],Table11[customer_name],Table11[id_cust])</f>
        <v>CNA0242</v>
      </c>
      <c r="E448" t="s">
        <v>1123</v>
      </c>
      <c r="F448">
        <v>40</v>
      </c>
      <c r="G448" t="str">
        <f>_xlfn.XLOOKUP(Table1[[#This Row],[branch_name]],Table3[branch_name],Table3[id_branch])</f>
        <v>BRCH005</v>
      </c>
      <c r="H448" t="s">
        <v>1217</v>
      </c>
      <c r="I448" t="str">
        <f>_xlfn.XLOOKUP(Table1[[#This Row],[city]],Table4[city],Table4[id_city])</f>
        <v>KOA0106</v>
      </c>
      <c r="J448" t="s">
        <v>1222</v>
      </c>
      <c r="K448" t="str">
        <f>_xlfn.XLOOKUP(Table1[[#This Row],[menu_name]],Table5[menu_name],Table5[id_menu])</f>
        <v>MENU007</v>
      </c>
      <c r="L448" t="s">
        <v>1229</v>
      </c>
      <c r="M448" t="str">
        <f>_xlfn.XLOOKUP(Table1[[#This Row],[category]],Table6[category],Table6[id_category])</f>
        <v>KTG0207</v>
      </c>
      <c r="N448" t="s">
        <v>1235</v>
      </c>
      <c r="O448">
        <v>1</v>
      </c>
      <c r="P448">
        <v>27000</v>
      </c>
      <c r="Q448">
        <v>0</v>
      </c>
      <c r="R448">
        <v>4.4000000000000004</v>
      </c>
      <c r="S448" t="str">
        <f>_xlfn.XLOOKUP(Table1[[#This Row],[method]],Table7[method],Table7[id_method])</f>
        <v>PAY0711</v>
      </c>
      <c r="T448" t="s">
        <v>1238</v>
      </c>
      <c r="U448">
        <v>27000</v>
      </c>
    </row>
    <row r="449" spans="1:21" x14ac:dyDescent="0.25">
      <c r="A449" t="s">
        <v>461</v>
      </c>
      <c r="B449" t="str">
        <f>_xlfn.XLOOKUP(Table1[[#This Row],[date]],Table8[date],Table8[id_date])</f>
        <v>TGL0740</v>
      </c>
      <c r="C449" s="1">
        <v>45596</v>
      </c>
      <c r="D449" s="1" t="str">
        <f>_xlfn.XLOOKUP(Table1[[#This Row],[customer_name]],Table11[customer_name],Table11[id_cust])</f>
        <v>CNA0204</v>
      </c>
      <c r="E449" t="s">
        <v>1099</v>
      </c>
      <c r="F449">
        <v>40</v>
      </c>
      <c r="G449" t="str">
        <f>_xlfn.XLOOKUP(Table1[[#This Row],[branch_name]],Table3[branch_name],Table3[id_branch])</f>
        <v>BRCH001</v>
      </c>
      <c r="H449" t="s">
        <v>1213</v>
      </c>
      <c r="I449" t="str">
        <f>_xlfn.XLOOKUP(Table1[[#This Row],[city]],Table4[city],Table4[id_city])</f>
        <v>KOA0102</v>
      </c>
      <c r="J449" t="s">
        <v>1218</v>
      </c>
      <c r="K449" t="str">
        <f>_xlfn.XLOOKUP(Table1[[#This Row],[menu_name]],Table5[menu_name],Table5[id_menu])</f>
        <v>MENU008</v>
      </c>
      <c r="L449" t="s">
        <v>1230</v>
      </c>
      <c r="M449" t="str">
        <f>_xlfn.XLOOKUP(Table1[[#This Row],[category]],Table6[category],Table6[id_category])</f>
        <v>KTG0205</v>
      </c>
      <c r="N449" t="s">
        <v>1233</v>
      </c>
      <c r="O449">
        <v>1</v>
      </c>
      <c r="P449">
        <v>20000</v>
      </c>
      <c r="Q449">
        <v>5</v>
      </c>
      <c r="R449">
        <v>1.5</v>
      </c>
      <c r="S449" t="str">
        <f>_xlfn.XLOOKUP(Table1[[#This Row],[method]],Table7[method],Table7[id_method])</f>
        <v>PAY0711</v>
      </c>
      <c r="T449" t="s">
        <v>1238</v>
      </c>
      <c r="U449">
        <v>19000</v>
      </c>
    </row>
    <row r="450" spans="1:21" x14ac:dyDescent="0.25">
      <c r="A450" t="s">
        <v>462</v>
      </c>
      <c r="B450" t="str">
        <f>_xlfn.XLOOKUP(Table1[[#This Row],[date]],Table8[date],Table8[id_date])</f>
        <v>TGL0740</v>
      </c>
      <c r="C450" s="1">
        <v>45596</v>
      </c>
      <c r="D450" s="1" t="str">
        <f>_xlfn.XLOOKUP(Table1[[#This Row],[customer_name]],Table11[customer_name],Table11[id_cust])</f>
        <v>CNA0411</v>
      </c>
      <c r="E450" t="s">
        <v>1175</v>
      </c>
      <c r="F450">
        <v>52</v>
      </c>
      <c r="G450" t="str">
        <f>_xlfn.XLOOKUP(Table1[[#This Row],[branch_name]],Table3[branch_name],Table3[id_branch])</f>
        <v>BRCH005</v>
      </c>
      <c r="H450" t="s">
        <v>1217</v>
      </c>
      <c r="I450" t="str">
        <f>_xlfn.XLOOKUP(Table1[[#This Row],[city]],Table4[city],Table4[id_city])</f>
        <v>KOA0106</v>
      </c>
      <c r="J450" t="s">
        <v>1222</v>
      </c>
      <c r="K450" t="str">
        <f>_xlfn.XLOOKUP(Table1[[#This Row],[menu_name]],Table5[menu_name],Table5[id_menu])</f>
        <v>MENU007</v>
      </c>
      <c r="L450" t="s">
        <v>1229</v>
      </c>
      <c r="M450" t="str">
        <f>_xlfn.XLOOKUP(Table1[[#This Row],[category]],Table6[category],Table6[id_category])</f>
        <v>KTG0207</v>
      </c>
      <c r="N450" t="s">
        <v>1235</v>
      </c>
      <c r="O450">
        <v>2</v>
      </c>
      <c r="P450">
        <v>27000</v>
      </c>
      <c r="Q450">
        <v>0</v>
      </c>
      <c r="R450">
        <v>4.7</v>
      </c>
      <c r="S450" t="str">
        <f>_xlfn.XLOOKUP(Table1[[#This Row],[method]],Table7[method],Table7[id_method])</f>
        <v>PAY0710</v>
      </c>
      <c r="T450" t="s">
        <v>1237</v>
      </c>
      <c r="U450">
        <v>54000</v>
      </c>
    </row>
    <row r="451" spans="1:21" x14ac:dyDescent="0.25">
      <c r="A451" t="s">
        <v>463</v>
      </c>
      <c r="B451" t="str">
        <f>_xlfn.XLOOKUP(Table1[[#This Row],[date]],Table8[date],Table8[id_date])</f>
        <v>TGL0740</v>
      </c>
      <c r="C451" s="1">
        <v>45596</v>
      </c>
      <c r="D451" s="1" t="str">
        <f>_xlfn.XLOOKUP(Table1[[#This Row],[customer_name]],Table11[customer_name],Table11[id_cust])</f>
        <v>CNA0143</v>
      </c>
      <c r="E451" t="s">
        <v>1052</v>
      </c>
      <c r="F451">
        <v>49</v>
      </c>
      <c r="G451" t="str">
        <f>_xlfn.XLOOKUP(Table1[[#This Row],[branch_name]],Table3[branch_name],Table3[id_branch])</f>
        <v>BRCH005</v>
      </c>
      <c r="H451" t="s">
        <v>1217</v>
      </c>
      <c r="I451" t="str">
        <f>_xlfn.XLOOKUP(Table1[[#This Row],[city]],Table4[city],Table4[id_city])</f>
        <v>KOA0106</v>
      </c>
      <c r="J451" t="s">
        <v>1222</v>
      </c>
      <c r="K451" t="str">
        <f>_xlfn.XLOOKUP(Table1[[#This Row],[menu_name]],Table5[menu_name],Table5[id_menu])</f>
        <v>MENU005</v>
      </c>
      <c r="L451" t="s">
        <v>1227</v>
      </c>
      <c r="M451" t="str">
        <f>_xlfn.XLOOKUP(Table1[[#This Row],[category]],Table6[category],Table6[id_category])</f>
        <v>KTG0206</v>
      </c>
      <c r="N451" t="s">
        <v>1234</v>
      </c>
      <c r="O451">
        <v>2</v>
      </c>
      <c r="P451">
        <v>23000</v>
      </c>
      <c r="Q451">
        <v>20</v>
      </c>
      <c r="R451">
        <v>1.3</v>
      </c>
      <c r="S451" t="str">
        <f>_xlfn.XLOOKUP(Table1[[#This Row],[method]],Table7[method],Table7[id_method])</f>
        <v>PAY0712</v>
      </c>
      <c r="T451" t="s">
        <v>1239</v>
      </c>
      <c r="U451">
        <v>36800</v>
      </c>
    </row>
    <row r="452" spans="1:21" x14ac:dyDescent="0.25">
      <c r="A452" t="s">
        <v>464</v>
      </c>
      <c r="B452" t="str">
        <f>_xlfn.XLOOKUP(Table1[[#This Row],[date]],Table8[date],Table8[id_date])</f>
        <v>TGL0741</v>
      </c>
      <c r="C452" s="1">
        <v>45597</v>
      </c>
      <c r="D452" s="1" t="str">
        <f>_xlfn.XLOOKUP(Table1[[#This Row],[customer_name]],Table11[customer_name],Table11[id_cust])</f>
        <v>CNA0310</v>
      </c>
      <c r="E452" t="s">
        <v>1153</v>
      </c>
      <c r="F452">
        <v>22</v>
      </c>
      <c r="G452" t="str">
        <f>_xlfn.XLOOKUP(Table1[[#This Row],[branch_name]],Table3[branch_name],Table3[id_branch])</f>
        <v>BRCH002</v>
      </c>
      <c r="H452" t="s">
        <v>1214</v>
      </c>
      <c r="I452" t="str">
        <f>_xlfn.XLOOKUP(Table1[[#This Row],[city]],Table4[city],Table4[id_city])</f>
        <v>KOA0103</v>
      </c>
      <c r="J452" t="s">
        <v>1219</v>
      </c>
      <c r="K452" t="str">
        <f>_xlfn.XLOOKUP(Table1[[#This Row],[menu_name]],Table5[menu_name],Table5[id_menu])</f>
        <v>MENU010</v>
      </c>
      <c r="L452" t="s">
        <v>1232</v>
      </c>
      <c r="M452" t="str">
        <f>_xlfn.XLOOKUP(Table1[[#This Row],[category]],Table6[category],Table6[id_category])</f>
        <v>KTG0205</v>
      </c>
      <c r="N452" t="s">
        <v>1233</v>
      </c>
      <c r="O452">
        <v>4</v>
      </c>
      <c r="P452">
        <v>18000</v>
      </c>
      <c r="Q452">
        <v>10</v>
      </c>
      <c r="R452">
        <v>4.7</v>
      </c>
      <c r="S452" t="str">
        <f>_xlfn.XLOOKUP(Table1[[#This Row],[method]],Table7[method],Table7[id_method])</f>
        <v>PAY0712</v>
      </c>
      <c r="T452" t="s">
        <v>1239</v>
      </c>
      <c r="U452">
        <v>64800</v>
      </c>
    </row>
    <row r="453" spans="1:21" x14ac:dyDescent="0.25">
      <c r="A453" t="s">
        <v>465</v>
      </c>
      <c r="B453" t="str">
        <f>_xlfn.XLOOKUP(Table1[[#This Row],[date]],Table8[date],Table8[id_date])</f>
        <v>TGL0741</v>
      </c>
      <c r="C453" s="1">
        <v>45597</v>
      </c>
      <c r="D453" s="1" t="str">
        <f>_xlfn.XLOOKUP(Table1[[#This Row],[customer_name]],Table11[customer_name],Table11[id_cust])</f>
        <v>CNA0205</v>
      </c>
      <c r="E453" t="s">
        <v>1100</v>
      </c>
      <c r="F453">
        <v>17</v>
      </c>
      <c r="G453" t="str">
        <f>_xlfn.XLOOKUP(Table1[[#This Row],[branch_name]],Table3[branch_name],Table3[id_branch])</f>
        <v>BRCH004</v>
      </c>
      <c r="H453" t="s">
        <v>1216</v>
      </c>
      <c r="I453" t="str">
        <f>_xlfn.XLOOKUP(Table1[[#This Row],[city]],Table4[city],Table4[id_city])</f>
        <v>KOA0105</v>
      </c>
      <c r="J453" t="s">
        <v>1221</v>
      </c>
      <c r="K453" t="str">
        <f>_xlfn.XLOOKUP(Table1[[#This Row],[menu_name]],Table5[menu_name],Table5[id_menu])</f>
        <v>MENU006</v>
      </c>
      <c r="L453" t="s">
        <v>1228</v>
      </c>
      <c r="M453" t="str">
        <f>_xlfn.XLOOKUP(Table1[[#This Row],[category]],Table6[category],Table6[id_category])</f>
        <v>KTG0206</v>
      </c>
      <c r="N453" t="s">
        <v>1234</v>
      </c>
      <c r="O453">
        <v>3</v>
      </c>
      <c r="P453">
        <v>32000</v>
      </c>
      <c r="Q453">
        <v>20</v>
      </c>
      <c r="R453">
        <v>3.1</v>
      </c>
      <c r="S453" t="str">
        <f>_xlfn.XLOOKUP(Table1[[#This Row],[method]],Table7[method],Table7[id_method])</f>
        <v>PAY0711</v>
      </c>
      <c r="T453" t="s">
        <v>1238</v>
      </c>
      <c r="U453">
        <v>76800</v>
      </c>
    </row>
    <row r="454" spans="1:21" x14ac:dyDescent="0.25">
      <c r="A454" t="s">
        <v>466</v>
      </c>
      <c r="B454" t="str">
        <f>_xlfn.XLOOKUP(Table1[[#This Row],[date]],Table8[date],Table8[id_date])</f>
        <v>TGL0742</v>
      </c>
      <c r="C454" s="1">
        <v>45599</v>
      </c>
      <c r="D454" s="1" t="str">
        <f>_xlfn.XLOOKUP(Table1[[#This Row],[customer_name]],Table11[customer_name],Table11[id_cust])</f>
        <v>CNA0105</v>
      </c>
      <c r="E454" t="s">
        <v>1018</v>
      </c>
      <c r="F454">
        <v>53</v>
      </c>
      <c r="G454" t="str">
        <f>_xlfn.XLOOKUP(Table1[[#This Row],[branch_name]],Table3[branch_name],Table3[id_branch])</f>
        <v>BRCH005</v>
      </c>
      <c r="H454" t="s">
        <v>1217</v>
      </c>
      <c r="I454" t="str">
        <f>_xlfn.XLOOKUP(Table1[[#This Row],[city]],Table4[city],Table4[id_city])</f>
        <v>KOA0106</v>
      </c>
      <c r="J454" t="s">
        <v>1222</v>
      </c>
      <c r="K454" t="str">
        <f>_xlfn.XLOOKUP(Table1[[#This Row],[menu_name]],Table5[menu_name],Table5[id_menu])</f>
        <v>MENU010</v>
      </c>
      <c r="L454" t="s">
        <v>1232</v>
      </c>
      <c r="M454" t="str">
        <f>_xlfn.XLOOKUP(Table1[[#This Row],[category]],Table6[category],Table6[id_category])</f>
        <v>KTG0205</v>
      </c>
      <c r="N454" t="s">
        <v>1233</v>
      </c>
      <c r="O454">
        <v>2</v>
      </c>
      <c r="P454">
        <v>18000</v>
      </c>
      <c r="Q454">
        <v>10</v>
      </c>
      <c r="R454">
        <v>3.2</v>
      </c>
      <c r="S454" t="str">
        <f>_xlfn.XLOOKUP(Table1[[#This Row],[method]],Table7[method],Table7[id_method])</f>
        <v>PAY0709</v>
      </c>
      <c r="T454" t="s">
        <v>1236</v>
      </c>
      <c r="U454">
        <v>32400</v>
      </c>
    </row>
    <row r="455" spans="1:21" x14ac:dyDescent="0.25">
      <c r="A455" t="s">
        <v>467</v>
      </c>
      <c r="B455" t="str">
        <f>_xlfn.XLOOKUP(Table1[[#This Row],[date]],Table8[date],Table8[id_date])</f>
        <v>TGL0743</v>
      </c>
      <c r="C455" s="1">
        <v>45600</v>
      </c>
      <c r="D455" s="1" t="str">
        <f>_xlfn.XLOOKUP(Table1[[#This Row],[customer_name]],Table11[customer_name],Table11[id_cust])</f>
        <v>CNA0256</v>
      </c>
      <c r="E455" t="s">
        <v>1129</v>
      </c>
      <c r="F455">
        <v>29</v>
      </c>
      <c r="G455" t="str">
        <f>_xlfn.XLOOKUP(Table1[[#This Row],[branch_name]],Table3[branch_name],Table3[id_branch])</f>
        <v>BRCH001</v>
      </c>
      <c r="H455" t="s">
        <v>1213</v>
      </c>
      <c r="I455" t="str">
        <f>_xlfn.XLOOKUP(Table1[[#This Row],[city]],Table4[city],Table4[id_city])</f>
        <v>KOA0102</v>
      </c>
      <c r="J455" t="s">
        <v>1218</v>
      </c>
      <c r="K455" t="str">
        <f>_xlfn.XLOOKUP(Table1[[#This Row],[menu_name]],Table5[menu_name],Table5[id_menu])</f>
        <v>MENU010</v>
      </c>
      <c r="L455" t="s">
        <v>1232</v>
      </c>
      <c r="M455" t="str">
        <f>_xlfn.XLOOKUP(Table1[[#This Row],[category]],Table6[category],Table6[id_category])</f>
        <v>KTG0205</v>
      </c>
      <c r="N455" t="s">
        <v>1233</v>
      </c>
      <c r="O455">
        <v>2</v>
      </c>
      <c r="P455">
        <v>18000</v>
      </c>
      <c r="Q455">
        <v>0</v>
      </c>
      <c r="R455">
        <v>3.5</v>
      </c>
      <c r="S455" t="str">
        <f>_xlfn.XLOOKUP(Table1[[#This Row],[method]],Table7[method],Table7[id_method])</f>
        <v>PAY0711</v>
      </c>
      <c r="T455" t="s">
        <v>1238</v>
      </c>
      <c r="U455">
        <v>36000</v>
      </c>
    </row>
    <row r="456" spans="1:21" x14ac:dyDescent="0.25">
      <c r="A456" t="s">
        <v>468</v>
      </c>
      <c r="B456" t="str">
        <f>_xlfn.XLOOKUP(Table1[[#This Row],[date]],Table8[date],Table8[id_date])</f>
        <v>TGL0744</v>
      </c>
      <c r="C456" s="1">
        <v>45603</v>
      </c>
      <c r="D456" s="1" t="str">
        <f>_xlfn.XLOOKUP(Table1[[#This Row],[customer_name]],Table11[customer_name],Table11[id_cust])</f>
        <v>CNA0106</v>
      </c>
      <c r="E456" t="s">
        <v>1019</v>
      </c>
      <c r="F456">
        <v>30</v>
      </c>
      <c r="G456" t="str">
        <f>_xlfn.XLOOKUP(Table1[[#This Row],[branch_name]],Table3[branch_name],Table3[id_branch])</f>
        <v>BRCH004</v>
      </c>
      <c r="H456" t="s">
        <v>1216</v>
      </c>
      <c r="I456" t="str">
        <f>_xlfn.XLOOKUP(Table1[[#This Row],[city]],Table4[city],Table4[id_city])</f>
        <v>KOA0105</v>
      </c>
      <c r="J456" t="s">
        <v>1221</v>
      </c>
      <c r="K456" t="str">
        <f>_xlfn.XLOOKUP(Table1[[#This Row],[menu_name]],Table5[menu_name],Table5[id_menu])</f>
        <v>MENU002</v>
      </c>
      <c r="L456" t="s">
        <v>1224</v>
      </c>
      <c r="M456" t="str">
        <f>_xlfn.XLOOKUP(Table1[[#This Row],[category]],Table6[category],Table6[id_category])</f>
        <v>KTG0206</v>
      </c>
      <c r="N456" t="s">
        <v>1234</v>
      </c>
      <c r="O456">
        <v>4</v>
      </c>
      <c r="P456">
        <v>30000</v>
      </c>
      <c r="Q456">
        <v>0</v>
      </c>
      <c r="R456">
        <v>4</v>
      </c>
      <c r="S456" t="str">
        <f>_xlfn.XLOOKUP(Table1[[#This Row],[method]],Table7[method],Table7[id_method])</f>
        <v>PAY0709</v>
      </c>
      <c r="T456" t="s">
        <v>1236</v>
      </c>
      <c r="U456">
        <v>120000</v>
      </c>
    </row>
    <row r="457" spans="1:21" x14ac:dyDescent="0.25">
      <c r="A457" t="s">
        <v>469</v>
      </c>
      <c r="B457" t="str">
        <f>_xlfn.XLOOKUP(Table1[[#This Row],[date]],Table8[date],Table8[id_date])</f>
        <v>TGL0745</v>
      </c>
      <c r="C457" s="1">
        <v>45604</v>
      </c>
      <c r="D457" s="1" t="str">
        <f>_xlfn.XLOOKUP(Table1[[#This Row],[customer_name]],Table11[customer_name],Table11[id_cust])</f>
        <v>CNA0234</v>
      </c>
      <c r="E457" t="s">
        <v>1118</v>
      </c>
      <c r="F457">
        <v>37</v>
      </c>
      <c r="G457" t="str">
        <f>_xlfn.XLOOKUP(Table1[[#This Row],[branch_name]],Table3[branch_name],Table3[id_branch])</f>
        <v>BRCH003</v>
      </c>
      <c r="H457" t="s">
        <v>1215</v>
      </c>
      <c r="I457" t="str">
        <f>_xlfn.XLOOKUP(Table1[[#This Row],[city]],Table4[city],Table4[id_city])</f>
        <v>KOA0104</v>
      </c>
      <c r="J457" t="s">
        <v>1220</v>
      </c>
      <c r="K457" t="str">
        <f>_xlfn.XLOOKUP(Table1[[#This Row],[menu_name]],Table5[menu_name],Table5[id_menu])</f>
        <v>MENU004</v>
      </c>
      <c r="L457" t="s">
        <v>1226</v>
      </c>
      <c r="M457" t="str">
        <f>_xlfn.XLOOKUP(Table1[[#This Row],[category]],Table6[category],Table6[id_category])</f>
        <v>KTG0207</v>
      </c>
      <c r="N457" t="s">
        <v>1235</v>
      </c>
      <c r="O457">
        <v>1</v>
      </c>
      <c r="P457">
        <v>28000</v>
      </c>
      <c r="Q457">
        <v>0</v>
      </c>
      <c r="R457">
        <v>4</v>
      </c>
      <c r="S457" t="str">
        <f>_xlfn.XLOOKUP(Table1[[#This Row],[method]],Table7[method],Table7[id_method])</f>
        <v>PAY0709</v>
      </c>
      <c r="T457" t="s">
        <v>1236</v>
      </c>
      <c r="U457">
        <v>28000</v>
      </c>
    </row>
    <row r="458" spans="1:21" x14ac:dyDescent="0.25">
      <c r="A458" t="s">
        <v>470</v>
      </c>
      <c r="B458" t="str">
        <f>_xlfn.XLOOKUP(Table1[[#This Row],[date]],Table8[date],Table8[id_date])</f>
        <v>TGL0745</v>
      </c>
      <c r="C458" s="1">
        <v>45604</v>
      </c>
      <c r="D458" s="1" t="str">
        <f>_xlfn.XLOOKUP(Table1[[#This Row],[customer_name]],Table11[customer_name],Table11[id_cust])</f>
        <v>CNA0287</v>
      </c>
      <c r="E458" t="s">
        <v>1142</v>
      </c>
      <c r="F458">
        <v>31</v>
      </c>
      <c r="G458" t="str">
        <f>_xlfn.XLOOKUP(Table1[[#This Row],[branch_name]],Table3[branch_name],Table3[id_branch])</f>
        <v>BRCH001</v>
      </c>
      <c r="H458" t="s">
        <v>1213</v>
      </c>
      <c r="I458" t="str">
        <f>_xlfn.XLOOKUP(Table1[[#This Row],[city]],Table4[city],Table4[id_city])</f>
        <v>KOA0102</v>
      </c>
      <c r="J458" t="s">
        <v>1218</v>
      </c>
      <c r="K458" t="str">
        <f>_xlfn.XLOOKUP(Table1[[#This Row],[menu_name]],Table5[menu_name],Table5[id_menu])</f>
        <v>MENU010</v>
      </c>
      <c r="L458" t="s">
        <v>1232</v>
      </c>
      <c r="M458" t="str">
        <f>_xlfn.XLOOKUP(Table1[[#This Row],[category]],Table6[category],Table6[id_category])</f>
        <v>KTG0205</v>
      </c>
      <c r="N458" t="s">
        <v>1233</v>
      </c>
      <c r="O458">
        <v>2</v>
      </c>
      <c r="P458">
        <v>18000</v>
      </c>
      <c r="Q458">
        <v>15</v>
      </c>
      <c r="R458">
        <v>3.8</v>
      </c>
      <c r="S458" t="str">
        <f>_xlfn.XLOOKUP(Table1[[#This Row],[method]],Table7[method],Table7[id_method])</f>
        <v>PAY0709</v>
      </c>
      <c r="T458" t="s">
        <v>1236</v>
      </c>
      <c r="U458">
        <v>30600</v>
      </c>
    </row>
    <row r="459" spans="1:21" x14ac:dyDescent="0.25">
      <c r="A459" t="s">
        <v>471</v>
      </c>
      <c r="B459" t="str">
        <f>_xlfn.XLOOKUP(Table1[[#This Row],[date]],Table8[date],Table8[id_date])</f>
        <v>TGL0746</v>
      </c>
      <c r="C459" s="1">
        <v>45605</v>
      </c>
      <c r="D459" s="1" t="str">
        <f>_xlfn.XLOOKUP(Table1[[#This Row],[customer_name]],Table11[customer_name],Table11[id_cust])</f>
        <v>CNA0558</v>
      </c>
      <c r="E459" t="s">
        <v>1191</v>
      </c>
      <c r="F459">
        <v>27</v>
      </c>
      <c r="G459" t="str">
        <f>_xlfn.XLOOKUP(Table1[[#This Row],[branch_name]],Table3[branch_name],Table3[id_branch])</f>
        <v>BRCH005</v>
      </c>
      <c r="H459" t="s">
        <v>1217</v>
      </c>
      <c r="I459" t="str">
        <f>_xlfn.XLOOKUP(Table1[[#This Row],[city]],Table4[city],Table4[id_city])</f>
        <v>KOA0106</v>
      </c>
      <c r="J459" t="s">
        <v>1222</v>
      </c>
      <c r="K459" t="str">
        <f>_xlfn.XLOOKUP(Table1[[#This Row],[menu_name]],Table5[menu_name],Table5[id_menu])</f>
        <v>MENU001</v>
      </c>
      <c r="L459" t="s">
        <v>1223</v>
      </c>
      <c r="M459" t="str">
        <f>_xlfn.XLOOKUP(Table1[[#This Row],[category]],Table6[category],Table6[id_category])</f>
        <v>KTG0205</v>
      </c>
      <c r="N459" t="s">
        <v>1233</v>
      </c>
      <c r="O459">
        <v>4</v>
      </c>
      <c r="P459">
        <v>25000</v>
      </c>
      <c r="Q459">
        <v>20</v>
      </c>
      <c r="R459">
        <v>1.7</v>
      </c>
      <c r="S459" t="str">
        <f>_xlfn.XLOOKUP(Table1[[#This Row],[method]],Table7[method],Table7[id_method])</f>
        <v>PAY0710</v>
      </c>
      <c r="T459" t="s">
        <v>1237</v>
      </c>
      <c r="U459">
        <v>80000</v>
      </c>
    </row>
    <row r="460" spans="1:21" x14ac:dyDescent="0.25">
      <c r="A460" t="s">
        <v>472</v>
      </c>
      <c r="B460" t="str">
        <f>_xlfn.XLOOKUP(Table1[[#This Row],[date]],Table8[date],Table8[id_date])</f>
        <v>TGL0747</v>
      </c>
      <c r="C460" s="1">
        <v>45606</v>
      </c>
      <c r="D460" s="1" t="str">
        <f>_xlfn.XLOOKUP(Table1[[#This Row],[customer_name]],Table11[customer_name],Table11[id_cust])</f>
        <v>CNA0323</v>
      </c>
      <c r="E460" t="s">
        <v>1159</v>
      </c>
      <c r="F460">
        <v>18</v>
      </c>
      <c r="G460" t="str">
        <f>_xlfn.XLOOKUP(Table1[[#This Row],[branch_name]],Table3[branch_name],Table3[id_branch])</f>
        <v>BRCH002</v>
      </c>
      <c r="H460" t="s">
        <v>1214</v>
      </c>
      <c r="I460" t="str">
        <f>_xlfn.XLOOKUP(Table1[[#This Row],[city]],Table4[city],Table4[id_city])</f>
        <v>KOA0103</v>
      </c>
      <c r="J460" t="s">
        <v>1219</v>
      </c>
      <c r="K460" t="str">
        <f>_xlfn.XLOOKUP(Table1[[#This Row],[menu_name]],Table5[menu_name],Table5[id_menu])</f>
        <v>MENU004</v>
      </c>
      <c r="L460" t="s">
        <v>1226</v>
      </c>
      <c r="M460" t="str">
        <f>_xlfn.XLOOKUP(Table1[[#This Row],[category]],Table6[category],Table6[id_category])</f>
        <v>KTG0207</v>
      </c>
      <c r="N460" t="s">
        <v>1235</v>
      </c>
      <c r="O460">
        <v>1</v>
      </c>
      <c r="P460">
        <v>28000</v>
      </c>
      <c r="Q460">
        <v>10</v>
      </c>
      <c r="R460">
        <v>5</v>
      </c>
      <c r="S460" t="str">
        <f>_xlfn.XLOOKUP(Table1[[#This Row],[method]],Table7[method],Table7[id_method])</f>
        <v>PAY0710</v>
      </c>
      <c r="T460" t="s">
        <v>1237</v>
      </c>
      <c r="U460">
        <v>25200</v>
      </c>
    </row>
    <row r="461" spans="1:21" x14ac:dyDescent="0.25">
      <c r="A461" t="s">
        <v>473</v>
      </c>
      <c r="B461" t="str">
        <f>_xlfn.XLOOKUP(Table1[[#This Row],[date]],Table8[date],Table8[id_date])</f>
        <v>TGL0748</v>
      </c>
      <c r="C461" s="1">
        <v>45607</v>
      </c>
      <c r="D461" s="1" t="str">
        <f>_xlfn.XLOOKUP(Table1[[#This Row],[customer_name]],Table11[customer_name],Table11[id_cust])</f>
        <v>CNA0560</v>
      </c>
      <c r="E461" t="s">
        <v>1192</v>
      </c>
      <c r="F461">
        <v>41</v>
      </c>
      <c r="G461" t="str">
        <f>_xlfn.XLOOKUP(Table1[[#This Row],[branch_name]],Table3[branch_name],Table3[id_branch])</f>
        <v>BRCH001</v>
      </c>
      <c r="H461" t="s">
        <v>1213</v>
      </c>
      <c r="I461" t="str">
        <f>_xlfn.XLOOKUP(Table1[[#This Row],[city]],Table4[city],Table4[id_city])</f>
        <v>KOA0102</v>
      </c>
      <c r="J461" t="s">
        <v>1218</v>
      </c>
      <c r="K461" t="str">
        <f>_xlfn.XLOOKUP(Table1[[#This Row],[menu_name]],Table5[menu_name],Table5[id_menu])</f>
        <v>MENU006</v>
      </c>
      <c r="L461" t="s">
        <v>1228</v>
      </c>
      <c r="M461" t="str">
        <f>_xlfn.XLOOKUP(Table1[[#This Row],[category]],Table6[category],Table6[id_category])</f>
        <v>KTG0206</v>
      </c>
      <c r="N461" t="s">
        <v>1234</v>
      </c>
      <c r="O461">
        <v>1</v>
      </c>
      <c r="P461">
        <v>32000</v>
      </c>
      <c r="Q461">
        <v>5</v>
      </c>
      <c r="R461">
        <v>4</v>
      </c>
      <c r="S461" t="str">
        <f>_xlfn.XLOOKUP(Table1[[#This Row],[method]],Table7[method],Table7[id_method])</f>
        <v>PAY0709</v>
      </c>
      <c r="T461" t="s">
        <v>1236</v>
      </c>
      <c r="U461">
        <v>30400</v>
      </c>
    </row>
    <row r="462" spans="1:21" x14ac:dyDescent="0.25">
      <c r="A462" t="s">
        <v>474</v>
      </c>
      <c r="B462" t="str">
        <f>_xlfn.XLOOKUP(Table1[[#This Row],[date]],Table8[date],Table8[id_date])</f>
        <v>TGL0749</v>
      </c>
      <c r="C462" s="1">
        <v>45609</v>
      </c>
      <c r="D462" s="1" t="str">
        <f>_xlfn.XLOOKUP(Table1[[#This Row],[customer_name]],Table11[customer_name],Table11[id_cust])</f>
        <v>CNA0453</v>
      </c>
      <c r="E462" t="s">
        <v>1181</v>
      </c>
      <c r="F462">
        <v>44</v>
      </c>
      <c r="G462" t="str">
        <f>_xlfn.XLOOKUP(Table1[[#This Row],[branch_name]],Table3[branch_name],Table3[id_branch])</f>
        <v>BRCH005</v>
      </c>
      <c r="H462" t="s">
        <v>1217</v>
      </c>
      <c r="I462" t="str">
        <f>_xlfn.XLOOKUP(Table1[[#This Row],[city]],Table4[city],Table4[id_city])</f>
        <v>KOA0106</v>
      </c>
      <c r="J462" t="s">
        <v>1222</v>
      </c>
      <c r="K462" t="str">
        <f>_xlfn.XLOOKUP(Table1[[#This Row],[menu_name]],Table5[menu_name],Table5[id_menu])</f>
        <v>MENU003</v>
      </c>
      <c r="L462" t="s">
        <v>1225</v>
      </c>
      <c r="M462" t="str">
        <f>_xlfn.XLOOKUP(Table1[[#This Row],[category]],Table6[category],Table6[id_category])</f>
        <v>KTG0205</v>
      </c>
      <c r="N462" t="s">
        <v>1233</v>
      </c>
      <c r="O462">
        <v>2</v>
      </c>
      <c r="P462">
        <v>22000</v>
      </c>
      <c r="Q462">
        <v>0</v>
      </c>
      <c r="R462">
        <v>2.9</v>
      </c>
      <c r="S462" t="str">
        <f>_xlfn.XLOOKUP(Table1[[#This Row],[method]],Table7[method],Table7[id_method])</f>
        <v>PAY0712</v>
      </c>
      <c r="T462" t="s">
        <v>1239</v>
      </c>
      <c r="U462">
        <v>44000</v>
      </c>
    </row>
    <row r="463" spans="1:21" x14ac:dyDescent="0.25">
      <c r="A463" t="s">
        <v>475</v>
      </c>
      <c r="B463" t="str">
        <f>_xlfn.XLOOKUP(Table1[[#This Row],[date]],Table8[date],Table8[id_date])</f>
        <v>TGL0749</v>
      </c>
      <c r="C463" s="1">
        <v>45609</v>
      </c>
      <c r="D463" s="1" t="str">
        <f>_xlfn.XLOOKUP(Table1[[#This Row],[customer_name]],Table11[customer_name],Table11[id_cust])</f>
        <v>CNA0342</v>
      </c>
      <c r="E463" t="s">
        <v>1162</v>
      </c>
      <c r="F463">
        <v>35</v>
      </c>
      <c r="G463" t="str">
        <f>_xlfn.XLOOKUP(Table1[[#This Row],[branch_name]],Table3[branch_name],Table3[id_branch])</f>
        <v>BRCH005</v>
      </c>
      <c r="H463" t="s">
        <v>1217</v>
      </c>
      <c r="I463" t="str">
        <f>_xlfn.XLOOKUP(Table1[[#This Row],[city]],Table4[city],Table4[id_city])</f>
        <v>KOA0106</v>
      </c>
      <c r="J463" t="s">
        <v>1222</v>
      </c>
      <c r="K463" t="str">
        <f>_xlfn.XLOOKUP(Table1[[#This Row],[menu_name]],Table5[menu_name],Table5[id_menu])</f>
        <v>MENU006</v>
      </c>
      <c r="L463" t="s">
        <v>1228</v>
      </c>
      <c r="M463" t="str">
        <f>_xlfn.XLOOKUP(Table1[[#This Row],[category]],Table6[category],Table6[id_category])</f>
        <v>KTG0206</v>
      </c>
      <c r="N463" t="s">
        <v>1234</v>
      </c>
      <c r="O463">
        <v>4</v>
      </c>
      <c r="P463">
        <v>32000</v>
      </c>
      <c r="Q463">
        <v>10</v>
      </c>
      <c r="R463">
        <v>1.4</v>
      </c>
      <c r="S463" t="str">
        <f>_xlfn.XLOOKUP(Table1[[#This Row],[method]],Table7[method],Table7[id_method])</f>
        <v>PAY0712</v>
      </c>
      <c r="T463" t="s">
        <v>1239</v>
      </c>
      <c r="U463">
        <v>115200</v>
      </c>
    </row>
    <row r="464" spans="1:21" x14ac:dyDescent="0.25">
      <c r="A464" t="s">
        <v>476</v>
      </c>
      <c r="B464" t="str">
        <f>_xlfn.XLOOKUP(Table1[[#This Row],[date]],Table8[date],Table8[id_date])</f>
        <v>TGL0750</v>
      </c>
      <c r="C464" s="1">
        <v>45610</v>
      </c>
      <c r="D464" s="1" t="str">
        <f>_xlfn.XLOOKUP(Table1[[#This Row],[customer_name]],Table11[customer_name],Table11[id_cust])</f>
        <v>CNA0184</v>
      </c>
      <c r="E464" t="s">
        <v>1086</v>
      </c>
      <c r="F464">
        <v>24</v>
      </c>
      <c r="G464" t="str">
        <f>_xlfn.XLOOKUP(Table1[[#This Row],[branch_name]],Table3[branch_name],Table3[id_branch])</f>
        <v>BRCH002</v>
      </c>
      <c r="H464" t="s">
        <v>1214</v>
      </c>
      <c r="I464" t="str">
        <f>_xlfn.XLOOKUP(Table1[[#This Row],[city]],Table4[city],Table4[id_city])</f>
        <v>KOA0103</v>
      </c>
      <c r="J464" t="s">
        <v>1219</v>
      </c>
      <c r="K464" t="str">
        <f>_xlfn.XLOOKUP(Table1[[#This Row],[menu_name]],Table5[menu_name],Table5[id_menu])</f>
        <v>MENU003</v>
      </c>
      <c r="L464" t="s">
        <v>1225</v>
      </c>
      <c r="M464" t="str">
        <f>_xlfn.XLOOKUP(Table1[[#This Row],[category]],Table6[category],Table6[id_category])</f>
        <v>KTG0205</v>
      </c>
      <c r="N464" t="s">
        <v>1233</v>
      </c>
      <c r="O464">
        <v>4</v>
      </c>
      <c r="P464">
        <v>22000</v>
      </c>
      <c r="Q464">
        <v>15</v>
      </c>
      <c r="R464">
        <v>3.1</v>
      </c>
      <c r="S464" t="str">
        <f>_xlfn.XLOOKUP(Table1[[#This Row],[method]],Table7[method],Table7[id_method])</f>
        <v>PAY0709</v>
      </c>
      <c r="T464" t="s">
        <v>1236</v>
      </c>
      <c r="U464">
        <v>74800</v>
      </c>
    </row>
    <row r="465" spans="1:21" x14ac:dyDescent="0.25">
      <c r="A465" t="s">
        <v>477</v>
      </c>
      <c r="B465" t="str">
        <f>_xlfn.XLOOKUP(Table1[[#This Row],[date]],Table8[date],Table8[id_date])</f>
        <v>TGL0751</v>
      </c>
      <c r="C465" s="1">
        <v>45611</v>
      </c>
      <c r="D465" s="1" t="str">
        <f>_xlfn.XLOOKUP(Table1[[#This Row],[customer_name]],Table11[customer_name],Table11[id_cust])</f>
        <v>CNA0240</v>
      </c>
      <c r="E465" t="s">
        <v>1122</v>
      </c>
      <c r="F465">
        <v>47</v>
      </c>
      <c r="G465" t="str">
        <f>_xlfn.XLOOKUP(Table1[[#This Row],[branch_name]],Table3[branch_name],Table3[id_branch])</f>
        <v>BRCH001</v>
      </c>
      <c r="H465" t="s">
        <v>1213</v>
      </c>
      <c r="I465" t="str">
        <f>_xlfn.XLOOKUP(Table1[[#This Row],[city]],Table4[city],Table4[id_city])</f>
        <v>KOA0102</v>
      </c>
      <c r="J465" t="s">
        <v>1218</v>
      </c>
      <c r="K465" t="str">
        <f>_xlfn.XLOOKUP(Table1[[#This Row],[menu_name]],Table5[menu_name],Table5[id_menu])</f>
        <v>MENU002</v>
      </c>
      <c r="L465" t="s">
        <v>1224</v>
      </c>
      <c r="M465" t="str">
        <f>_xlfn.XLOOKUP(Table1[[#This Row],[category]],Table6[category],Table6[id_category])</f>
        <v>KTG0206</v>
      </c>
      <c r="N465" t="s">
        <v>1234</v>
      </c>
      <c r="O465">
        <v>5</v>
      </c>
      <c r="P465">
        <v>30000</v>
      </c>
      <c r="Q465">
        <v>15</v>
      </c>
      <c r="R465">
        <v>3.2</v>
      </c>
      <c r="S465" t="str">
        <f>_xlfn.XLOOKUP(Table1[[#This Row],[method]],Table7[method],Table7[id_method])</f>
        <v>PAY0711</v>
      </c>
      <c r="T465" t="s">
        <v>1238</v>
      </c>
      <c r="U465">
        <v>127500</v>
      </c>
    </row>
    <row r="466" spans="1:21" x14ac:dyDescent="0.25">
      <c r="A466" t="s">
        <v>478</v>
      </c>
      <c r="B466" t="str">
        <f>_xlfn.XLOOKUP(Table1[[#This Row],[date]],Table8[date],Table8[id_date])</f>
        <v>TGL0751</v>
      </c>
      <c r="C466" s="1">
        <v>45611</v>
      </c>
      <c r="D466" s="1" t="str">
        <f>_xlfn.XLOOKUP(Table1[[#This Row],[customer_name]],Table11[customer_name],Table11[id_cust])</f>
        <v>CNA0292</v>
      </c>
      <c r="E466" t="s">
        <v>1146</v>
      </c>
      <c r="F466">
        <v>18</v>
      </c>
      <c r="G466" t="str">
        <f>_xlfn.XLOOKUP(Table1[[#This Row],[branch_name]],Table3[branch_name],Table3[id_branch])</f>
        <v>BRCH004</v>
      </c>
      <c r="H466" t="s">
        <v>1216</v>
      </c>
      <c r="I466" t="str">
        <f>_xlfn.XLOOKUP(Table1[[#This Row],[city]],Table4[city],Table4[id_city])</f>
        <v>KOA0105</v>
      </c>
      <c r="J466" t="s">
        <v>1221</v>
      </c>
      <c r="K466" t="str">
        <f>_xlfn.XLOOKUP(Table1[[#This Row],[menu_name]],Table5[menu_name],Table5[id_menu])</f>
        <v>MENU006</v>
      </c>
      <c r="L466" t="s">
        <v>1228</v>
      </c>
      <c r="M466" t="str">
        <f>_xlfn.XLOOKUP(Table1[[#This Row],[category]],Table6[category],Table6[id_category])</f>
        <v>KTG0206</v>
      </c>
      <c r="N466" t="s">
        <v>1234</v>
      </c>
      <c r="O466">
        <v>5</v>
      </c>
      <c r="P466">
        <v>32000</v>
      </c>
      <c r="Q466">
        <v>0</v>
      </c>
      <c r="R466">
        <v>1</v>
      </c>
      <c r="S466" t="str">
        <f>_xlfn.XLOOKUP(Table1[[#This Row],[method]],Table7[method],Table7[id_method])</f>
        <v>PAY0712</v>
      </c>
      <c r="T466" t="s">
        <v>1239</v>
      </c>
      <c r="U466">
        <v>160000</v>
      </c>
    </row>
    <row r="467" spans="1:21" x14ac:dyDescent="0.25">
      <c r="A467" t="s">
        <v>479</v>
      </c>
      <c r="B467" t="str">
        <f>_xlfn.XLOOKUP(Table1[[#This Row],[date]],Table8[date],Table8[id_date])</f>
        <v>TGL0751</v>
      </c>
      <c r="C467" s="1">
        <v>45611</v>
      </c>
      <c r="D467" s="1" t="str">
        <f>_xlfn.XLOOKUP(Table1[[#This Row],[customer_name]],Table11[customer_name],Table11[id_cust])</f>
        <v>CNA0236</v>
      </c>
      <c r="E467" t="s">
        <v>1120</v>
      </c>
      <c r="F467">
        <v>20</v>
      </c>
      <c r="G467" t="str">
        <f>_xlfn.XLOOKUP(Table1[[#This Row],[branch_name]],Table3[branch_name],Table3[id_branch])</f>
        <v>BRCH003</v>
      </c>
      <c r="H467" t="s">
        <v>1215</v>
      </c>
      <c r="I467" t="str">
        <f>_xlfn.XLOOKUP(Table1[[#This Row],[city]],Table4[city],Table4[id_city])</f>
        <v>KOA0104</v>
      </c>
      <c r="J467" t="s">
        <v>1220</v>
      </c>
      <c r="K467" t="str">
        <f>_xlfn.XLOOKUP(Table1[[#This Row],[menu_name]],Table5[menu_name],Table5[id_menu])</f>
        <v>MENU005</v>
      </c>
      <c r="L467" t="s">
        <v>1227</v>
      </c>
      <c r="M467" t="str">
        <f>_xlfn.XLOOKUP(Table1[[#This Row],[category]],Table6[category],Table6[id_category])</f>
        <v>KTG0206</v>
      </c>
      <c r="N467" t="s">
        <v>1234</v>
      </c>
      <c r="O467">
        <v>3</v>
      </c>
      <c r="P467">
        <v>23000</v>
      </c>
      <c r="Q467">
        <v>0</v>
      </c>
      <c r="R467">
        <v>2.5</v>
      </c>
      <c r="S467" t="str">
        <f>_xlfn.XLOOKUP(Table1[[#This Row],[method]],Table7[method],Table7[id_method])</f>
        <v>PAY0712</v>
      </c>
      <c r="T467" t="s">
        <v>1239</v>
      </c>
      <c r="U467">
        <v>69000</v>
      </c>
    </row>
    <row r="468" spans="1:21" x14ac:dyDescent="0.25">
      <c r="A468" t="s">
        <v>480</v>
      </c>
      <c r="B468" t="str">
        <f>_xlfn.XLOOKUP(Table1[[#This Row],[date]],Table8[date],Table8[id_date])</f>
        <v>TGL0752</v>
      </c>
      <c r="C468" s="1">
        <v>45612</v>
      </c>
      <c r="D468" s="1" t="str">
        <f>_xlfn.XLOOKUP(Table1[[#This Row],[customer_name]],Table11[customer_name],Table11[id_cust])</f>
        <v>CNA0325</v>
      </c>
      <c r="E468" t="s">
        <v>1160</v>
      </c>
      <c r="F468">
        <v>45</v>
      </c>
      <c r="G468" t="str">
        <f>_xlfn.XLOOKUP(Table1[[#This Row],[branch_name]],Table3[branch_name],Table3[id_branch])</f>
        <v>BRCH005</v>
      </c>
      <c r="H468" t="s">
        <v>1217</v>
      </c>
      <c r="I468" t="str">
        <f>_xlfn.XLOOKUP(Table1[[#This Row],[city]],Table4[city],Table4[id_city])</f>
        <v>KOA0106</v>
      </c>
      <c r="J468" t="s">
        <v>1222</v>
      </c>
      <c r="K468" t="str">
        <f>_xlfn.XLOOKUP(Table1[[#This Row],[menu_name]],Table5[menu_name],Table5[id_menu])</f>
        <v>MENU005</v>
      </c>
      <c r="L468" t="s">
        <v>1227</v>
      </c>
      <c r="M468" t="str">
        <f>_xlfn.XLOOKUP(Table1[[#This Row],[category]],Table6[category],Table6[id_category])</f>
        <v>KTG0206</v>
      </c>
      <c r="N468" t="s">
        <v>1234</v>
      </c>
      <c r="O468">
        <v>5</v>
      </c>
      <c r="P468">
        <v>23000</v>
      </c>
      <c r="Q468">
        <v>15</v>
      </c>
      <c r="R468">
        <v>1.8</v>
      </c>
      <c r="S468" t="str">
        <f>_xlfn.XLOOKUP(Table1[[#This Row],[method]],Table7[method],Table7[id_method])</f>
        <v>PAY0710</v>
      </c>
      <c r="T468" t="s">
        <v>1237</v>
      </c>
      <c r="U468">
        <v>97750</v>
      </c>
    </row>
    <row r="469" spans="1:21" x14ac:dyDescent="0.25">
      <c r="A469" t="s">
        <v>481</v>
      </c>
      <c r="B469" t="str">
        <f>_xlfn.XLOOKUP(Table1[[#This Row],[date]],Table8[date],Table8[id_date])</f>
        <v>TGL0752</v>
      </c>
      <c r="C469" s="1">
        <v>45612</v>
      </c>
      <c r="D469" s="1" t="str">
        <f>_xlfn.XLOOKUP(Table1[[#This Row],[customer_name]],Table11[customer_name],Table11[id_cust])</f>
        <v>CNA0315</v>
      </c>
      <c r="E469" t="s">
        <v>1155</v>
      </c>
      <c r="F469">
        <v>51</v>
      </c>
      <c r="G469" t="str">
        <f>_xlfn.XLOOKUP(Table1[[#This Row],[branch_name]],Table3[branch_name],Table3[id_branch])</f>
        <v>BRCH005</v>
      </c>
      <c r="H469" t="s">
        <v>1217</v>
      </c>
      <c r="I469" t="str">
        <f>_xlfn.XLOOKUP(Table1[[#This Row],[city]],Table4[city],Table4[id_city])</f>
        <v>KOA0106</v>
      </c>
      <c r="J469" t="s">
        <v>1222</v>
      </c>
      <c r="K469" t="str">
        <f>_xlfn.XLOOKUP(Table1[[#This Row],[menu_name]],Table5[menu_name],Table5[id_menu])</f>
        <v>MENU008</v>
      </c>
      <c r="L469" t="s">
        <v>1230</v>
      </c>
      <c r="M469" t="str">
        <f>_xlfn.XLOOKUP(Table1[[#This Row],[category]],Table6[category],Table6[id_category])</f>
        <v>KTG0205</v>
      </c>
      <c r="N469" t="s">
        <v>1233</v>
      </c>
      <c r="O469">
        <v>4</v>
      </c>
      <c r="P469">
        <v>20000</v>
      </c>
      <c r="Q469">
        <v>15</v>
      </c>
      <c r="R469">
        <v>2.6</v>
      </c>
      <c r="S469" t="str">
        <f>_xlfn.XLOOKUP(Table1[[#This Row],[method]],Table7[method],Table7[id_method])</f>
        <v>PAY0712</v>
      </c>
      <c r="T469" t="s">
        <v>1239</v>
      </c>
      <c r="U469">
        <v>68000</v>
      </c>
    </row>
    <row r="470" spans="1:21" x14ac:dyDescent="0.25">
      <c r="A470" t="s">
        <v>482</v>
      </c>
      <c r="B470" t="str">
        <f>_xlfn.XLOOKUP(Table1[[#This Row],[date]],Table8[date],Table8[id_date])</f>
        <v>TGL0753</v>
      </c>
      <c r="C470" s="1">
        <v>45613</v>
      </c>
      <c r="D470" s="1" t="str">
        <f>_xlfn.XLOOKUP(Table1[[#This Row],[customer_name]],Table11[customer_name],Table11[id_cust])</f>
        <v>CNA0134</v>
      </c>
      <c r="E470" t="s">
        <v>1046</v>
      </c>
      <c r="F470">
        <v>54</v>
      </c>
      <c r="G470" t="str">
        <f>_xlfn.XLOOKUP(Table1[[#This Row],[branch_name]],Table3[branch_name],Table3[id_branch])</f>
        <v>BRCH003</v>
      </c>
      <c r="H470" t="s">
        <v>1215</v>
      </c>
      <c r="I470" t="str">
        <f>_xlfn.XLOOKUP(Table1[[#This Row],[city]],Table4[city],Table4[id_city])</f>
        <v>KOA0104</v>
      </c>
      <c r="J470" t="s">
        <v>1220</v>
      </c>
      <c r="K470" t="str">
        <f>_xlfn.XLOOKUP(Table1[[#This Row],[menu_name]],Table5[menu_name],Table5[id_menu])</f>
        <v>MENU006</v>
      </c>
      <c r="L470" t="s">
        <v>1228</v>
      </c>
      <c r="M470" t="str">
        <f>_xlfn.XLOOKUP(Table1[[#This Row],[category]],Table6[category],Table6[id_category])</f>
        <v>KTG0206</v>
      </c>
      <c r="N470" t="s">
        <v>1234</v>
      </c>
      <c r="O470">
        <v>2</v>
      </c>
      <c r="P470">
        <v>32000</v>
      </c>
      <c r="Q470">
        <v>0</v>
      </c>
      <c r="R470">
        <v>3.7</v>
      </c>
      <c r="S470" t="str">
        <f>_xlfn.XLOOKUP(Table1[[#This Row],[method]],Table7[method],Table7[id_method])</f>
        <v>PAY0712</v>
      </c>
      <c r="T470" t="s">
        <v>1239</v>
      </c>
      <c r="U470">
        <v>64000</v>
      </c>
    </row>
    <row r="471" spans="1:21" x14ac:dyDescent="0.25">
      <c r="A471" t="s">
        <v>483</v>
      </c>
      <c r="B471" t="str">
        <f>_xlfn.XLOOKUP(Table1[[#This Row],[date]],Table8[date],Table8[id_date])</f>
        <v>TGL0754</v>
      </c>
      <c r="C471" s="1">
        <v>45614</v>
      </c>
      <c r="D471" s="1" t="str">
        <f>_xlfn.XLOOKUP(Table1[[#This Row],[customer_name]],Table11[customer_name],Table11[id_cust])</f>
        <v>CNA0222</v>
      </c>
      <c r="E471" t="s">
        <v>1109</v>
      </c>
      <c r="F471">
        <v>34</v>
      </c>
      <c r="G471" t="str">
        <f>_xlfn.XLOOKUP(Table1[[#This Row],[branch_name]],Table3[branch_name],Table3[id_branch])</f>
        <v>BRCH001</v>
      </c>
      <c r="H471" t="s">
        <v>1213</v>
      </c>
      <c r="I471" t="str">
        <f>_xlfn.XLOOKUP(Table1[[#This Row],[city]],Table4[city],Table4[id_city])</f>
        <v>KOA0102</v>
      </c>
      <c r="J471" t="s">
        <v>1218</v>
      </c>
      <c r="K471" t="str">
        <f>_xlfn.XLOOKUP(Table1[[#This Row],[menu_name]],Table5[menu_name],Table5[id_menu])</f>
        <v>MENU003</v>
      </c>
      <c r="L471" t="s">
        <v>1225</v>
      </c>
      <c r="M471" t="str">
        <f>_xlfn.XLOOKUP(Table1[[#This Row],[category]],Table6[category],Table6[id_category])</f>
        <v>KTG0205</v>
      </c>
      <c r="N471" t="s">
        <v>1233</v>
      </c>
      <c r="O471">
        <v>1</v>
      </c>
      <c r="P471">
        <v>22000</v>
      </c>
      <c r="Q471">
        <v>15</v>
      </c>
      <c r="R471">
        <v>2</v>
      </c>
      <c r="S471" t="str">
        <f>_xlfn.XLOOKUP(Table1[[#This Row],[method]],Table7[method],Table7[id_method])</f>
        <v>PAY0710</v>
      </c>
      <c r="T471" t="s">
        <v>1237</v>
      </c>
      <c r="U471">
        <v>18700</v>
      </c>
    </row>
    <row r="472" spans="1:21" x14ac:dyDescent="0.25">
      <c r="A472" t="s">
        <v>484</v>
      </c>
      <c r="B472" t="str">
        <f>_xlfn.XLOOKUP(Table1[[#This Row],[date]],Table8[date],Table8[id_date])</f>
        <v>TGL0754</v>
      </c>
      <c r="C472" s="1">
        <v>45614</v>
      </c>
      <c r="D472" s="1" t="str">
        <f>_xlfn.XLOOKUP(Table1[[#This Row],[customer_name]],Table11[customer_name],Table11[id_cust])</f>
        <v>CNA0121</v>
      </c>
      <c r="E472" t="s">
        <v>1034</v>
      </c>
      <c r="F472">
        <v>25</v>
      </c>
      <c r="G472" t="str">
        <f>_xlfn.XLOOKUP(Table1[[#This Row],[branch_name]],Table3[branch_name],Table3[id_branch])</f>
        <v>BRCH002</v>
      </c>
      <c r="H472" t="s">
        <v>1214</v>
      </c>
      <c r="I472" t="str">
        <f>_xlfn.XLOOKUP(Table1[[#This Row],[city]],Table4[city],Table4[id_city])</f>
        <v>KOA0103</v>
      </c>
      <c r="J472" t="s">
        <v>1219</v>
      </c>
      <c r="K472" t="str">
        <f>_xlfn.XLOOKUP(Table1[[#This Row],[menu_name]],Table5[menu_name],Table5[id_menu])</f>
        <v>MENU001</v>
      </c>
      <c r="L472" t="s">
        <v>1223</v>
      </c>
      <c r="M472" t="str">
        <f>_xlfn.XLOOKUP(Table1[[#This Row],[category]],Table6[category],Table6[id_category])</f>
        <v>KTG0205</v>
      </c>
      <c r="N472" t="s">
        <v>1233</v>
      </c>
      <c r="O472">
        <v>2</v>
      </c>
      <c r="P472">
        <v>25000</v>
      </c>
      <c r="Q472">
        <v>10</v>
      </c>
      <c r="R472">
        <v>4.0999999999999996</v>
      </c>
      <c r="S472" t="str">
        <f>_xlfn.XLOOKUP(Table1[[#This Row],[method]],Table7[method],Table7[id_method])</f>
        <v>PAY0709</v>
      </c>
      <c r="T472" t="s">
        <v>1236</v>
      </c>
      <c r="U472">
        <v>45000</v>
      </c>
    </row>
    <row r="473" spans="1:21" x14ac:dyDescent="0.25">
      <c r="A473" t="s">
        <v>485</v>
      </c>
      <c r="B473" t="str">
        <f>_xlfn.XLOOKUP(Table1[[#This Row],[date]],Table8[date],Table8[id_date])</f>
        <v>TGL0755</v>
      </c>
      <c r="C473" s="1">
        <v>45615</v>
      </c>
      <c r="D473" s="1" t="str">
        <f>_xlfn.XLOOKUP(Table1[[#This Row],[customer_name]],Table11[customer_name],Table11[id_cust])</f>
        <v>CNA0318</v>
      </c>
      <c r="E473" t="s">
        <v>1157</v>
      </c>
      <c r="F473">
        <v>27</v>
      </c>
      <c r="G473" t="str">
        <f>_xlfn.XLOOKUP(Table1[[#This Row],[branch_name]],Table3[branch_name],Table3[id_branch])</f>
        <v>BRCH001</v>
      </c>
      <c r="H473" t="s">
        <v>1213</v>
      </c>
      <c r="I473" t="str">
        <f>_xlfn.XLOOKUP(Table1[[#This Row],[city]],Table4[city],Table4[id_city])</f>
        <v>KOA0102</v>
      </c>
      <c r="J473" t="s">
        <v>1218</v>
      </c>
      <c r="K473" t="str">
        <f>_xlfn.XLOOKUP(Table1[[#This Row],[menu_name]],Table5[menu_name],Table5[id_menu])</f>
        <v>MENU003</v>
      </c>
      <c r="L473" t="s">
        <v>1225</v>
      </c>
      <c r="M473" t="str">
        <f>_xlfn.XLOOKUP(Table1[[#This Row],[category]],Table6[category],Table6[id_category])</f>
        <v>KTG0205</v>
      </c>
      <c r="N473" t="s">
        <v>1233</v>
      </c>
      <c r="O473">
        <v>1</v>
      </c>
      <c r="P473">
        <v>22000</v>
      </c>
      <c r="Q473">
        <v>20</v>
      </c>
      <c r="R473">
        <v>1.4</v>
      </c>
      <c r="S473" t="str">
        <f>_xlfn.XLOOKUP(Table1[[#This Row],[method]],Table7[method],Table7[id_method])</f>
        <v>PAY0709</v>
      </c>
      <c r="T473" t="s">
        <v>1236</v>
      </c>
      <c r="U473">
        <v>17600</v>
      </c>
    </row>
    <row r="474" spans="1:21" x14ac:dyDescent="0.25">
      <c r="A474" t="s">
        <v>486</v>
      </c>
      <c r="B474" t="str">
        <f>_xlfn.XLOOKUP(Table1[[#This Row],[date]],Table8[date],Table8[id_date])</f>
        <v>TGL0755</v>
      </c>
      <c r="C474" s="1">
        <v>45615</v>
      </c>
      <c r="D474" s="1" t="str">
        <f>_xlfn.XLOOKUP(Table1[[#This Row],[customer_name]],Table11[customer_name],Table11[id_cust])</f>
        <v>CNA0225</v>
      </c>
      <c r="E474" t="s">
        <v>1112</v>
      </c>
      <c r="F474">
        <v>25</v>
      </c>
      <c r="G474" t="str">
        <f>_xlfn.XLOOKUP(Table1[[#This Row],[branch_name]],Table3[branch_name],Table3[id_branch])</f>
        <v>BRCH005</v>
      </c>
      <c r="H474" t="s">
        <v>1217</v>
      </c>
      <c r="I474" t="str">
        <f>_xlfn.XLOOKUP(Table1[[#This Row],[city]],Table4[city],Table4[id_city])</f>
        <v>KOA0106</v>
      </c>
      <c r="J474" t="s">
        <v>1222</v>
      </c>
      <c r="K474" t="str">
        <f>_xlfn.XLOOKUP(Table1[[#This Row],[menu_name]],Table5[menu_name],Table5[id_menu])</f>
        <v>MENU007</v>
      </c>
      <c r="L474" t="s">
        <v>1229</v>
      </c>
      <c r="M474" t="str">
        <f>_xlfn.XLOOKUP(Table1[[#This Row],[category]],Table6[category],Table6[id_category])</f>
        <v>KTG0207</v>
      </c>
      <c r="N474" t="s">
        <v>1235</v>
      </c>
      <c r="O474">
        <v>2</v>
      </c>
      <c r="P474">
        <v>27000</v>
      </c>
      <c r="Q474">
        <v>0</v>
      </c>
      <c r="R474">
        <v>4</v>
      </c>
      <c r="S474" t="str">
        <f>_xlfn.XLOOKUP(Table1[[#This Row],[method]],Table7[method],Table7[id_method])</f>
        <v>PAY0712</v>
      </c>
      <c r="T474" t="s">
        <v>1239</v>
      </c>
      <c r="U474">
        <v>54000</v>
      </c>
    </row>
    <row r="475" spans="1:21" x14ac:dyDescent="0.25">
      <c r="A475" t="s">
        <v>487</v>
      </c>
      <c r="B475" t="str">
        <f>_xlfn.XLOOKUP(Table1[[#This Row],[date]],Table8[date],Table8[id_date])</f>
        <v>TGL0756</v>
      </c>
      <c r="C475" s="1">
        <v>45616</v>
      </c>
      <c r="D475" s="1" t="str">
        <f>_xlfn.XLOOKUP(Table1[[#This Row],[customer_name]],Table11[customer_name],Table11[id_cust])</f>
        <v>CNA0180</v>
      </c>
      <c r="E475" t="s">
        <v>1083</v>
      </c>
      <c r="F475">
        <v>19</v>
      </c>
      <c r="G475" t="str">
        <f>_xlfn.XLOOKUP(Table1[[#This Row],[branch_name]],Table3[branch_name],Table3[id_branch])</f>
        <v>BRCH002</v>
      </c>
      <c r="H475" t="s">
        <v>1214</v>
      </c>
      <c r="I475" t="str">
        <f>_xlfn.XLOOKUP(Table1[[#This Row],[city]],Table4[city],Table4[id_city])</f>
        <v>KOA0103</v>
      </c>
      <c r="J475" t="s">
        <v>1219</v>
      </c>
      <c r="K475" t="str">
        <f>_xlfn.XLOOKUP(Table1[[#This Row],[menu_name]],Table5[menu_name],Table5[id_menu])</f>
        <v>MENU001</v>
      </c>
      <c r="L475" t="s">
        <v>1223</v>
      </c>
      <c r="M475" t="str">
        <f>_xlfn.XLOOKUP(Table1[[#This Row],[category]],Table6[category],Table6[id_category])</f>
        <v>KTG0205</v>
      </c>
      <c r="N475" t="s">
        <v>1233</v>
      </c>
      <c r="O475">
        <v>2</v>
      </c>
      <c r="P475">
        <v>25000</v>
      </c>
      <c r="Q475">
        <v>20</v>
      </c>
      <c r="R475">
        <v>2.6</v>
      </c>
      <c r="S475" t="str">
        <f>_xlfn.XLOOKUP(Table1[[#This Row],[method]],Table7[method],Table7[id_method])</f>
        <v>PAY0709</v>
      </c>
      <c r="T475" t="s">
        <v>1236</v>
      </c>
      <c r="U475">
        <v>40000</v>
      </c>
    </row>
    <row r="476" spans="1:21" x14ac:dyDescent="0.25">
      <c r="A476" t="s">
        <v>488</v>
      </c>
      <c r="B476" t="str">
        <f>_xlfn.XLOOKUP(Table1[[#This Row],[date]],Table8[date],Table8[id_date])</f>
        <v>TGL0757</v>
      </c>
      <c r="C476" s="1">
        <v>45617</v>
      </c>
      <c r="D476" s="1" t="str">
        <f>_xlfn.XLOOKUP(Table1[[#This Row],[customer_name]],Table11[customer_name],Table11[id_cust])</f>
        <v>CNA0185</v>
      </c>
      <c r="E476" t="s">
        <v>1087</v>
      </c>
      <c r="F476">
        <v>22</v>
      </c>
      <c r="G476" t="str">
        <f>_xlfn.XLOOKUP(Table1[[#This Row],[branch_name]],Table3[branch_name],Table3[id_branch])</f>
        <v>BRCH002</v>
      </c>
      <c r="H476" t="s">
        <v>1214</v>
      </c>
      <c r="I476" t="str">
        <f>_xlfn.XLOOKUP(Table1[[#This Row],[city]],Table4[city],Table4[id_city])</f>
        <v>KOA0103</v>
      </c>
      <c r="J476" t="s">
        <v>1219</v>
      </c>
      <c r="K476" t="str">
        <f>_xlfn.XLOOKUP(Table1[[#This Row],[menu_name]],Table5[menu_name],Table5[id_menu])</f>
        <v>MENU003</v>
      </c>
      <c r="L476" t="s">
        <v>1225</v>
      </c>
      <c r="M476" t="str">
        <f>_xlfn.XLOOKUP(Table1[[#This Row],[category]],Table6[category],Table6[id_category])</f>
        <v>KTG0205</v>
      </c>
      <c r="N476" t="s">
        <v>1233</v>
      </c>
      <c r="O476">
        <v>5</v>
      </c>
      <c r="P476">
        <v>22000</v>
      </c>
      <c r="Q476">
        <v>0</v>
      </c>
      <c r="R476">
        <v>1.9</v>
      </c>
      <c r="S476" t="str">
        <f>_xlfn.XLOOKUP(Table1[[#This Row],[method]],Table7[method],Table7[id_method])</f>
        <v>PAY0710</v>
      </c>
      <c r="T476" t="s">
        <v>1237</v>
      </c>
      <c r="U476">
        <v>110000</v>
      </c>
    </row>
    <row r="477" spans="1:21" x14ac:dyDescent="0.25">
      <c r="A477" t="s">
        <v>489</v>
      </c>
      <c r="B477" t="str">
        <f>_xlfn.XLOOKUP(Table1[[#This Row],[date]],Table8[date],Table8[id_date])</f>
        <v>TGL0758</v>
      </c>
      <c r="C477" s="1">
        <v>45618</v>
      </c>
      <c r="D477" s="1" t="str">
        <f>_xlfn.XLOOKUP(Table1[[#This Row],[customer_name]],Table11[customer_name],Table11[id_cust])</f>
        <v>CNA0177</v>
      </c>
      <c r="E477" t="s">
        <v>1082</v>
      </c>
      <c r="F477">
        <v>38</v>
      </c>
      <c r="G477" t="str">
        <f>_xlfn.XLOOKUP(Table1[[#This Row],[branch_name]],Table3[branch_name],Table3[id_branch])</f>
        <v>BRCH002</v>
      </c>
      <c r="H477" t="s">
        <v>1214</v>
      </c>
      <c r="I477" t="str">
        <f>_xlfn.XLOOKUP(Table1[[#This Row],[city]],Table4[city],Table4[id_city])</f>
        <v>KOA0103</v>
      </c>
      <c r="J477" t="s">
        <v>1219</v>
      </c>
      <c r="K477" t="str">
        <f>_xlfn.XLOOKUP(Table1[[#This Row],[menu_name]],Table5[menu_name],Table5[id_menu])</f>
        <v>MENU009</v>
      </c>
      <c r="L477" t="s">
        <v>1231</v>
      </c>
      <c r="M477" t="str">
        <f>_xlfn.XLOOKUP(Table1[[#This Row],[category]],Table6[category],Table6[id_category])</f>
        <v>KTG0206</v>
      </c>
      <c r="N477" t="s">
        <v>1234</v>
      </c>
      <c r="O477">
        <v>5</v>
      </c>
      <c r="P477">
        <v>18000</v>
      </c>
      <c r="Q477">
        <v>15</v>
      </c>
      <c r="R477">
        <v>3.5</v>
      </c>
      <c r="S477" t="str">
        <f>_xlfn.XLOOKUP(Table1[[#This Row],[method]],Table7[method],Table7[id_method])</f>
        <v>PAY0711</v>
      </c>
      <c r="T477" t="s">
        <v>1238</v>
      </c>
      <c r="U477">
        <v>76500</v>
      </c>
    </row>
    <row r="478" spans="1:21" x14ac:dyDescent="0.25">
      <c r="A478" t="s">
        <v>490</v>
      </c>
      <c r="B478" t="str">
        <f>_xlfn.XLOOKUP(Table1[[#This Row],[date]],Table8[date],Table8[id_date])</f>
        <v>TGL0758</v>
      </c>
      <c r="C478" s="1">
        <v>45618</v>
      </c>
      <c r="D478" s="1" t="str">
        <f>_xlfn.XLOOKUP(Table1[[#This Row],[customer_name]],Table11[customer_name],Table11[id_cust])</f>
        <v>CNA0323</v>
      </c>
      <c r="E478" t="s">
        <v>1159</v>
      </c>
      <c r="F478">
        <v>18</v>
      </c>
      <c r="G478" t="str">
        <f>_xlfn.XLOOKUP(Table1[[#This Row],[branch_name]],Table3[branch_name],Table3[id_branch])</f>
        <v>BRCH005</v>
      </c>
      <c r="H478" t="s">
        <v>1217</v>
      </c>
      <c r="I478" t="str">
        <f>_xlfn.XLOOKUP(Table1[[#This Row],[city]],Table4[city],Table4[id_city])</f>
        <v>KOA0106</v>
      </c>
      <c r="J478" t="s">
        <v>1222</v>
      </c>
      <c r="K478" t="str">
        <f>_xlfn.XLOOKUP(Table1[[#This Row],[menu_name]],Table5[menu_name],Table5[id_menu])</f>
        <v>MENU004</v>
      </c>
      <c r="L478" t="s">
        <v>1226</v>
      </c>
      <c r="M478" t="str">
        <f>_xlfn.XLOOKUP(Table1[[#This Row],[category]],Table6[category],Table6[id_category])</f>
        <v>KTG0207</v>
      </c>
      <c r="N478" t="s">
        <v>1235</v>
      </c>
      <c r="O478">
        <v>2</v>
      </c>
      <c r="P478">
        <v>28000</v>
      </c>
      <c r="Q478">
        <v>0</v>
      </c>
      <c r="R478">
        <v>4.7</v>
      </c>
      <c r="S478" t="str">
        <f>_xlfn.XLOOKUP(Table1[[#This Row],[method]],Table7[method],Table7[id_method])</f>
        <v>PAY0711</v>
      </c>
      <c r="T478" t="s">
        <v>1238</v>
      </c>
      <c r="U478">
        <v>56000</v>
      </c>
    </row>
    <row r="479" spans="1:21" x14ac:dyDescent="0.25">
      <c r="A479" t="s">
        <v>491</v>
      </c>
      <c r="B479" t="str">
        <f>_xlfn.XLOOKUP(Table1[[#This Row],[date]],Table8[date],Table8[id_date])</f>
        <v>TGL0759</v>
      </c>
      <c r="C479" s="1">
        <v>45619</v>
      </c>
      <c r="D479" s="1" t="str">
        <f>_xlfn.XLOOKUP(Table1[[#This Row],[customer_name]],Table11[customer_name],Table11[id_cust])</f>
        <v>CNA0323</v>
      </c>
      <c r="E479" t="s">
        <v>1159</v>
      </c>
      <c r="F479">
        <v>18</v>
      </c>
      <c r="G479" t="str">
        <f>_xlfn.XLOOKUP(Table1[[#This Row],[branch_name]],Table3[branch_name],Table3[id_branch])</f>
        <v>BRCH003</v>
      </c>
      <c r="H479" t="s">
        <v>1215</v>
      </c>
      <c r="I479" t="str">
        <f>_xlfn.XLOOKUP(Table1[[#This Row],[city]],Table4[city],Table4[id_city])</f>
        <v>KOA0104</v>
      </c>
      <c r="J479" t="s">
        <v>1220</v>
      </c>
      <c r="K479" t="str">
        <f>_xlfn.XLOOKUP(Table1[[#This Row],[menu_name]],Table5[menu_name],Table5[id_menu])</f>
        <v>MENU010</v>
      </c>
      <c r="L479" t="s">
        <v>1232</v>
      </c>
      <c r="M479" t="str">
        <f>_xlfn.XLOOKUP(Table1[[#This Row],[category]],Table6[category],Table6[id_category])</f>
        <v>KTG0205</v>
      </c>
      <c r="N479" t="s">
        <v>1233</v>
      </c>
      <c r="O479">
        <v>4</v>
      </c>
      <c r="P479">
        <v>18000</v>
      </c>
      <c r="Q479">
        <v>20</v>
      </c>
      <c r="R479">
        <v>2.1</v>
      </c>
      <c r="S479" t="str">
        <f>_xlfn.XLOOKUP(Table1[[#This Row],[method]],Table7[method],Table7[id_method])</f>
        <v>PAY0710</v>
      </c>
      <c r="T479" t="s">
        <v>1237</v>
      </c>
      <c r="U479">
        <v>57600</v>
      </c>
    </row>
    <row r="480" spans="1:21" x14ac:dyDescent="0.25">
      <c r="A480" t="s">
        <v>492</v>
      </c>
      <c r="B480" t="str">
        <f>_xlfn.XLOOKUP(Table1[[#This Row],[date]],Table8[date],Table8[id_date])</f>
        <v>TGL0760</v>
      </c>
      <c r="C480" s="1">
        <v>45620</v>
      </c>
      <c r="D480" s="1" t="str">
        <f>_xlfn.XLOOKUP(Table1[[#This Row],[customer_name]],Table11[customer_name],Table11[id_cust])</f>
        <v>CNA0497</v>
      </c>
      <c r="E480" t="s">
        <v>1184</v>
      </c>
      <c r="F480">
        <v>25</v>
      </c>
      <c r="G480" t="str">
        <f>_xlfn.XLOOKUP(Table1[[#This Row],[branch_name]],Table3[branch_name],Table3[id_branch])</f>
        <v>BRCH004</v>
      </c>
      <c r="H480" t="s">
        <v>1216</v>
      </c>
      <c r="I480" t="str">
        <f>_xlfn.XLOOKUP(Table1[[#This Row],[city]],Table4[city],Table4[id_city])</f>
        <v>KOA0105</v>
      </c>
      <c r="J480" t="s">
        <v>1221</v>
      </c>
      <c r="K480" t="str">
        <f>_xlfn.XLOOKUP(Table1[[#This Row],[menu_name]],Table5[menu_name],Table5[id_menu])</f>
        <v>MENU001</v>
      </c>
      <c r="L480" t="s">
        <v>1223</v>
      </c>
      <c r="M480" t="str">
        <f>_xlfn.XLOOKUP(Table1[[#This Row],[category]],Table6[category],Table6[id_category])</f>
        <v>KTG0205</v>
      </c>
      <c r="N480" t="s">
        <v>1233</v>
      </c>
      <c r="O480">
        <v>4</v>
      </c>
      <c r="P480">
        <v>25000</v>
      </c>
      <c r="Q480">
        <v>0</v>
      </c>
      <c r="R480">
        <v>1.3</v>
      </c>
      <c r="S480" t="str">
        <f>_xlfn.XLOOKUP(Table1[[#This Row],[method]],Table7[method],Table7[id_method])</f>
        <v>PAY0709</v>
      </c>
      <c r="T480" t="s">
        <v>1236</v>
      </c>
      <c r="U480">
        <v>100000</v>
      </c>
    </row>
    <row r="481" spans="1:21" x14ac:dyDescent="0.25">
      <c r="A481" t="s">
        <v>493</v>
      </c>
      <c r="B481" t="str">
        <f>_xlfn.XLOOKUP(Table1[[#This Row],[date]],Table8[date],Table8[id_date])</f>
        <v>TGL0761</v>
      </c>
      <c r="C481" s="1">
        <v>45621</v>
      </c>
      <c r="D481" s="1" t="str">
        <f>_xlfn.XLOOKUP(Table1[[#This Row],[customer_name]],Table11[customer_name],Table11[id_cust])</f>
        <v>CNA0468</v>
      </c>
      <c r="E481" t="s">
        <v>1182</v>
      </c>
      <c r="F481">
        <v>40</v>
      </c>
      <c r="G481" t="str">
        <f>_xlfn.XLOOKUP(Table1[[#This Row],[branch_name]],Table3[branch_name],Table3[id_branch])</f>
        <v>BRCH003</v>
      </c>
      <c r="H481" t="s">
        <v>1215</v>
      </c>
      <c r="I481" t="str">
        <f>_xlfn.XLOOKUP(Table1[[#This Row],[city]],Table4[city],Table4[id_city])</f>
        <v>KOA0104</v>
      </c>
      <c r="J481" t="s">
        <v>1220</v>
      </c>
      <c r="K481" t="str">
        <f>_xlfn.XLOOKUP(Table1[[#This Row],[menu_name]],Table5[menu_name],Table5[id_menu])</f>
        <v>MENU006</v>
      </c>
      <c r="L481" t="s">
        <v>1228</v>
      </c>
      <c r="M481" t="str">
        <f>_xlfn.XLOOKUP(Table1[[#This Row],[category]],Table6[category],Table6[id_category])</f>
        <v>KTG0206</v>
      </c>
      <c r="N481" t="s">
        <v>1234</v>
      </c>
      <c r="O481">
        <v>3</v>
      </c>
      <c r="P481">
        <v>32000</v>
      </c>
      <c r="Q481">
        <v>5</v>
      </c>
      <c r="R481">
        <v>3.8</v>
      </c>
      <c r="S481" t="str">
        <f>_xlfn.XLOOKUP(Table1[[#This Row],[method]],Table7[method],Table7[id_method])</f>
        <v>PAY0710</v>
      </c>
      <c r="T481" t="s">
        <v>1237</v>
      </c>
      <c r="U481">
        <v>91200</v>
      </c>
    </row>
    <row r="482" spans="1:21" x14ac:dyDescent="0.25">
      <c r="A482" t="s">
        <v>494</v>
      </c>
      <c r="B482" t="str">
        <f>_xlfn.XLOOKUP(Table1[[#This Row],[date]],Table8[date],Table8[id_date])</f>
        <v>TGL0761</v>
      </c>
      <c r="C482" s="1">
        <v>45621</v>
      </c>
      <c r="D482" s="1" t="str">
        <f>_xlfn.XLOOKUP(Table1[[#This Row],[customer_name]],Table11[customer_name],Table11[id_cust])</f>
        <v>CNA0581</v>
      </c>
      <c r="E482" t="s">
        <v>1193</v>
      </c>
      <c r="F482">
        <v>31</v>
      </c>
      <c r="G482" t="str">
        <f>_xlfn.XLOOKUP(Table1[[#This Row],[branch_name]],Table3[branch_name],Table3[id_branch])</f>
        <v>BRCH004</v>
      </c>
      <c r="H482" t="s">
        <v>1216</v>
      </c>
      <c r="I482" t="str">
        <f>_xlfn.XLOOKUP(Table1[[#This Row],[city]],Table4[city],Table4[id_city])</f>
        <v>KOA0105</v>
      </c>
      <c r="J482" t="s">
        <v>1221</v>
      </c>
      <c r="K482" t="str">
        <f>_xlfn.XLOOKUP(Table1[[#This Row],[menu_name]],Table5[menu_name],Table5[id_menu])</f>
        <v>MENU005</v>
      </c>
      <c r="L482" t="s">
        <v>1227</v>
      </c>
      <c r="M482" t="str">
        <f>_xlfn.XLOOKUP(Table1[[#This Row],[category]],Table6[category],Table6[id_category])</f>
        <v>KTG0206</v>
      </c>
      <c r="N482" t="s">
        <v>1234</v>
      </c>
      <c r="O482">
        <v>2</v>
      </c>
      <c r="P482">
        <v>23000</v>
      </c>
      <c r="Q482">
        <v>5</v>
      </c>
      <c r="R482">
        <v>1.9</v>
      </c>
      <c r="S482" t="str">
        <f>_xlfn.XLOOKUP(Table1[[#This Row],[method]],Table7[method],Table7[id_method])</f>
        <v>PAY0711</v>
      </c>
      <c r="T482" t="s">
        <v>1238</v>
      </c>
      <c r="U482">
        <v>43700</v>
      </c>
    </row>
    <row r="483" spans="1:21" x14ac:dyDescent="0.25">
      <c r="A483" t="s">
        <v>495</v>
      </c>
      <c r="B483" t="str">
        <f>_xlfn.XLOOKUP(Table1[[#This Row],[date]],Table8[date],Table8[id_date])</f>
        <v>TGL0761</v>
      </c>
      <c r="C483" s="1">
        <v>45621</v>
      </c>
      <c r="D483" s="1" t="str">
        <f>_xlfn.XLOOKUP(Table1[[#This Row],[customer_name]],Table11[customer_name],Table11[id_cust])</f>
        <v>CNA0158</v>
      </c>
      <c r="E483" t="s">
        <v>1066</v>
      </c>
      <c r="F483">
        <v>48</v>
      </c>
      <c r="G483" t="str">
        <f>_xlfn.XLOOKUP(Table1[[#This Row],[branch_name]],Table3[branch_name],Table3[id_branch])</f>
        <v>BRCH002</v>
      </c>
      <c r="H483" t="s">
        <v>1214</v>
      </c>
      <c r="I483" t="str">
        <f>_xlfn.XLOOKUP(Table1[[#This Row],[city]],Table4[city],Table4[id_city])</f>
        <v>KOA0103</v>
      </c>
      <c r="J483" t="s">
        <v>1219</v>
      </c>
      <c r="K483" t="str">
        <f>_xlfn.XLOOKUP(Table1[[#This Row],[menu_name]],Table5[menu_name],Table5[id_menu])</f>
        <v>MENU009</v>
      </c>
      <c r="L483" t="s">
        <v>1231</v>
      </c>
      <c r="M483" t="str">
        <f>_xlfn.XLOOKUP(Table1[[#This Row],[category]],Table6[category],Table6[id_category])</f>
        <v>KTG0206</v>
      </c>
      <c r="N483" t="s">
        <v>1234</v>
      </c>
      <c r="O483">
        <v>2</v>
      </c>
      <c r="P483">
        <v>18000</v>
      </c>
      <c r="Q483">
        <v>15</v>
      </c>
      <c r="R483">
        <v>2.1</v>
      </c>
      <c r="S483" t="str">
        <f>_xlfn.XLOOKUP(Table1[[#This Row],[method]],Table7[method],Table7[id_method])</f>
        <v>PAY0710</v>
      </c>
      <c r="T483" t="s">
        <v>1237</v>
      </c>
      <c r="U483">
        <v>30600</v>
      </c>
    </row>
    <row r="484" spans="1:21" x14ac:dyDescent="0.25">
      <c r="A484" t="s">
        <v>496</v>
      </c>
      <c r="B484" t="str">
        <f>_xlfn.XLOOKUP(Table1[[#This Row],[date]],Table8[date],Table8[id_date])</f>
        <v>TGL0762</v>
      </c>
      <c r="C484" s="1">
        <v>45625</v>
      </c>
      <c r="D484" s="1" t="str">
        <f>_xlfn.XLOOKUP(Table1[[#This Row],[customer_name]],Table11[customer_name],Table11[id_cust])</f>
        <v>CNA0186</v>
      </c>
      <c r="E484" t="s">
        <v>1088</v>
      </c>
      <c r="F484">
        <v>53</v>
      </c>
      <c r="G484" t="str">
        <f>_xlfn.XLOOKUP(Table1[[#This Row],[branch_name]],Table3[branch_name],Table3[id_branch])</f>
        <v>BRCH003</v>
      </c>
      <c r="H484" t="s">
        <v>1215</v>
      </c>
      <c r="I484" t="str">
        <f>_xlfn.XLOOKUP(Table1[[#This Row],[city]],Table4[city],Table4[id_city])</f>
        <v>KOA0104</v>
      </c>
      <c r="J484" t="s">
        <v>1220</v>
      </c>
      <c r="K484" t="str">
        <f>_xlfn.XLOOKUP(Table1[[#This Row],[menu_name]],Table5[menu_name],Table5[id_menu])</f>
        <v>MENU004</v>
      </c>
      <c r="L484" t="s">
        <v>1226</v>
      </c>
      <c r="M484" t="str">
        <f>_xlfn.XLOOKUP(Table1[[#This Row],[category]],Table6[category],Table6[id_category])</f>
        <v>KTG0207</v>
      </c>
      <c r="N484" t="s">
        <v>1235</v>
      </c>
      <c r="O484">
        <v>2</v>
      </c>
      <c r="P484">
        <v>28000</v>
      </c>
      <c r="Q484">
        <v>15</v>
      </c>
      <c r="R484">
        <v>2.8</v>
      </c>
      <c r="S484" t="str">
        <f>_xlfn.XLOOKUP(Table1[[#This Row],[method]],Table7[method],Table7[id_method])</f>
        <v>PAY0710</v>
      </c>
      <c r="T484" t="s">
        <v>1237</v>
      </c>
      <c r="U484">
        <v>47600</v>
      </c>
    </row>
    <row r="485" spans="1:21" x14ac:dyDescent="0.25">
      <c r="A485" t="s">
        <v>497</v>
      </c>
      <c r="B485" t="str">
        <f>_xlfn.XLOOKUP(Table1[[#This Row],[date]],Table8[date],Table8[id_date])</f>
        <v>TGL0763</v>
      </c>
      <c r="C485" s="1">
        <v>45626</v>
      </c>
      <c r="D485" s="1" t="str">
        <f>_xlfn.XLOOKUP(Table1[[#This Row],[customer_name]],Table11[customer_name],Table11[id_cust])</f>
        <v>CNA0219</v>
      </c>
      <c r="E485" t="s">
        <v>1108</v>
      </c>
      <c r="F485">
        <v>23</v>
      </c>
      <c r="G485" t="str">
        <f>_xlfn.XLOOKUP(Table1[[#This Row],[branch_name]],Table3[branch_name],Table3[id_branch])</f>
        <v>BRCH004</v>
      </c>
      <c r="H485" t="s">
        <v>1216</v>
      </c>
      <c r="I485" t="str">
        <f>_xlfn.XLOOKUP(Table1[[#This Row],[city]],Table4[city],Table4[id_city])</f>
        <v>KOA0105</v>
      </c>
      <c r="J485" t="s">
        <v>1221</v>
      </c>
      <c r="K485" t="str">
        <f>_xlfn.XLOOKUP(Table1[[#This Row],[menu_name]],Table5[menu_name],Table5[id_menu])</f>
        <v>MENU010</v>
      </c>
      <c r="L485" t="s">
        <v>1232</v>
      </c>
      <c r="M485" t="str">
        <f>_xlfn.XLOOKUP(Table1[[#This Row],[category]],Table6[category],Table6[id_category])</f>
        <v>KTG0205</v>
      </c>
      <c r="N485" t="s">
        <v>1233</v>
      </c>
      <c r="O485">
        <v>3</v>
      </c>
      <c r="P485">
        <v>18000</v>
      </c>
      <c r="Q485">
        <v>0</v>
      </c>
      <c r="R485">
        <v>2.2000000000000002</v>
      </c>
      <c r="S485" t="str">
        <f>_xlfn.XLOOKUP(Table1[[#This Row],[method]],Table7[method],Table7[id_method])</f>
        <v>PAY0712</v>
      </c>
      <c r="T485" t="s">
        <v>1239</v>
      </c>
      <c r="U485">
        <v>54000</v>
      </c>
    </row>
    <row r="486" spans="1:21" x14ac:dyDescent="0.25">
      <c r="A486" t="s">
        <v>498</v>
      </c>
      <c r="B486" t="str">
        <f>_xlfn.XLOOKUP(Table1[[#This Row],[date]],Table8[date],Table8[id_date])</f>
        <v>TGL0763</v>
      </c>
      <c r="C486" s="1">
        <v>45626</v>
      </c>
      <c r="D486" s="1" t="str">
        <f>_xlfn.XLOOKUP(Table1[[#This Row],[customer_name]],Table11[customer_name],Table11[id_cust])</f>
        <v>CNA0123</v>
      </c>
      <c r="E486" t="s">
        <v>1036</v>
      </c>
      <c r="F486">
        <v>31</v>
      </c>
      <c r="G486" t="str">
        <f>_xlfn.XLOOKUP(Table1[[#This Row],[branch_name]],Table3[branch_name],Table3[id_branch])</f>
        <v>BRCH001</v>
      </c>
      <c r="H486" t="s">
        <v>1213</v>
      </c>
      <c r="I486" t="str">
        <f>_xlfn.XLOOKUP(Table1[[#This Row],[city]],Table4[city],Table4[id_city])</f>
        <v>KOA0102</v>
      </c>
      <c r="J486" t="s">
        <v>1218</v>
      </c>
      <c r="K486" t="str">
        <f>_xlfn.XLOOKUP(Table1[[#This Row],[menu_name]],Table5[menu_name],Table5[id_menu])</f>
        <v>MENU010</v>
      </c>
      <c r="L486" t="s">
        <v>1232</v>
      </c>
      <c r="M486" t="str">
        <f>_xlfn.XLOOKUP(Table1[[#This Row],[category]],Table6[category],Table6[id_category])</f>
        <v>KTG0205</v>
      </c>
      <c r="N486" t="s">
        <v>1233</v>
      </c>
      <c r="O486">
        <v>5</v>
      </c>
      <c r="P486">
        <v>18000</v>
      </c>
      <c r="Q486">
        <v>10</v>
      </c>
      <c r="R486">
        <v>3.6</v>
      </c>
      <c r="S486" t="str">
        <f>_xlfn.XLOOKUP(Table1[[#This Row],[method]],Table7[method],Table7[id_method])</f>
        <v>PAY0712</v>
      </c>
      <c r="T486" t="s">
        <v>1239</v>
      </c>
      <c r="U486">
        <v>81000</v>
      </c>
    </row>
    <row r="487" spans="1:21" x14ac:dyDescent="0.25">
      <c r="A487" t="s">
        <v>499</v>
      </c>
      <c r="B487" t="str">
        <f>_xlfn.XLOOKUP(Table1[[#This Row],[date]],Table8[date],Table8[id_date])</f>
        <v>TGL0764</v>
      </c>
      <c r="C487" s="1">
        <v>45627</v>
      </c>
      <c r="D487" s="1" t="str">
        <f>_xlfn.XLOOKUP(Table1[[#This Row],[customer_name]],Table11[customer_name],Table11[id_cust])</f>
        <v>CNA0414</v>
      </c>
      <c r="E487" t="s">
        <v>1176</v>
      </c>
      <c r="F487">
        <v>46</v>
      </c>
      <c r="G487" t="str">
        <f>_xlfn.XLOOKUP(Table1[[#This Row],[branch_name]],Table3[branch_name],Table3[id_branch])</f>
        <v>BRCH001</v>
      </c>
      <c r="H487" t="s">
        <v>1213</v>
      </c>
      <c r="I487" t="str">
        <f>_xlfn.XLOOKUP(Table1[[#This Row],[city]],Table4[city],Table4[id_city])</f>
        <v>KOA0102</v>
      </c>
      <c r="J487" t="s">
        <v>1218</v>
      </c>
      <c r="K487" t="str">
        <f>_xlfn.XLOOKUP(Table1[[#This Row],[menu_name]],Table5[menu_name],Table5[id_menu])</f>
        <v>MENU009</v>
      </c>
      <c r="L487" t="s">
        <v>1231</v>
      </c>
      <c r="M487" t="str">
        <f>_xlfn.XLOOKUP(Table1[[#This Row],[category]],Table6[category],Table6[id_category])</f>
        <v>KTG0206</v>
      </c>
      <c r="N487" t="s">
        <v>1234</v>
      </c>
      <c r="O487">
        <v>1</v>
      </c>
      <c r="P487">
        <v>18000</v>
      </c>
      <c r="Q487">
        <v>0</v>
      </c>
      <c r="R487">
        <v>3.6</v>
      </c>
      <c r="S487" t="str">
        <f>_xlfn.XLOOKUP(Table1[[#This Row],[method]],Table7[method],Table7[id_method])</f>
        <v>PAY0712</v>
      </c>
      <c r="T487" t="s">
        <v>1239</v>
      </c>
      <c r="U487">
        <v>18000</v>
      </c>
    </row>
    <row r="488" spans="1:21" x14ac:dyDescent="0.25">
      <c r="A488" t="s">
        <v>500</v>
      </c>
      <c r="B488" t="str">
        <f>_xlfn.XLOOKUP(Table1[[#This Row],[date]],Table8[date],Table8[id_date])</f>
        <v>TGL0765</v>
      </c>
      <c r="C488" s="1">
        <v>45628</v>
      </c>
      <c r="D488" s="1" t="str">
        <f>_xlfn.XLOOKUP(Table1[[#This Row],[customer_name]],Table11[customer_name],Table11[id_cust])</f>
        <v>CNA0136</v>
      </c>
      <c r="E488" t="s">
        <v>1047</v>
      </c>
      <c r="F488">
        <v>31</v>
      </c>
      <c r="G488" t="str">
        <f>_xlfn.XLOOKUP(Table1[[#This Row],[branch_name]],Table3[branch_name],Table3[id_branch])</f>
        <v>BRCH003</v>
      </c>
      <c r="H488" t="s">
        <v>1215</v>
      </c>
      <c r="I488" t="str">
        <f>_xlfn.XLOOKUP(Table1[[#This Row],[city]],Table4[city],Table4[id_city])</f>
        <v>KOA0104</v>
      </c>
      <c r="J488" t="s">
        <v>1220</v>
      </c>
      <c r="K488" t="str">
        <f>_xlfn.XLOOKUP(Table1[[#This Row],[menu_name]],Table5[menu_name],Table5[id_menu])</f>
        <v>MENU002</v>
      </c>
      <c r="L488" t="s">
        <v>1224</v>
      </c>
      <c r="M488" t="str">
        <f>_xlfn.XLOOKUP(Table1[[#This Row],[category]],Table6[category],Table6[id_category])</f>
        <v>KTG0206</v>
      </c>
      <c r="N488" t="s">
        <v>1234</v>
      </c>
      <c r="O488">
        <v>2</v>
      </c>
      <c r="P488">
        <v>30000</v>
      </c>
      <c r="Q488">
        <v>0</v>
      </c>
      <c r="R488">
        <v>3.2</v>
      </c>
      <c r="S488" t="str">
        <f>_xlfn.XLOOKUP(Table1[[#This Row],[method]],Table7[method],Table7[id_method])</f>
        <v>PAY0710</v>
      </c>
      <c r="T488" t="s">
        <v>1237</v>
      </c>
      <c r="U488">
        <v>60000</v>
      </c>
    </row>
    <row r="489" spans="1:21" x14ac:dyDescent="0.25">
      <c r="A489" t="s">
        <v>501</v>
      </c>
      <c r="B489" t="str">
        <f>_xlfn.XLOOKUP(Table1[[#This Row],[date]],Table8[date],Table8[id_date])</f>
        <v>TGL0766</v>
      </c>
      <c r="C489" s="1">
        <v>45629</v>
      </c>
      <c r="D489" s="1" t="str">
        <f>_xlfn.XLOOKUP(Table1[[#This Row],[customer_name]],Table11[customer_name],Table11[id_cust])</f>
        <v>CNA0434</v>
      </c>
      <c r="E489" t="s">
        <v>1179</v>
      </c>
      <c r="F489">
        <v>37</v>
      </c>
      <c r="G489" t="str">
        <f>_xlfn.XLOOKUP(Table1[[#This Row],[branch_name]],Table3[branch_name],Table3[id_branch])</f>
        <v>BRCH005</v>
      </c>
      <c r="H489" t="s">
        <v>1217</v>
      </c>
      <c r="I489" t="str">
        <f>_xlfn.XLOOKUP(Table1[[#This Row],[city]],Table4[city],Table4[id_city])</f>
        <v>KOA0106</v>
      </c>
      <c r="J489" t="s">
        <v>1222</v>
      </c>
      <c r="K489" t="str">
        <f>_xlfn.XLOOKUP(Table1[[#This Row],[menu_name]],Table5[menu_name],Table5[id_menu])</f>
        <v>MENU005</v>
      </c>
      <c r="L489" t="s">
        <v>1227</v>
      </c>
      <c r="M489" t="str">
        <f>_xlfn.XLOOKUP(Table1[[#This Row],[category]],Table6[category],Table6[id_category])</f>
        <v>KTG0206</v>
      </c>
      <c r="N489" t="s">
        <v>1234</v>
      </c>
      <c r="O489">
        <v>2</v>
      </c>
      <c r="P489">
        <v>23000</v>
      </c>
      <c r="Q489">
        <v>10</v>
      </c>
      <c r="R489">
        <v>3.1</v>
      </c>
      <c r="S489" t="str">
        <f>_xlfn.XLOOKUP(Table1[[#This Row],[method]],Table7[method],Table7[id_method])</f>
        <v>PAY0712</v>
      </c>
      <c r="T489" t="s">
        <v>1239</v>
      </c>
      <c r="U489">
        <v>41400</v>
      </c>
    </row>
    <row r="490" spans="1:21" x14ac:dyDescent="0.25">
      <c r="A490" t="s">
        <v>502</v>
      </c>
      <c r="B490" t="str">
        <f>_xlfn.XLOOKUP(Table1[[#This Row],[date]],Table8[date],Table8[id_date])</f>
        <v>TGL0766</v>
      </c>
      <c r="C490" s="1">
        <v>45629</v>
      </c>
      <c r="D490" s="1" t="str">
        <f>_xlfn.XLOOKUP(Table1[[#This Row],[customer_name]],Table11[customer_name],Table11[id_cust])</f>
        <v>CNA0225</v>
      </c>
      <c r="E490" t="s">
        <v>1112</v>
      </c>
      <c r="F490">
        <v>25</v>
      </c>
      <c r="G490" t="str">
        <f>_xlfn.XLOOKUP(Table1[[#This Row],[branch_name]],Table3[branch_name],Table3[id_branch])</f>
        <v>BRCH003</v>
      </c>
      <c r="H490" t="s">
        <v>1215</v>
      </c>
      <c r="I490" t="str">
        <f>_xlfn.XLOOKUP(Table1[[#This Row],[city]],Table4[city],Table4[id_city])</f>
        <v>KOA0104</v>
      </c>
      <c r="J490" t="s">
        <v>1220</v>
      </c>
      <c r="K490" t="str">
        <f>_xlfn.XLOOKUP(Table1[[#This Row],[menu_name]],Table5[menu_name],Table5[id_menu])</f>
        <v>MENU002</v>
      </c>
      <c r="L490" t="s">
        <v>1224</v>
      </c>
      <c r="M490" t="str">
        <f>_xlfn.XLOOKUP(Table1[[#This Row],[category]],Table6[category],Table6[id_category])</f>
        <v>KTG0206</v>
      </c>
      <c r="N490" t="s">
        <v>1234</v>
      </c>
      <c r="O490">
        <v>1</v>
      </c>
      <c r="P490">
        <v>30000</v>
      </c>
      <c r="Q490">
        <v>5</v>
      </c>
      <c r="R490">
        <v>3.1</v>
      </c>
      <c r="S490" t="str">
        <f>_xlfn.XLOOKUP(Table1[[#This Row],[method]],Table7[method],Table7[id_method])</f>
        <v>PAY0710</v>
      </c>
      <c r="T490" t="s">
        <v>1237</v>
      </c>
      <c r="U490">
        <v>28500</v>
      </c>
    </row>
    <row r="491" spans="1:21" x14ac:dyDescent="0.25">
      <c r="A491" t="s">
        <v>503</v>
      </c>
      <c r="B491" t="str">
        <f>_xlfn.XLOOKUP(Table1[[#This Row],[date]],Table8[date],Table8[id_date])</f>
        <v>TGL0767</v>
      </c>
      <c r="C491" s="1">
        <v>45630</v>
      </c>
      <c r="D491" s="1" t="str">
        <f>_xlfn.XLOOKUP(Table1[[#This Row],[customer_name]],Table11[customer_name],Table11[id_cust])</f>
        <v>CNA0126</v>
      </c>
      <c r="E491" t="s">
        <v>1038</v>
      </c>
      <c r="F491">
        <v>30</v>
      </c>
      <c r="G491" t="str">
        <f>_xlfn.XLOOKUP(Table1[[#This Row],[branch_name]],Table3[branch_name],Table3[id_branch])</f>
        <v>BRCH004</v>
      </c>
      <c r="H491" t="s">
        <v>1216</v>
      </c>
      <c r="I491" t="str">
        <f>_xlfn.XLOOKUP(Table1[[#This Row],[city]],Table4[city],Table4[id_city])</f>
        <v>KOA0105</v>
      </c>
      <c r="J491" t="s">
        <v>1221</v>
      </c>
      <c r="K491" t="str">
        <f>_xlfn.XLOOKUP(Table1[[#This Row],[menu_name]],Table5[menu_name],Table5[id_menu])</f>
        <v>MENU004</v>
      </c>
      <c r="L491" t="s">
        <v>1226</v>
      </c>
      <c r="M491" t="str">
        <f>_xlfn.XLOOKUP(Table1[[#This Row],[category]],Table6[category],Table6[id_category])</f>
        <v>KTG0207</v>
      </c>
      <c r="N491" t="s">
        <v>1235</v>
      </c>
      <c r="O491">
        <v>2</v>
      </c>
      <c r="P491">
        <v>28000</v>
      </c>
      <c r="Q491">
        <v>0</v>
      </c>
      <c r="R491">
        <v>1.5</v>
      </c>
      <c r="S491" t="str">
        <f>_xlfn.XLOOKUP(Table1[[#This Row],[method]],Table7[method],Table7[id_method])</f>
        <v>PAY0710</v>
      </c>
      <c r="T491" t="s">
        <v>1237</v>
      </c>
      <c r="U491">
        <v>56000</v>
      </c>
    </row>
    <row r="492" spans="1:21" x14ac:dyDescent="0.25">
      <c r="A492" t="s">
        <v>504</v>
      </c>
      <c r="B492" t="str">
        <f>_xlfn.XLOOKUP(Table1[[#This Row],[date]],Table8[date],Table8[id_date])</f>
        <v>TGL0768</v>
      </c>
      <c r="C492" s="1">
        <v>45632</v>
      </c>
      <c r="D492" s="1" t="str">
        <f>_xlfn.XLOOKUP(Table1[[#This Row],[customer_name]],Table11[customer_name],Table11[id_cust])</f>
        <v>CNA0195</v>
      </c>
      <c r="E492" t="s">
        <v>1093</v>
      </c>
      <c r="F492">
        <v>42</v>
      </c>
      <c r="G492" t="str">
        <f>_xlfn.XLOOKUP(Table1[[#This Row],[branch_name]],Table3[branch_name],Table3[id_branch])</f>
        <v>BRCH005</v>
      </c>
      <c r="H492" t="s">
        <v>1217</v>
      </c>
      <c r="I492" t="str">
        <f>_xlfn.XLOOKUP(Table1[[#This Row],[city]],Table4[city],Table4[id_city])</f>
        <v>KOA0106</v>
      </c>
      <c r="J492" t="s">
        <v>1222</v>
      </c>
      <c r="K492" t="str">
        <f>_xlfn.XLOOKUP(Table1[[#This Row],[menu_name]],Table5[menu_name],Table5[id_menu])</f>
        <v>MENU009</v>
      </c>
      <c r="L492" t="s">
        <v>1231</v>
      </c>
      <c r="M492" t="str">
        <f>_xlfn.XLOOKUP(Table1[[#This Row],[category]],Table6[category],Table6[id_category])</f>
        <v>KTG0206</v>
      </c>
      <c r="N492" t="s">
        <v>1234</v>
      </c>
      <c r="O492">
        <v>1</v>
      </c>
      <c r="P492">
        <v>18000</v>
      </c>
      <c r="Q492">
        <v>10</v>
      </c>
      <c r="R492">
        <v>1.9</v>
      </c>
      <c r="S492" t="str">
        <f>_xlfn.XLOOKUP(Table1[[#This Row],[method]],Table7[method],Table7[id_method])</f>
        <v>PAY0710</v>
      </c>
      <c r="T492" t="s">
        <v>1237</v>
      </c>
      <c r="U492">
        <v>16200</v>
      </c>
    </row>
    <row r="493" spans="1:21" x14ac:dyDescent="0.25">
      <c r="A493" t="s">
        <v>505</v>
      </c>
      <c r="B493" t="str">
        <f>_xlfn.XLOOKUP(Table1[[#This Row],[date]],Table8[date],Table8[id_date])</f>
        <v>TGL0769</v>
      </c>
      <c r="C493" s="1">
        <v>45633</v>
      </c>
      <c r="D493" s="1" t="str">
        <f>_xlfn.XLOOKUP(Table1[[#This Row],[customer_name]],Table11[customer_name],Table11[id_cust])</f>
        <v>CNA0312</v>
      </c>
      <c r="E493" t="s">
        <v>1154</v>
      </c>
      <c r="F493">
        <v>49</v>
      </c>
      <c r="G493" t="str">
        <f>_xlfn.XLOOKUP(Table1[[#This Row],[branch_name]],Table3[branch_name],Table3[id_branch])</f>
        <v>BRCH005</v>
      </c>
      <c r="H493" t="s">
        <v>1217</v>
      </c>
      <c r="I493" t="str">
        <f>_xlfn.XLOOKUP(Table1[[#This Row],[city]],Table4[city],Table4[id_city])</f>
        <v>KOA0106</v>
      </c>
      <c r="J493" t="s">
        <v>1222</v>
      </c>
      <c r="K493" t="str">
        <f>_xlfn.XLOOKUP(Table1[[#This Row],[menu_name]],Table5[menu_name],Table5[id_menu])</f>
        <v>MENU009</v>
      </c>
      <c r="L493" t="s">
        <v>1231</v>
      </c>
      <c r="M493" t="str">
        <f>_xlfn.XLOOKUP(Table1[[#This Row],[category]],Table6[category],Table6[id_category])</f>
        <v>KTG0206</v>
      </c>
      <c r="N493" t="s">
        <v>1234</v>
      </c>
      <c r="O493">
        <v>4</v>
      </c>
      <c r="P493">
        <v>18000</v>
      </c>
      <c r="Q493">
        <v>0</v>
      </c>
      <c r="R493">
        <v>2.9</v>
      </c>
      <c r="S493" t="str">
        <f>_xlfn.XLOOKUP(Table1[[#This Row],[method]],Table7[method],Table7[id_method])</f>
        <v>PAY0709</v>
      </c>
      <c r="T493" t="s">
        <v>1236</v>
      </c>
      <c r="U493">
        <v>72000</v>
      </c>
    </row>
    <row r="494" spans="1:21" x14ac:dyDescent="0.25">
      <c r="A494" t="s">
        <v>506</v>
      </c>
      <c r="B494" t="str">
        <f>_xlfn.XLOOKUP(Table1[[#This Row],[date]],Table8[date],Table8[id_date])</f>
        <v>TGL0769</v>
      </c>
      <c r="C494" s="1">
        <v>45633</v>
      </c>
      <c r="D494" s="1" t="str">
        <f>_xlfn.XLOOKUP(Table1[[#This Row],[customer_name]],Table11[customer_name],Table11[id_cust])</f>
        <v>CNA0119</v>
      </c>
      <c r="E494" t="s">
        <v>1032</v>
      </c>
      <c r="F494">
        <v>35</v>
      </c>
      <c r="G494" t="str">
        <f>_xlfn.XLOOKUP(Table1[[#This Row],[branch_name]],Table3[branch_name],Table3[id_branch])</f>
        <v>BRCH004</v>
      </c>
      <c r="H494" t="s">
        <v>1216</v>
      </c>
      <c r="I494" t="str">
        <f>_xlfn.XLOOKUP(Table1[[#This Row],[city]],Table4[city],Table4[id_city])</f>
        <v>KOA0105</v>
      </c>
      <c r="J494" t="s">
        <v>1221</v>
      </c>
      <c r="K494" t="str">
        <f>_xlfn.XLOOKUP(Table1[[#This Row],[menu_name]],Table5[menu_name],Table5[id_menu])</f>
        <v>MENU006</v>
      </c>
      <c r="L494" t="s">
        <v>1228</v>
      </c>
      <c r="M494" t="str">
        <f>_xlfn.XLOOKUP(Table1[[#This Row],[category]],Table6[category],Table6[id_category])</f>
        <v>KTG0206</v>
      </c>
      <c r="N494" t="s">
        <v>1234</v>
      </c>
      <c r="O494">
        <v>1</v>
      </c>
      <c r="P494">
        <v>32000</v>
      </c>
      <c r="Q494">
        <v>10</v>
      </c>
      <c r="R494">
        <v>3.9</v>
      </c>
      <c r="S494" t="str">
        <f>_xlfn.XLOOKUP(Table1[[#This Row],[method]],Table7[method],Table7[id_method])</f>
        <v>PAY0712</v>
      </c>
      <c r="T494" t="s">
        <v>1239</v>
      </c>
      <c r="U494">
        <v>28800</v>
      </c>
    </row>
    <row r="495" spans="1:21" x14ac:dyDescent="0.25">
      <c r="A495" t="s">
        <v>507</v>
      </c>
      <c r="B495" t="str">
        <f>_xlfn.XLOOKUP(Table1[[#This Row],[date]],Table8[date],Table8[id_date])</f>
        <v>TGL0769</v>
      </c>
      <c r="C495" s="1">
        <v>45633</v>
      </c>
      <c r="D495" s="1" t="str">
        <f>_xlfn.XLOOKUP(Table1[[#This Row],[customer_name]],Table11[customer_name],Table11[id_cust])</f>
        <v>CNA0318</v>
      </c>
      <c r="E495" t="s">
        <v>1157</v>
      </c>
      <c r="F495">
        <v>27</v>
      </c>
      <c r="G495" t="str">
        <f>_xlfn.XLOOKUP(Table1[[#This Row],[branch_name]],Table3[branch_name],Table3[id_branch])</f>
        <v>BRCH004</v>
      </c>
      <c r="H495" t="s">
        <v>1216</v>
      </c>
      <c r="I495" t="str">
        <f>_xlfn.XLOOKUP(Table1[[#This Row],[city]],Table4[city],Table4[id_city])</f>
        <v>KOA0105</v>
      </c>
      <c r="J495" t="s">
        <v>1221</v>
      </c>
      <c r="K495" t="str">
        <f>_xlfn.XLOOKUP(Table1[[#This Row],[menu_name]],Table5[menu_name],Table5[id_menu])</f>
        <v>MENU010</v>
      </c>
      <c r="L495" t="s">
        <v>1232</v>
      </c>
      <c r="M495" t="str">
        <f>_xlfn.XLOOKUP(Table1[[#This Row],[category]],Table6[category],Table6[id_category])</f>
        <v>KTG0205</v>
      </c>
      <c r="N495" t="s">
        <v>1233</v>
      </c>
      <c r="O495">
        <v>3</v>
      </c>
      <c r="P495">
        <v>18000</v>
      </c>
      <c r="Q495">
        <v>0</v>
      </c>
      <c r="R495">
        <v>1.7</v>
      </c>
      <c r="S495" t="str">
        <f>_xlfn.XLOOKUP(Table1[[#This Row],[method]],Table7[method],Table7[id_method])</f>
        <v>PAY0711</v>
      </c>
      <c r="T495" t="s">
        <v>1238</v>
      </c>
      <c r="U495">
        <v>54000</v>
      </c>
    </row>
    <row r="496" spans="1:21" x14ac:dyDescent="0.25">
      <c r="A496" t="s">
        <v>508</v>
      </c>
      <c r="B496" t="str">
        <f>_xlfn.XLOOKUP(Table1[[#This Row],[date]],Table8[date],Table8[id_date])</f>
        <v>TGL0769</v>
      </c>
      <c r="C496" s="1">
        <v>45633</v>
      </c>
      <c r="D496" s="1" t="str">
        <f>_xlfn.XLOOKUP(Table1[[#This Row],[customer_name]],Table11[customer_name],Table11[id_cust])</f>
        <v>CNA0357</v>
      </c>
      <c r="E496" t="s">
        <v>1166</v>
      </c>
      <c r="F496">
        <v>25</v>
      </c>
      <c r="G496" t="str">
        <f>_xlfn.XLOOKUP(Table1[[#This Row],[branch_name]],Table3[branch_name],Table3[id_branch])</f>
        <v>BRCH003</v>
      </c>
      <c r="H496" t="s">
        <v>1215</v>
      </c>
      <c r="I496" t="str">
        <f>_xlfn.XLOOKUP(Table1[[#This Row],[city]],Table4[city],Table4[id_city])</f>
        <v>KOA0104</v>
      </c>
      <c r="J496" t="s">
        <v>1220</v>
      </c>
      <c r="K496" t="str">
        <f>_xlfn.XLOOKUP(Table1[[#This Row],[menu_name]],Table5[menu_name],Table5[id_menu])</f>
        <v>MENU007</v>
      </c>
      <c r="L496" t="s">
        <v>1229</v>
      </c>
      <c r="M496" t="str">
        <f>_xlfn.XLOOKUP(Table1[[#This Row],[category]],Table6[category],Table6[id_category])</f>
        <v>KTG0207</v>
      </c>
      <c r="N496" t="s">
        <v>1235</v>
      </c>
      <c r="O496">
        <v>5</v>
      </c>
      <c r="P496">
        <v>27000</v>
      </c>
      <c r="Q496">
        <v>20</v>
      </c>
      <c r="R496">
        <v>2.6</v>
      </c>
      <c r="S496" t="str">
        <f>_xlfn.XLOOKUP(Table1[[#This Row],[method]],Table7[method],Table7[id_method])</f>
        <v>PAY0709</v>
      </c>
      <c r="T496" t="s">
        <v>1236</v>
      </c>
      <c r="U496">
        <v>108000</v>
      </c>
    </row>
    <row r="497" spans="1:21" x14ac:dyDescent="0.25">
      <c r="A497" t="s">
        <v>509</v>
      </c>
      <c r="B497" t="str">
        <f>_xlfn.XLOOKUP(Table1[[#This Row],[date]],Table8[date],Table8[id_date])</f>
        <v>TGL0770</v>
      </c>
      <c r="C497" s="1">
        <v>45637</v>
      </c>
      <c r="D497" s="1" t="str">
        <f>_xlfn.XLOOKUP(Table1[[#This Row],[customer_name]],Table11[customer_name],Table11[id_cust])</f>
        <v>CNA0223</v>
      </c>
      <c r="E497" t="s">
        <v>1110</v>
      </c>
      <c r="F497">
        <v>18</v>
      </c>
      <c r="G497" t="str">
        <f>_xlfn.XLOOKUP(Table1[[#This Row],[branch_name]],Table3[branch_name],Table3[id_branch])</f>
        <v>BRCH001</v>
      </c>
      <c r="H497" t="s">
        <v>1213</v>
      </c>
      <c r="I497" t="str">
        <f>_xlfn.XLOOKUP(Table1[[#This Row],[city]],Table4[city],Table4[id_city])</f>
        <v>KOA0102</v>
      </c>
      <c r="J497" t="s">
        <v>1218</v>
      </c>
      <c r="K497" t="str">
        <f>_xlfn.XLOOKUP(Table1[[#This Row],[menu_name]],Table5[menu_name],Table5[id_menu])</f>
        <v>MENU007</v>
      </c>
      <c r="L497" t="s">
        <v>1229</v>
      </c>
      <c r="M497" t="str">
        <f>_xlfn.XLOOKUP(Table1[[#This Row],[category]],Table6[category],Table6[id_category])</f>
        <v>KTG0207</v>
      </c>
      <c r="N497" t="s">
        <v>1235</v>
      </c>
      <c r="O497">
        <v>3</v>
      </c>
      <c r="P497">
        <v>27000</v>
      </c>
      <c r="Q497">
        <v>10</v>
      </c>
      <c r="R497">
        <v>1.7</v>
      </c>
      <c r="S497" t="str">
        <f>_xlfn.XLOOKUP(Table1[[#This Row],[method]],Table7[method],Table7[id_method])</f>
        <v>PAY0710</v>
      </c>
      <c r="T497" t="s">
        <v>1237</v>
      </c>
      <c r="U497">
        <v>72900</v>
      </c>
    </row>
    <row r="498" spans="1:21" x14ac:dyDescent="0.25">
      <c r="A498" t="s">
        <v>510</v>
      </c>
      <c r="B498" t="str">
        <f>_xlfn.XLOOKUP(Table1[[#This Row],[date]],Table8[date],Table8[id_date])</f>
        <v>TGL0770</v>
      </c>
      <c r="C498" s="1">
        <v>45637</v>
      </c>
      <c r="D498" s="1" t="str">
        <f>_xlfn.XLOOKUP(Table1[[#This Row],[customer_name]],Table11[customer_name],Table11[id_cust])</f>
        <v>CNA0265</v>
      </c>
      <c r="E498" t="s">
        <v>1132</v>
      </c>
      <c r="F498">
        <v>42</v>
      </c>
      <c r="G498" t="str">
        <f>_xlfn.XLOOKUP(Table1[[#This Row],[branch_name]],Table3[branch_name],Table3[id_branch])</f>
        <v>BRCH003</v>
      </c>
      <c r="H498" t="s">
        <v>1215</v>
      </c>
      <c r="I498" t="str">
        <f>_xlfn.XLOOKUP(Table1[[#This Row],[city]],Table4[city],Table4[id_city])</f>
        <v>KOA0104</v>
      </c>
      <c r="J498" t="s">
        <v>1220</v>
      </c>
      <c r="K498" t="str">
        <f>_xlfn.XLOOKUP(Table1[[#This Row],[menu_name]],Table5[menu_name],Table5[id_menu])</f>
        <v>MENU006</v>
      </c>
      <c r="L498" t="s">
        <v>1228</v>
      </c>
      <c r="M498" t="str">
        <f>_xlfn.XLOOKUP(Table1[[#This Row],[category]],Table6[category],Table6[id_category])</f>
        <v>KTG0206</v>
      </c>
      <c r="N498" t="s">
        <v>1234</v>
      </c>
      <c r="O498">
        <v>1</v>
      </c>
      <c r="P498">
        <v>32000</v>
      </c>
      <c r="Q498">
        <v>5</v>
      </c>
      <c r="R498">
        <v>1.3</v>
      </c>
      <c r="S498" t="str">
        <f>_xlfn.XLOOKUP(Table1[[#This Row],[method]],Table7[method],Table7[id_method])</f>
        <v>PAY0711</v>
      </c>
      <c r="T498" t="s">
        <v>1238</v>
      </c>
      <c r="U498">
        <v>30400</v>
      </c>
    </row>
    <row r="499" spans="1:21" x14ac:dyDescent="0.25">
      <c r="A499" t="s">
        <v>511</v>
      </c>
      <c r="B499" t="str">
        <f>_xlfn.XLOOKUP(Table1[[#This Row],[date]],Table8[date],Table8[id_date])</f>
        <v>TGL0770</v>
      </c>
      <c r="C499" s="1">
        <v>45637</v>
      </c>
      <c r="D499" s="1" t="str">
        <f>_xlfn.XLOOKUP(Table1[[#This Row],[customer_name]],Table11[customer_name],Table11[id_cust])</f>
        <v>CNA0101</v>
      </c>
      <c r="E499" t="s">
        <v>1014</v>
      </c>
      <c r="F499">
        <v>27</v>
      </c>
      <c r="G499" t="str">
        <f>_xlfn.XLOOKUP(Table1[[#This Row],[branch_name]],Table3[branch_name],Table3[id_branch])</f>
        <v>BRCH001</v>
      </c>
      <c r="H499" t="s">
        <v>1213</v>
      </c>
      <c r="I499" t="str">
        <f>_xlfn.XLOOKUP(Table1[[#This Row],[city]],Table4[city],Table4[id_city])</f>
        <v>KOA0102</v>
      </c>
      <c r="J499" t="s">
        <v>1218</v>
      </c>
      <c r="K499" t="str">
        <f>_xlfn.XLOOKUP(Table1[[#This Row],[menu_name]],Table5[menu_name],Table5[id_menu])</f>
        <v>MENU001</v>
      </c>
      <c r="L499" t="s">
        <v>1223</v>
      </c>
      <c r="M499" t="str">
        <f>_xlfn.XLOOKUP(Table1[[#This Row],[category]],Table6[category],Table6[id_category])</f>
        <v>KTG0205</v>
      </c>
      <c r="N499" t="s">
        <v>1233</v>
      </c>
      <c r="O499">
        <v>3</v>
      </c>
      <c r="P499">
        <v>25000</v>
      </c>
      <c r="Q499">
        <v>0</v>
      </c>
      <c r="R499">
        <v>3.7</v>
      </c>
      <c r="S499" t="str">
        <f>_xlfn.XLOOKUP(Table1[[#This Row],[method]],Table7[method],Table7[id_method])</f>
        <v>PAY0711</v>
      </c>
      <c r="T499" t="s">
        <v>1238</v>
      </c>
      <c r="U499">
        <v>75000</v>
      </c>
    </row>
    <row r="500" spans="1:21" x14ac:dyDescent="0.25">
      <c r="A500" t="s">
        <v>512</v>
      </c>
      <c r="B500" t="str">
        <f>_xlfn.XLOOKUP(Table1[[#This Row],[date]],Table8[date],Table8[id_date])</f>
        <v>TGL0770</v>
      </c>
      <c r="C500" s="1">
        <v>45637</v>
      </c>
      <c r="D500" s="1" t="str">
        <f>_xlfn.XLOOKUP(Table1[[#This Row],[customer_name]],Table11[customer_name],Table11[id_cust])</f>
        <v>CNA0303</v>
      </c>
      <c r="E500" t="s">
        <v>1152</v>
      </c>
      <c r="F500">
        <v>44</v>
      </c>
      <c r="G500" t="str">
        <f>_xlfn.XLOOKUP(Table1[[#This Row],[branch_name]],Table3[branch_name],Table3[id_branch])</f>
        <v>BRCH005</v>
      </c>
      <c r="H500" t="s">
        <v>1217</v>
      </c>
      <c r="I500" t="str">
        <f>_xlfn.XLOOKUP(Table1[[#This Row],[city]],Table4[city],Table4[id_city])</f>
        <v>KOA0106</v>
      </c>
      <c r="J500" t="s">
        <v>1222</v>
      </c>
      <c r="K500" t="str">
        <f>_xlfn.XLOOKUP(Table1[[#This Row],[menu_name]],Table5[menu_name],Table5[id_menu])</f>
        <v>MENU010</v>
      </c>
      <c r="L500" t="s">
        <v>1232</v>
      </c>
      <c r="M500" t="str">
        <f>_xlfn.XLOOKUP(Table1[[#This Row],[category]],Table6[category],Table6[id_category])</f>
        <v>KTG0205</v>
      </c>
      <c r="N500" t="s">
        <v>1233</v>
      </c>
      <c r="O500">
        <v>4</v>
      </c>
      <c r="P500">
        <v>18000</v>
      </c>
      <c r="Q500">
        <v>15</v>
      </c>
      <c r="R500">
        <v>2.2999999999999998</v>
      </c>
      <c r="S500" t="str">
        <f>_xlfn.XLOOKUP(Table1[[#This Row],[method]],Table7[method],Table7[id_method])</f>
        <v>PAY0711</v>
      </c>
      <c r="T500" t="s">
        <v>1238</v>
      </c>
      <c r="U500">
        <v>61200</v>
      </c>
    </row>
    <row r="501" spans="1:21" x14ac:dyDescent="0.25">
      <c r="A501" t="s">
        <v>513</v>
      </c>
      <c r="B501" t="str">
        <f>_xlfn.XLOOKUP(Table1[[#This Row],[date]],Table8[date],Table8[id_date])</f>
        <v>TGL0770</v>
      </c>
      <c r="C501" s="1">
        <v>45637</v>
      </c>
      <c r="D501" s="1" t="str">
        <f>_xlfn.XLOOKUP(Table1[[#This Row],[customer_name]],Table11[customer_name],Table11[id_cust])</f>
        <v>CNA0165</v>
      </c>
      <c r="E501" t="s">
        <v>1070</v>
      </c>
      <c r="F501">
        <v>18</v>
      </c>
      <c r="G501" t="str">
        <f>_xlfn.XLOOKUP(Table1[[#This Row],[branch_name]],Table3[branch_name],Table3[id_branch])</f>
        <v>BRCH003</v>
      </c>
      <c r="H501" t="s">
        <v>1215</v>
      </c>
      <c r="I501" t="str">
        <f>_xlfn.XLOOKUP(Table1[[#This Row],[city]],Table4[city],Table4[id_city])</f>
        <v>KOA0104</v>
      </c>
      <c r="J501" t="s">
        <v>1220</v>
      </c>
      <c r="K501" t="str">
        <f>_xlfn.XLOOKUP(Table1[[#This Row],[menu_name]],Table5[menu_name],Table5[id_menu])</f>
        <v>MENU003</v>
      </c>
      <c r="L501" t="s">
        <v>1225</v>
      </c>
      <c r="M501" t="str">
        <f>_xlfn.XLOOKUP(Table1[[#This Row],[category]],Table6[category],Table6[id_category])</f>
        <v>KTG0205</v>
      </c>
      <c r="N501" t="s">
        <v>1233</v>
      </c>
      <c r="O501">
        <v>1</v>
      </c>
      <c r="P501">
        <v>22000</v>
      </c>
      <c r="Q501">
        <v>5</v>
      </c>
      <c r="R501">
        <v>4.5</v>
      </c>
      <c r="S501" t="str">
        <f>_xlfn.XLOOKUP(Table1[[#This Row],[method]],Table7[method],Table7[id_method])</f>
        <v>PAY0711</v>
      </c>
      <c r="T501" t="s">
        <v>1238</v>
      </c>
      <c r="U501">
        <v>20900</v>
      </c>
    </row>
    <row r="502" spans="1:21" x14ac:dyDescent="0.25">
      <c r="A502" t="s">
        <v>514</v>
      </c>
      <c r="B502" t="str">
        <f>_xlfn.XLOOKUP(Table1[[#This Row],[date]],Table8[date],Table8[id_date])</f>
        <v>TGL0771</v>
      </c>
      <c r="C502" s="1">
        <v>45638</v>
      </c>
      <c r="D502" s="1" t="str">
        <f>_xlfn.XLOOKUP(Table1[[#This Row],[customer_name]],Table11[customer_name],Table11[id_cust])</f>
        <v>CNA0497</v>
      </c>
      <c r="E502" t="s">
        <v>1184</v>
      </c>
      <c r="F502">
        <v>25</v>
      </c>
      <c r="G502" t="str">
        <f>_xlfn.XLOOKUP(Table1[[#This Row],[branch_name]],Table3[branch_name],Table3[id_branch])</f>
        <v>BRCH005</v>
      </c>
      <c r="H502" t="s">
        <v>1217</v>
      </c>
      <c r="I502" t="str">
        <f>_xlfn.XLOOKUP(Table1[[#This Row],[city]],Table4[city],Table4[id_city])</f>
        <v>KOA0106</v>
      </c>
      <c r="J502" t="s">
        <v>1222</v>
      </c>
      <c r="K502" t="str">
        <f>_xlfn.XLOOKUP(Table1[[#This Row],[menu_name]],Table5[menu_name],Table5[id_menu])</f>
        <v>MENU005</v>
      </c>
      <c r="L502" t="s">
        <v>1227</v>
      </c>
      <c r="M502" t="str">
        <f>_xlfn.XLOOKUP(Table1[[#This Row],[category]],Table6[category],Table6[id_category])</f>
        <v>KTG0206</v>
      </c>
      <c r="N502" t="s">
        <v>1234</v>
      </c>
      <c r="O502">
        <v>1</v>
      </c>
      <c r="P502">
        <v>23000</v>
      </c>
      <c r="Q502">
        <v>0</v>
      </c>
      <c r="R502">
        <v>3.4</v>
      </c>
      <c r="S502" t="str">
        <f>_xlfn.XLOOKUP(Table1[[#This Row],[method]],Table7[method],Table7[id_method])</f>
        <v>PAY0711</v>
      </c>
      <c r="T502" t="s">
        <v>1238</v>
      </c>
      <c r="U502">
        <v>23000</v>
      </c>
    </row>
    <row r="503" spans="1:21" x14ac:dyDescent="0.25">
      <c r="A503" t="s">
        <v>515</v>
      </c>
      <c r="B503" t="str">
        <f>_xlfn.XLOOKUP(Table1[[#This Row],[date]],Table8[date],Table8[id_date])</f>
        <v>TGL0772</v>
      </c>
      <c r="C503" s="1">
        <v>45639</v>
      </c>
      <c r="D503" s="1" t="str">
        <f>_xlfn.XLOOKUP(Table1[[#This Row],[customer_name]],Table11[customer_name],Table11[id_cust])</f>
        <v>CNA0411</v>
      </c>
      <c r="E503" t="s">
        <v>1175</v>
      </c>
      <c r="F503">
        <v>52</v>
      </c>
      <c r="G503" t="str">
        <f>_xlfn.XLOOKUP(Table1[[#This Row],[branch_name]],Table3[branch_name],Table3[id_branch])</f>
        <v>BRCH005</v>
      </c>
      <c r="H503" t="s">
        <v>1217</v>
      </c>
      <c r="I503" t="str">
        <f>_xlfn.XLOOKUP(Table1[[#This Row],[city]],Table4[city],Table4[id_city])</f>
        <v>KOA0106</v>
      </c>
      <c r="J503" t="s">
        <v>1222</v>
      </c>
      <c r="K503" t="str">
        <f>_xlfn.XLOOKUP(Table1[[#This Row],[menu_name]],Table5[menu_name],Table5[id_menu])</f>
        <v>MENU003</v>
      </c>
      <c r="L503" t="s">
        <v>1225</v>
      </c>
      <c r="M503" t="str">
        <f>_xlfn.XLOOKUP(Table1[[#This Row],[category]],Table6[category],Table6[id_category])</f>
        <v>KTG0205</v>
      </c>
      <c r="N503" t="s">
        <v>1233</v>
      </c>
      <c r="O503">
        <v>1</v>
      </c>
      <c r="P503">
        <v>22000</v>
      </c>
      <c r="Q503">
        <v>0</v>
      </c>
      <c r="R503">
        <v>1.5</v>
      </c>
      <c r="S503" t="str">
        <f>_xlfn.XLOOKUP(Table1[[#This Row],[method]],Table7[method],Table7[id_method])</f>
        <v>PAY0712</v>
      </c>
      <c r="T503" t="s">
        <v>1239</v>
      </c>
      <c r="U503">
        <v>22000</v>
      </c>
    </row>
    <row r="504" spans="1:21" x14ac:dyDescent="0.25">
      <c r="A504" t="s">
        <v>516</v>
      </c>
      <c r="B504" t="str">
        <f>_xlfn.XLOOKUP(Table1[[#This Row],[date]],Table8[date],Table8[id_date])</f>
        <v>TGL0772</v>
      </c>
      <c r="C504" s="1">
        <v>45639</v>
      </c>
      <c r="D504" s="1" t="str">
        <f>_xlfn.XLOOKUP(Table1[[#This Row],[customer_name]],Table11[customer_name],Table11[id_cust])</f>
        <v>CNA0126</v>
      </c>
      <c r="E504" t="s">
        <v>1038</v>
      </c>
      <c r="F504">
        <v>30</v>
      </c>
      <c r="G504" t="str">
        <f>_xlfn.XLOOKUP(Table1[[#This Row],[branch_name]],Table3[branch_name],Table3[id_branch])</f>
        <v>BRCH005</v>
      </c>
      <c r="H504" t="s">
        <v>1217</v>
      </c>
      <c r="I504" t="str">
        <f>_xlfn.XLOOKUP(Table1[[#This Row],[city]],Table4[city],Table4[id_city])</f>
        <v>KOA0106</v>
      </c>
      <c r="J504" t="s">
        <v>1222</v>
      </c>
      <c r="K504" t="str">
        <f>_xlfn.XLOOKUP(Table1[[#This Row],[menu_name]],Table5[menu_name],Table5[id_menu])</f>
        <v>MENU009</v>
      </c>
      <c r="L504" t="s">
        <v>1231</v>
      </c>
      <c r="M504" t="str">
        <f>_xlfn.XLOOKUP(Table1[[#This Row],[category]],Table6[category],Table6[id_category])</f>
        <v>KTG0206</v>
      </c>
      <c r="N504" t="s">
        <v>1234</v>
      </c>
      <c r="O504">
        <v>1</v>
      </c>
      <c r="P504">
        <v>18000</v>
      </c>
      <c r="Q504">
        <v>20</v>
      </c>
      <c r="R504">
        <v>1.5</v>
      </c>
      <c r="S504" t="str">
        <f>_xlfn.XLOOKUP(Table1[[#This Row],[method]],Table7[method],Table7[id_method])</f>
        <v>PAY0710</v>
      </c>
      <c r="T504" t="s">
        <v>1237</v>
      </c>
      <c r="U504">
        <v>14400</v>
      </c>
    </row>
    <row r="505" spans="1:21" x14ac:dyDescent="0.25">
      <c r="A505" t="s">
        <v>517</v>
      </c>
      <c r="B505" t="str">
        <f>_xlfn.XLOOKUP(Table1[[#This Row],[date]],Table8[date],Table8[id_date])</f>
        <v>TGL0772</v>
      </c>
      <c r="C505" s="1">
        <v>45639</v>
      </c>
      <c r="D505" s="1" t="str">
        <f>_xlfn.XLOOKUP(Table1[[#This Row],[customer_name]],Table11[customer_name],Table11[id_cust])</f>
        <v>CNA0531</v>
      </c>
      <c r="E505" t="s">
        <v>1188</v>
      </c>
      <c r="F505">
        <v>45</v>
      </c>
      <c r="G505" t="str">
        <f>_xlfn.XLOOKUP(Table1[[#This Row],[branch_name]],Table3[branch_name],Table3[id_branch])</f>
        <v>BRCH002</v>
      </c>
      <c r="H505" t="s">
        <v>1214</v>
      </c>
      <c r="I505" t="str">
        <f>_xlfn.XLOOKUP(Table1[[#This Row],[city]],Table4[city],Table4[id_city])</f>
        <v>KOA0103</v>
      </c>
      <c r="J505" t="s">
        <v>1219</v>
      </c>
      <c r="K505" t="str">
        <f>_xlfn.XLOOKUP(Table1[[#This Row],[menu_name]],Table5[menu_name],Table5[id_menu])</f>
        <v>MENU008</v>
      </c>
      <c r="L505" t="s">
        <v>1230</v>
      </c>
      <c r="M505" t="str">
        <f>_xlfn.XLOOKUP(Table1[[#This Row],[category]],Table6[category],Table6[id_category])</f>
        <v>KTG0205</v>
      </c>
      <c r="N505" t="s">
        <v>1233</v>
      </c>
      <c r="O505">
        <v>2</v>
      </c>
      <c r="P505">
        <v>20000</v>
      </c>
      <c r="Q505">
        <v>5</v>
      </c>
      <c r="R505">
        <v>1.5</v>
      </c>
      <c r="S505" t="str">
        <f>_xlfn.XLOOKUP(Table1[[#This Row],[method]],Table7[method],Table7[id_method])</f>
        <v>PAY0711</v>
      </c>
      <c r="T505" t="s">
        <v>1238</v>
      </c>
      <c r="U505">
        <v>38000</v>
      </c>
    </row>
    <row r="506" spans="1:21" x14ac:dyDescent="0.25">
      <c r="A506" t="s">
        <v>518</v>
      </c>
      <c r="B506" t="str">
        <f>_xlfn.XLOOKUP(Table1[[#This Row],[date]],Table8[date],Table8[id_date])</f>
        <v>TGL0773</v>
      </c>
      <c r="C506" s="1">
        <v>45640</v>
      </c>
      <c r="D506" s="1" t="str">
        <f>_xlfn.XLOOKUP(Table1[[#This Row],[customer_name]],Table11[customer_name],Table11[id_cust])</f>
        <v>CNA0169</v>
      </c>
      <c r="E506" t="s">
        <v>1074</v>
      </c>
      <c r="F506">
        <v>53</v>
      </c>
      <c r="G506" t="str">
        <f>_xlfn.XLOOKUP(Table1[[#This Row],[branch_name]],Table3[branch_name],Table3[id_branch])</f>
        <v>BRCH003</v>
      </c>
      <c r="H506" t="s">
        <v>1215</v>
      </c>
      <c r="I506" t="str">
        <f>_xlfn.XLOOKUP(Table1[[#This Row],[city]],Table4[city],Table4[id_city])</f>
        <v>KOA0104</v>
      </c>
      <c r="J506" t="s">
        <v>1220</v>
      </c>
      <c r="K506" t="str">
        <f>_xlfn.XLOOKUP(Table1[[#This Row],[menu_name]],Table5[menu_name],Table5[id_menu])</f>
        <v>MENU004</v>
      </c>
      <c r="L506" t="s">
        <v>1226</v>
      </c>
      <c r="M506" t="str">
        <f>_xlfn.XLOOKUP(Table1[[#This Row],[category]],Table6[category],Table6[id_category])</f>
        <v>KTG0207</v>
      </c>
      <c r="N506" t="s">
        <v>1235</v>
      </c>
      <c r="O506">
        <v>3</v>
      </c>
      <c r="P506">
        <v>28000</v>
      </c>
      <c r="Q506">
        <v>0</v>
      </c>
      <c r="R506">
        <v>4.4000000000000004</v>
      </c>
      <c r="S506" t="str">
        <f>_xlfn.XLOOKUP(Table1[[#This Row],[method]],Table7[method],Table7[id_method])</f>
        <v>PAY0710</v>
      </c>
      <c r="T506" t="s">
        <v>1237</v>
      </c>
      <c r="U506">
        <v>84000</v>
      </c>
    </row>
    <row r="507" spans="1:21" x14ac:dyDescent="0.25">
      <c r="A507" t="s">
        <v>519</v>
      </c>
      <c r="B507" t="str">
        <f>_xlfn.XLOOKUP(Table1[[#This Row],[date]],Table8[date],Table8[id_date])</f>
        <v>TGL0773</v>
      </c>
      <c r="C507" s="1">
        <v>45640</v>
      </c>
      <c r="D507" s="1" t="str">
        <f>_xlfn.XLOOKUP(Table1[[#This Row],[customer_name]],Table11[customer_name],Table11[id_cust])</f>
        <v>CNA0158</v>
      </c>
      <c r="E507" t="s">
        <v>1066</v>
      </c>
      <c r="F507">
        <v>48</v>
      </c>
      <c r="G507" t="str">
        <f>_xlfn.XLOOKUP(Table1[[#This Row],[branch_name]],Table3[branch_name],Table3[id_branch])</f>
        <v>BRCH001</v>
      </c>
      <c r="H507" t="s">
        <v>1213</v>
      </c>
      <c r="I507" t="str">
        <f>_xlfn.XLOOKUP(Table1[[#This Row],[city]],Table4[city],Table4[id_city])</f>
        <v>KOA0102</v>
      </c>
      <c r="J507" t="s">
        <v>1218</v>
      </c>
      <c r="K507" t="str">
        <f>_xlfn.XLOOKUP(Table1[[#This Row],[menu_name]],Table5[menu_name],Table5[id_menu])</f>
        <v>MENU008</v>
      </c>
      <c r="L507" t="s">
        <v>1230</v>
      </c>
      <c r="M507" t="str">
        <f>_xlfn.XLOOKUP(Table1[[#This Row],[category]],Table6[category],Table6[id_category])</f>
        <v>KTG0205</v>
      </c>
      <c r="N507" t="s">
        <v>1233</v>
      </c>
      <c r="O507">
        <v>3</v>
      </c>
      <c r="P507">
        <v>20000</v>
      </c>
      <c r="Q507">
        <v>20</v>
      </c>
      <c r="R507">
        <v>2.5</v>
      </c>
      <c r="S507" t="str">
        <f>_xlfn.XLOOKUP(Table1[[#This Row],[method]],Table7[method],Table7[id_method])</f>
        <v>PAY0709</v>
      </c>
      <c r="T507" t="s">
        <v>1236</v>
      </c>
      <c r="U507">
        <v>48000</v>
      </c>
    </row>
    <row r="508" spans="1:21" x14ac:dyDescent="0.25">
      <c r="A508" t="s">
        <v>520</v>
      </c>
      <c r="B508" t="str">
        <f>_xlfn.XLOOKUP(Table1[[#This Row],[date]],Table8[date],Table8[id_date])</f>
        <v>TGL0773</v>
      </c>
      <c r="C508" s="1">
        <v>45640</v>
      </c>
      <c r="D508" s="1" t="str">
        <f>_xlfn.XLOOKUP(Table1[[#This Row],[customer_name]],Table11[customer_name],Table11[id_cust])</f>
        <v>CNA0558</v>
      </c>
      <c r="E508" t="s">
        <v>1191</v>
      </c>
      <c r="F508">
        <v>27</v>
      </c>
      <c r="G508" t="str">
        <f>_xlfn.XLOOKUP(Table1[[#This Row],[branch_name]],Table3[branch_name],Table3[id_branch])</f>
        <v>BRCH002</v>
      </c>
      <c r="H508" t="s">
        <v>1214</v>
      </c>
      <c r="I508" t="str">
        <f>_xlfn.XLOOKUP(Table1[[#This Row],[city]],Table4[city],Table4[id_city])</f>
        <v>KOA0103</v>
      </c>
      <c r="J508" t="s">
        <v>1219</v>
      </c>
      <c r="K508" t="str">
        <f>_xlfn.XLOOKUP(Table1[[#This Row],[menu_name]],Table5[menu_name],Table5[id_menu])</f>
        <v>MENU004</v>
      </c>
      <c r="L508" t="s">
        <v>1226</v>
      </c>
      <c r="M508" t="str">
        <f>_xlfn.XLOOKUP(Table1[[#This Row],[category]],Table6[category],Table6[id_category])</f>
        <v>KTG0207</v>
      </c>
      <c r="N508" t="s">
        <v>1235</v>
      </c>
      <c r="O508">
        <v>4</v>
      </c>
      <c r="P508">
        <v>28000</v>
      </c>
      <c r="Q508">
        <v>0</v>
      </c>
      <c r="R508">
        <v>1.9</v>
      </c>
      <c r="S508" t="str">
        <f>_xlfn.XLOOKUP(Table1[[#This Row],[method]],Table7[method],Table7[id_method])</f>
        <v>PAY0712</v>
      </c>
      <c r="T508" t="s">
        <v>1239</v>
      </c>
      <c r="U508">
        <v>112000</v>
      </c>
    </row>
    <row r="509" spans="1:21" x14ac:dyDescent="0.25">
      <c r="A509" t="s">
        <v>521</v>
      </c>
      <c r="B509" t="str">
        <f>_xlfn.XLOOKUP(Table1[[#This Row],[date]],Table8[date],Table8[id_date])</f>
        <v>TGL0774</v>
      </c>
      <c r="C509" s="1">
        <v>45641</v>
      </c>
      <c r="D509" s="1" t="str">
        <f>_xlfn.XLOOKUP(Table1[[#This Row],[customer_name]],Table11[customer_name],Table11[id_cust])</f>
        <v>CNA0531</v>
      </c>
      <c r="E509" t="s">
        <v>1188</v>
      </c>
      <c r="F509">
        <v>45</v>
      </c>
      <c r="G509" t="str">
        <f>_xlfn.XLOOKUP(Table1[[#This Row],[branch_name]],Table3[branch_name],Table3[id_branch])</f>
        <v>BRCH003</v>
      </c>
      <c r="H509" t="s">
        <v>1215</v>
      </c>
      <c r="I509" t="str">
        <f>_xlfn.XLOOKUP(Table1[[#This Row],[city]],Table4[city],Table4[id_city])</f>
        <v>KOA0104</v>
      </c>
      <c r="J509" t="s">
        <v>1220</v>
      </c>
      <c r="K509" t="str">
        <f>_xlfn.XLOOKUP(Table1[[#This Row],[menu_name]],Table5[menu_name],Table5[id_menu])</f>
        <v>MENU002</v>
      </c>
      <c r="L509" t="s">
        <v>1224</v>
      </c>
      <c r="M509" t="str">
        <f>_xlfn.XLOOKUP(Table1[[#This Row],[category]],Table6[category],Table6[id_category])</f>
        <v>KTG0206</v>
      </c>
      <c r="N509" t="s">
        <v>1234</v>
      </c>
      <c r="O509">
        <v>1</v>
      </c>
      <c r="P509">
        <v>30000</v>
      </c>
      <c r="Q509">
        <v>0</v>
      </c>
      <c r="R509">
        <v>3.5</v>
      </c>
      <c r="S509" t="str">
        <f>_xlfn.XLOOKUP(Table1[[#This Row],[method]],Table7[method],Table7[id_method])</f>
        <v>PAY0710</v>
      </c>
      <c r="T509" t="s">
        <v>1237</v>
      </c>
      <c r="U509">
        <v>30000</v>
      </c>
    </row>
    <row r="510" spans="1:21" x14ac:dyDescent="0.25">
      <c r="A510" t="s">
        <v>522</v>
      </c>
      <c r="B510" t="str">
        <f>_xlfn.XLOOKUP(Table1[[#This Row],[date]],Table8[date],Table8[id_date])</f>
        <v>TGL0774</v>
      </c>
      <c r="C510" s="1">
        <v>45641</v>
      </c>
      <c r="D510" s="1" t="str">
        <f>_xlfn.XLOOKUP(Table1[[#This Row],[customer_name]],Table11[customer_name],Table11[id_cust])</f>
        <v>CNA0113</v>
      </c>
      <c r="E510" t="s">
        <v>1026</v>
      </c>
      <c r="F510">
        <v>33</v>
      </c>
      <c r="G510" t="str">
        <f>_xlfn.XLOOKUP(Table1[[#This Row],[branch_name]],Table3[branch_name],Table3[id_branch])</f>
        <v>BRCH005</v>
      </c>
      <c r="H510" t="s">
        <v>1217</v>
      </c>
      <c r="I510" t="str">
        <f>_xlfn.XLOOKUP(Table1[[#This Row],[city]],Table4[city],Table4[id_city])</f>
        <v>KOA0106</v>
      </c>
      <c r="J510" t="s">
        <v>1222</v>
      </c>
      <c r="K510" t="str">
        <f>_xlfn.XLOOKUP(Table1[[#This Row],[menu_name]],Table5[menu_name],Table5[id_menu])</f>
        <v>MENU006</v>
      </c>
      <c r="L510" t="s">
        <v>1228</v>
      </c>
      <c r="M510" t="str">
        <f>_xlfn.XLOOKUP(Table1[[#This Row],[category]],Table6[category],Table6[id_category])</f>
        <v>KTG0206</v>
      </c>
      <c r="N510" t="s">
        <v>1234</v>
      </c>
      <c r="O510">
        <v>5</v>
      </c>
      <c r="P510">
        <v>32000</v>
      </c>
      <c r="Q510">
        <v>20</v>
      </c>
      <c r="R510">
        <v>2.2000000000000002</v>
      </c>
      <c r="S510" t="str">
        <f>_xlfn.XLOOKUP(Table1[[#This Row],[method]],Table7[method],Table7[id_method])</f>
        <v>PAY0711</v>
      </c>
      <c r="T510" t="s">
        <v>1238</v>
      </c>
      <c r="U510">
        <v>128000</v>
      </c>
    </row>
    <row r="511" spans="1:21" x14ac:dyDescent="0.25">
      <c r="A511" t="s">
        <v>523</v>
      </c>
      <c r="B511" t="str">
        <f>_xlfn.XLOOKUP(Table1[[#This Row],[date]],Table8[date],Table8[id_date])</f>
        <v>TGL0774</v>
      </c>
      <c r="C511" s="1">
        <v>45641</v>
      </c>
      <c r="D511" s="1" t="str">
        <f>_xlfn.XLOOKUP(Table1[[#This Row],[customer_name]],Table11[customer_name],Table11[id_cust])</f>
        <v>CNA0277</v>
      </c>
      <c r="E511" t="s">
        <v>1138</v>
      </c>
      <c r="F511">
        <v>52</v>
      </c>
      <c r="G511" t="str">
        <f>_xlfn.XLOOKUP(Table1[[#This Row],[branch_name]],Table3[branch_name],Table3[id_branch])</f>
        <v>BRCH004</v>
      </c>
      <c r="H511" t="s">
        <v>1216</v>
      </c>
      <c r="I511" t="str">
        <f>_xlfn.XLOOKUP(Table1[[#This Row],[city]],Table4[city],Table4[id_city])</f>
        <v>KOA0105</v>
      </c>
      <c r="J511" t="s">
        <v>1221</v>
      </c>
      <c r="K511" t="str">
        <f>_xlfn.XLOOKUP(Table1[[#This Row],[menu_name]],Table5[menu_name],Table5[id_menu])</f>
        <v>MENU008</v>
      </c>
      <c r="L511" t="s">
        <v>1230</v>
      </c>
      <c r="M511" t="str">
        <f>_xlfn.XLOOKUP(Table1[[#This Row],[category]],Table6[category],Table6[id_category])</f>
        <v>KTG0205</v>
      </c>
      <c r="N511" t="s">
        <v>1233</v>
      </c>
      <c r="O511">
        <v>3</v>
      </c>
      <c r="P511">
        <v>20000</v>
      </c>
      <c r="Q511">
        <v>10</v>
      </c>
      <c r="R511">
        <v>4.4000000000000004</v>
      </c>
      <c r="S511" t="str">
        <f>_xlfn.XLOOKUP(Table1[[#This Row],[method]],Table7[method],Table7[id_method])</f>
        <v>PAY0712</v>
      </c>
      <c r="T511" t="s">
        <v>1239</v>
      </c>
      <c r="U511">
        <v>54000</v>
      </c>
    </row>
    <row r="512" spans="1:21" x14ac:dyDescent="0.25">
      <c r="A512" t="s">
        <v>524</v>
      </c>
      <c r="B512" t="str">
        <f>_xlfn.XLOOKUP(Table1[[#This Row],[date]],Table8[date],Table8[id_date])</f>
        <v>TGL0774</v>
      </c>
      <c r="C512" s="1">
        <v>45641</v>
      </c>
      <c r="D512" s="1" t="str">
        <f>_xlfn.XLOOKUP(Table1[[#This Row],[customer_name]],Table11[customer_name],Table11[id_cust])</f>
        <v>CNA0152</v>
      </c>
      <c r="E512" t="s">
        <v>1061</v>
      </c>
      <c r="F512">
        <v>49</v>
      </c>
      <c r="G512" t="str">
        <f>_xlfn.XLOOKUP(Table1[[#This Row],[branch_name]],Table3[branch_name],Table3[id_branch])</f>
        <v>BRCH003</v>
      </c>
      <c r="H512" t="s">
        <v>1215</v>
      </c>
      <c r="I512" t="str">
        <f>_xlfn.XLOOKUP(Table1[[#This Row],[city]],Table4[city],Table4[id_city])</f>
        <v>KOA0104</v>
      </c>
      <c r="J512" t="s">
        <v>1220</v>
      </c>
      <c r="K512" t="str">
        <f>_xlfn.XLOOKUP(Table1[[#This Row],[menu_name]],Table5[menu_name],Table5[id_menu])</f>
        <v>MENU005</v>
      </c>
      <c r="L512" t="s">
        <v>1227</v>
      </c>
      <c r="M512" t="str">
        <f>_xlfn.XLOOKUP(Table1[[#This Row],[category]],Table6[category],Table6[id_category])</f>
        <v>KTG0206</v>
      </c>
      <c r="N512" t="s">
        <v>1234</v>
      </c>
      <c r="O512">
        <v>2</v>
      </c>
      <c r="P512">
        <v>23000</v>
      </c>
      <c r="Q512">
        <v>15</v>
      </c>
      <c r="R512">
        <v>1.4</v>
      </c>
      <c r="S512" t="str">
        <f>_xlfn.XLOOKUP(Table1[[#This Row],[method]],Table7[method],Table7[id_method])</f>
        <v>PAY0710</v>
      </c>
      <c r="T512" t="s">
        <v>1237</v>
      </c>
      <c r="U512">
        <v>39100</v>
      </c>
    </row>
    <row r="513" spans="1:21" x14ac:dyDescent="0.25">
      <c r="A513" t="s">
        <v>525</v>
      </c>
      <c r="B513" t="str">
        <f>_xlfn.XLOOKUP(Table1[[#This Row],[date]],Table8[date],Table8[id_date])</f>
        <v>TGL0775</v>
      </c>
      <c r="C513" s="1">
        <v>45645</v>
      </c>
      <c r="D513" s="1" t="str">
        <f>_xlfn.XLOOKUP(Table1[[#This Row],[customer_name]],Table11[customer_name],Table11[id_cust])</f>
        <v>CNA0155</v>
      </c>
      <c r="E513" t="s">
        <v>1064</v>
      </c>
      <c r="F513">
        <v>18</v>
      </c>
      <c r="G513" t="str">
        <f>_xlfn.XLOOKUP(Table1[[#This Row],[branch_name]],Table3[branch_name],Table3[id_branch])</f>
        <v>BRCH003</v>
      </c>
      <c r="H513" t="s">
        <v>1215</v>
      </c>
      <c r="I513" t="str">
        <f>_xlfn.XLOOKUP(Table1[[#This Row],[city]],Table4[city],Table4[id_city])</f>
        <v>KOA0104</v>
      </c>
      <c r="J513" t="s">
        <v>1220</v>
      </c>
      <c r="K513" t="str">
        <f>_xlfn.XLOOKUP(Table1[[#This Row],[menu_name]],Table5[menu_name],Table5[id_menu])</f>
        <v>MENU007</v>
      </c>
      <c r="L513" t="s">
        <v>1229</v>
      </c>
      <c r="M513" t="str">
        <f>_xlfn.XLOOKUP(Table1[[#This Row],[category]],Table6[category],Table6[id_category])</f>
        <v>KTG0207</v>
      </c>
      <c r="N513" t="s">
        <v>1235</v>
      </c>
      <c r="O513">
        <v>1</v>
      </c>
      <c r="P513">
        <v>27000</v>
      </c>
      <c r="Q513">
        <v>10</v>
      </c>
      <c r="R513">
        <v>4.4000000000000004</v>
      </c>
      <c r="S513" t="str">
        <f>_xlfn.XLOOKUP(Table1[[#This Row],[method]],Table7[method],Table7[id_method])</f>
        <v>PAY0709</v>
      </c>
      <c r="T513" t="s">
        <v>1236</v>
      </c>
      <c r="U513">
        <v>24300</v>
      </c>
    </row>
    <row r="514" spans="1:21" x14ac:dyDescent="0.25">
      <c r="A514" t="s">
        <v>526</v>
      </c>
      <c r="B514" t="str">
        <f>_xlfn.XLOOKUP(Table1[[#This Row],[date]],Table8[date],Table8[id_date])</f>
        <v>TGL0776</v>
      </c>
      <c r="C514" s="1">
        <v>45647</v>
      </c>
      <c r="D514" s="1" t="str">
        <f>_xlfn.XLOOKUP(Table1[[#This Row],[customer_name]],Table11[customer_name],Table11[id_cust])</f>
        <v>CNA0109</v>
      </c>
      <c r="E514" t="s">
        <v>1022</v>
      </c>
      <c r="F514">
        <v>45</v>
      </c>
      <c r="G514" t="str">
        <f>_xlfn.XLOOKUP(Table1[[#This Row],[branch_name]],Table3[branch_name],Table3[id_branch])</f>
        <v>BRCH001</v>
      </c>
      <c r="H514" t="s">
        <v>1213</v>
      </c>
      <c r="I514" t="str">
        <f>_xlfn.XLOOKUP(Table1[[#This Row],[city]],Table4[city],Table4[id_city])</f>
        <v>KOA0102</v>
      </c>
      <c r="J514" t="s">
        <v>1218</v>
      </c>
      <c r="K514" t="str">
        <f>_xlfn.XLOOKUP(Table1[[#This Row],[menu_name]],Table5[menu_name],Table5[id_menu])</f>
        <v>MENU002</v>
      </c>
      <c r="L514" t="s">
        <v>1224</v>
      </c>
      <c r="M514" t="str">
        <f>_xlfn.XLOOKUP(Table1[[#This Row],[category]],Table6[category],Table6[id_category])</f>
        <v>KTG0206</v>
      </c>
      <c r="N514" t="s">
        <v>1234</v>
      </c>
      <c r="O514">
        <v>4</v>
      </c>
      <c r="P514">
        <v>30000</v>
      </c>
      <c r="Q514">
        <v>0</v>
      </c>
      <c r="R514">
        <v>2.4</v>
      </c>
      <c r="S514" t="str">
        <f>_xlfn.XLOOKUP(Table1[[#This Row],[method]],Table7[method],Table7[id_method])</f>
        <v>PAY0709</v>
      </c>
      <c r="T514" t="s">
        <v>1236</v>
      </c>
      <c r="U514">
        <v>120000</v>
      </c>
    </row>
    <row r="515" spans="1:21" x14ac:dyDescent="0.25">
      <c r="A515" t="s">
        <v>527</v>
      </c>
      <c r="B515" t="str">
        <f>_xlfn.XLOOKUP(Table1[[#This Row],[date]],Table8[date],Table8[id_date])</f>
        <v>TGL0777</v>
      </c>
      <c r="C515" s="1">
        <v>45648</v>
      </c>
      <c r="D515" s="1" t="str">
        <f>_xlfn.XLOOKUP(Table1[[#This Row],[customer_name]],Table11[customer_name],Table11[id_cust])</f>
        <v>CNA0299</v>
      </c>
      <c r="E515" t="s">
        <v>1149</v>
      </c>
      <c r="F515">
        <v>38</v>
      </c>
      <c r="G515" t="str">
        <f>_xlfn.XLOOKUP(Table1[[#This Row],[branch_name]],Table3[branch_name],Table3[id_branch])</f>
        <v>BRCH005</v>
      </c>
      <c r="H515" t="s">
        <v>1217</v>
      </c>
      <c r="I515" t="str">
        <f>_xlfn.XLOOKUP(Table1[[#This Row],[city]],Table4[city],Table4[id_city])</f>
        <v>KOA0106</v>
      </c>
      <c r="J515" t="s">
        <v>1222</v>
      </c>
      <c r="K515" t="str">
        <f>_xlfn.XLOOKUP(Table1[[#This Row],[menu_name]],Table5[menu_name],Table5[id_menu])</f>
        <v>MENU001</v>
      </c>
      <c r="L515" t="s">
        <v>1223</v>
      </c>
      <c r="M515" t="str">
        <f>_xlfn.XLOOKUP(Table1[[#This Row],[category]],Table6[category],Table6[id_category])</f>
        <v>KTG0205</v>
      </c>
      <c r="N515" t="s">
        <v>1233</v>
      </c>
      <c r="O515">
        <v>4</v>
      </c>
      <c r="P515">
        <v>25000</v>
      </c>
      <c r="Q515">
        <v>15</v>
      </c>
      <c r="R515">
        <v>1.9</v>
      </c>
      <c r="S515" t="str">
        <f>_xlfn.XLOOKUP(Table1[[#This Row],[method]],Table7[method],Table7[id_method])</f>
        <v>PAY0710</v>
      </c>
      <c r="T515" t="s">
        <v>1237</v>
      </c>
      <c r="U515">
        <v>85000</v>
      </c>
    </row>
    <row r="516" spans="1:21" x14ac:dyDescent="0.25">
      <c r="A516" t="s">
        <v>528</v>
      </c>
      <c r="B516" t="str">
        <f>_xlfn.XLOOKUP(Table1[[#This Row],[date]],Table8[date],Table8[id_date])</f>
        <v>TGL0778</v>
      </c>
      <c r="C516" s="1">
        <v>45649</v>
      </c>
      <c r="D516" s="1" t="str">
        <f>_xlfn.XLOOKUP(Table1[[#This Row],[customer_name]],Table11[customer_name],Table11[id_cust])</f>
        <v>CNA0280</v>
      </c>
      <c r="E516" t="s">
        <v>1140</v>
      </c>
      <c r="F516">
        <v>25</v>
      </c>
      <c r="G516" t="str">
        <f>_xlfn.XLOOKUP(Table1[[#This Row],[branch_name]],Table3[branch_name],Table3[id_branch])</f>
        <v>BRCH001</v>
      </c>
      <c r="H516" t="s">
        <v>1213</v>
      </c>
      <c r="I516" t="str">
        <f>_xlfn.XLOOKUP(Table1[[#This Row],[city]],Table4[city],Table4[id_city])</f>
        <v>KOA0102</v>
      </c>
      <c r="J516" t="s">
        <v>1218</v>
      </c>
      <c r="K516" t="str">
        <f>_xlfn.XLOOKUP(Table1[[#This Row],[menu_name]],Table5[menu_name],Table5[id_menu])</f>
        <v>MENU007</v>
      </c>
      <c r="L516" t="s">
        <v>1229</v>
      </c>
      <c r="M516" t="str">
        <f>_xlfn.XLOOKUP(Table1[[#This Row],[category]],Table6[category],Table6[id_category])</f>
        <v>KTG0207</v>
      </c>
      <c r="N516" t="s">
        <v>1235</v>
      </c>
      <c r="O516">
        <v>5</v>
      </c>
      <c r="P516">
        <v>27000</v>
      </c>
      <c r="Q516">
        <v>0</v>
      </c>
      <c r="R516">
        <v>4.3</v>
      </c>
      <c r="S516" t="str">
        <f>_xlfn.XLOOKUP(Table1[[#This Row],[method]],Table7[method],Table7[id_method])</f>
        <v>PAY0709</v>
      </c>
      <c r="T516" t="s">
        <v>1236</v>
      </c>
      <c r="U516">
        <v>135000</v>
      </c>
    </row>
    <row r="517" spans="1:21" x14ac:dyDescent="0.25">
      <c r="A517" t="s">
        <v>529</v>
      </c>
      <c r="B517" t="str">
        <f>_xlfn.XLOOKUP(Table1[[#This Row],[date]],Table8[date],Table8[id_date])</f>
        <v>TGL0779</v>
      </c>
      <c r="C517" s="1">
        <v>45651</v>
      </c>
      <c r="D517" s="1" t="str">
        <f>_xlfn.XLOOKUP(Table1[[#This Row],[customer_name]],Table11[customer_name],Table11[id_cust])</f>
        <v>CNA0195</v>
      </c>
      <c r="E517" t="s">
        <v>1093</v>
      </c>
      <c r="F517">
        <v>42</v>
      </c>
      <c r="G517" t="str">
        <f>_xlfn.XLOOKUP(Table1[[#This Row],[branch_name]],Table3[branch_name],Table3[id_branch])</f>
        <v>BRCH002</v>
      </c>
      <c r="H517" t="s">
        <v>1214</v>
      </c>
      <c r="I517" t="str">
        <f>_xlfn.XLOOKUP(Table1[[#This Row],[city]],Table4[city],Table4[id_city])</f>
        <v>KOA0103</v>
      </c>
      <c r="J517" t="s">
        <v>1219</v>
      </c>
      <c r="K517" t="str">
        <f>_xlfn.XLOOKUP(Table1[[#This Row],[menu_name]],Table5[menu_name],Table5[id_menu])</f>
        <v>MENU007</v>
      </c>
      <c r="L517" t="s">
        <v>1229</v>
      </c>
      <c r="M517" t="str">
        <f>_xlfn.XLOOKUP(Table1[[#This Row],[category]],Table6[category],Table6[id_category])</f>
        <v>KTG0207</v>
      </c>
      <c r="N517" t="s">
        <v>1235</v>
      </c>
      <c r="O517">
        <v>4</v>
      </c>
      <c r="P517">
        <v>27000</v>
      </c>
      <c r="Q517">
        <v>15</v>
      </c>
      <c r="R517">
        <v>2.8</v>
      </c>
      <c r="S517" t="str">
        <f>_xlfn.XLOOKUP(Table1[[#This Row],[method]],Table7[method],Table7[id_method])</f>
        <v>PAY0712</v>
      </c>
      <c r="T517" t="s">
        <v>1239</v>
      </c>
      <c r="U517">
        <v>91800</v>
      </c>
    </row>
    <row r="518" spans="1:21" x14ac:dyDescent="0.25">
      <c r="A518" t="s">
        <v>530</v>
      </c>
      <c r="B518" t="str">
        <f>_xlfn.XLOOKUP(Table1[[#This Row],[date]],Table8[date],Table8[id_date])</f>
        <v>TGL0779</v>
      </c>
      <c r="C518" s="1">
        <v>45651</v>
      </c>
      <c r="D518" s="1" t="str">
        <f>_xlfn.XLOOKUP(Table1[[#This Row],[customer_name]],Table11[customer_name],Table11[id_cust])</f>
        <v>CNA0242</v>
      </c>
      <c r="E518" t="s">
        <v>1123</v>
      </c>
      <c r="F518">
        <v>40</v>
      </c>
      <c r="G518" t="str">
        <f>_xlfn.XLOOKUP(Table1[[#This Row],[branch_name]],Table3[branch_name],Table3[id_branch])</f>
        <v>BRCH004</v>
      </c>
      <c r="H518" t="s">
        <v>1216</v>
      </c>
      <c r="I518" t="str">
        <f>_xlfn.XLOOKUP(Table1[[#This Row],[city]],Table4[city],Table4[id_city])</f>
        <v>KOA0105</v>
      </c>
      <c r="J518" t="s">
        <v>1221</v>
      </c>
      <c r="K518" t="str">
        <f>_xlfn.XLOOKUP(Table1[[#This Row],[menu_name]],Table5[menu_name],Table5[id_menu])</f>
        <v>MENU003</v>
      </c>
      <c r="L518" t="s">
        <v>1225</v>
      </c>
      <c r="M518" t="str">
        <f>_xlfn.XLOOKUP(Table1[[#This Row],[category]],Table6[category],Table6[id_category])</f>
        <v>KTG0205</v>
      </c>
      <c r="N518" t="s">
        <v>1233</v>
      </c>
      <c r="O518">
        <v>1</v>
      </c>
      <c r="P518">
        <v>22000</v>
      </c>
      <c r="Q518">
        <v>0</v>
      </c>
      <c r="R518">
        <v>3</v>
      </c>
      <c r="S518" t="str">
        <f>_xlfn.XLOOKUP(Table1[[#This Row],[method]],Table7[method],Table7[id_method])</f>
        <v>PAY0711</v>
      </c>
      <c r="T518" t="s">
        <v>1238</v>
      </c>
      <c r="U518">
        <v>22000</v>
      </c>
    </row>
    <row r="519" spans="1:21" x14ac:dyDescent="0.25">
      <c r="A519" t="s">
        <v>531</v>
      </c>
      <c r="B519" t="str">
        <f>_xlfn.XLOOKUP(Table1[[#This Row],[date]],Table8[date],Table8[id_date])</f>
        <v>TGL0780</v>
      </c>
      <c r="C519" s="1">
        <v>45652</v>
      </c>
      <c r="D519" s="1" t="str">
        <f>_xlfn.XLOOKUP(Table1[[#This Row],[customer_name]],Table11[customer_name],Table11[id_cust])</f>
        <v>CNA0195</v>
      </c>
      <c r="E519" t="s">
        <v>1093</v>
      </c>
      <c r="F519">
        <v>42</v>
      </c>
      <c r="G519" t="str">
        <f>_xlfn.XLOOKUP(Table1[[#This Row],[branch_name]],Table3[branch_name],Table3[id_branch])</f>
        <v>BRCH004</v>
      </c>
      <c r="H519" t="s">
        <v>1216</v>
      </c>
      <c r="I519" t="str">
        <f>_xlfn.XLOOKUP(Table1[[#This Row],[city]],Table4[city],Table4[id_city])</f>
        <v>KOA0105</v>
      </c>
      <c r="J519" t="s">
        <v>1221</v>
      </c>
      <c r="K519" t="str">
        <f>_xlfn.XLOOKUP(Table1[[#This Row],[menu_name]],Table5[menu_name],Table5[id_menu])</f>
        <v>MENU006</v>
      </c>
      <c r="L519" t="s">
        <v>1228</v>
      </c>
      <c r="M519" t="str">
        <f>_xlfn.XLOOKUP(Table1[[#This Row],[category]],Table6[category],Table6[id_category])</f>
        <v>KTG0206</v>
      </c>
      <c r="N519" t="s">
        <v>1234</v>
      </c>
      <c r="O519">
        <v>4</v>
      </c>
      <c r="P519">
        <v>32000</v>
      </c>
      <c r="Q519">
        <v>20</v>
      </c>
      <c r="R519">
        <v>1.9</v>
      </c>
      <c r="S519" t="str">
        <f>_xlfn.XLOOKUP(Table1[[#This Row],[method]],Table7[method],Table7[id_method])</f>
        <v>PAY0712</v>
      </c>
      <c r="T519" t="s">
        <v>1239</v>
      </c>
      <c r="U519">
        <v>102400</v>
      </c>
    </row>
    <row r="520" spans="1:21" x14ac:dyDescent="0.25">
      <c r="A520" t="s">
        <v>532</v>
      </c>
      <c r="B520" t="str">
        <f>_xlfn.XLOOKUP(Table1[[#This Row],[date]],Table8[date],Table8[id_date])</f>
        <v>TGL0780</v>
      </c>
      <c r="C520" s="1">
        <v>45652</v>
      </c>
      <c r="D520" s="1" t="str">
        <f>_xlfn.XLOOKUP(Table1[[#This Row],[customer_name]],Table11[customer_name],Table11[id_cust])</f>
        <v>CNA0390</v>
      </c>
      <c r="E520" t="s">
        <v>1170</v>
      </c>
      <c r="F520">
        <v>32</v>
      </c>
      <c r="G520" t="str">
        <f>_xlfn.XLOOKUP(Table1[[#This Row],[branch_name]],Table3[branch_name],Table3[id_branch])</f>
        <v>BRCH004</v>
      </c>
      <c r="H520" t="s">
        <v>1216</v>
      </c>
      <c r="I520" t="str">
        <f>_xlfn.XLOOKUP(Table1[[#This Row],[city]],Table4[city],Table4[id_city])</f>
        <v>KOA0105</v>
      </c>
      <c r="J520" t="s">
        <v>1221</v>
      </c>
      <c r="K520" t="str">
        <f>_xlfn.XLOOKUP(Table1[[#This Row],[menu_name]],Table5[menu_name],Table5[id_menu])</f>
        <v>MENU006</v>
      </c>
      <c r="L520" t="s">
        <v>1228</v>
      </c>
      <c r="M520" t="str">
        <f>_xlfn.XLOOKUP(Table1[[#This Row],[category]],Table6[category],Table6[id_category])</f>
        <v>KTG0206</v>
      </c>
      <c r="N520" t="s">
        <v>1234</v>
      </c>
      <c r="O520">
        <v>3</v>
      </c>
      <c r="P520">
        <v>32000</v>
      </c>
      <c r="Q520">
        <v>0</v>
      </c>
      <c r="R520">
        <v>2.2000000000000002</v>
      </c>
      <c r="S520" t="str">
        <f>_xlfn.XLOOKUP(Table1[[#This Row],[method]],Table7[method],Table7[id_method])</f>
        <v>PAY0709</v>
      </c>
      <c r="T520" t="s">
        <v>1236</v>
      </c>
      <c r="U520">
        <v>96000</v>
      </c>
    </row>
    <row r="521" spans="1:21" x14ac:dyDescent="0.25">
      <c r="A521" t="s">
        <v>533</v>
      </c>
      <c r="B521" t="str">
        <f>_xlfn.XLOOKUP(Table1[[#This Row],[date]],Table8[date],Table8[id_date])</f>
        <v>TGL0781</v>
      </c>
      <c r="C521" s="1">
        <v>45654</v>
      </c>
      <c r="D521" s="1" t="str">
        <f>_xlfn.XLOOKUP(Table1[[#This Row],[customer_name]],Table11[customer_name],Table11[id_cust])</f>
        <v>CNA0147</v>
      </c>
      <c r="E521" t="s">
        <v>1056</v>
      </c>
      <c r="F521">
        <v>23</v>
      </c>
      <c r="G521" t="str">
        <f>_xlfn.XLOOKUP(Table1[[#This Row],[branch_name]],Table3[branch_name],Table3[id_branch])</f>
        <v>BRCH005</v>
      </c>
      <c r="H521" t="s">
        <v>1217</v>
      </c>
      <c r="I521" t="str">
        <f>_xlfn.XLOOKUP(Table1[[#This Row],[city]],Table4[city],Table4[id_city])</f>
        <v>KOA0106</v>
      </c>
      <c r="J521" t="s">
        <v>1222</v>
      </c>
      <c r="K521" t="str">
        <f>_xlfn.XLOOKUP(Table1[[#This Row],[menu_name]],Table5[menu_name],Table5[id_menu])</f>
        <v>MENU004</v>
      </c>
      <c r="L521" t="s">
        <v>1226</v>
      </c>
      <c r="M521" t="str">
        <f>_xlfn.XLOOKUP(Table1[[#This Row],[category]],Table6[category],Table6[id_category])</f>
        <v>KTG0207</v>
      </c>
      <c r="N521" t="s">
        <v>1235</v>
      </c>
      <c r="O521">
        <v>4</v>
      </c>
      <c r="P521">
        <v>28000</v>
      </c>
      <c r="Q521">
        <v>0</v>
      </c>
      <c r="R521">
        <v>2.4</v>
      </c>
      <c r="S521" t="str">
        <f>_xlfn.XLOOKUP(Table1[[#This Row],[method]],Table7[method],Table7[id_method])</f>
        <v>PAY0711</v>
      </c>
      <c r="T521" t="s">
        <v>1238</v>
      </c>
      <c r="U521">
        <v>112000</v>
      </c>
    </row>
    <row r="522" spans="1:21" x14ac:dyDescent="0.25">
      <c r="A522" t="s">
        <v>534</v>
      </c>
      <c r="B522" t="str">
        <f>_xlfn.XLOOKUP(Table1[[#This Row],[date]],Table8[date],Table8[id_date])</f>
        <v>TGL0781</v>
      </c>
      <c r="C522" s="1">
        <v>45654</v>
      </c>
      <c r="D522" s="1" t="str">
        <f>_xlfn.XLOOKUP(Table1[[#This Row],[customer_name]],Table11[customer_name],Table11[id_cust])</f>
        <v>CNA0278</v>
      </c>
      <c r="E522" t="s">
        <v>1139</v>
      </c>
      <c r="F522">
        <v>32</v>
      </c>
      <c r="G522" t="str">
        <f>_xlfn.XLOOKUP(Table1[[#This Row],[branch_name]],Table3[branch_name],Table3[id_branch])</f>
        <v>BRCH004</v>
      </c>
      <c r="H522" t="s">
        <v>1216</v>
      </c>
      <c r="I522" t="str">
        <f>_xlfn.XLOOKUP(Table1[[#This Row],[city]],Table4[city],Table4[id_city])</f>
        <v>KOA0105</v>
      </c>
      <c r="J522" t="s">
        <v>1221</v>
      </c>
      <c r="K522" t="str">
        <f>_xlfn.XLOOKUP(Table1[[#This Row],[menu_name]],Table5[menu_name],Table5[id_menu])</f>
        <v>MENU008</v>
      </c>
      <c r="L522" t="s">
        <v>1230</v>
      </c>
      <c r="M522" t="str">
        <f>_xlfn.XLOOKUP(Table1[[#This Row],[category]],Table6[category],Table6[id_category])</f>
        <v>KTG0205</v>
      </c>
      <c r="N522" t="s">
        <v>1233</v>
      </c>
      <c r="O522">
        <v>3</v>
      </c>
      <c r="P522">
        <v>20000</v>
      </c>
      <c r="Q522">
        <v>20</v>
      </c>
      <c r="R522">
        <v>4.9000000000000004</v>
      </c>
      <c r="S522" t="str">
        <f>_xlfn.XLOOKUP(Table1[[#This Row],[method]],Table7[method],Table7[id_method])</f>
        <v>PAY0709</v>
      </c>
      <c r="T522" t="s">
        <v>1236</v>
      </c>
      <c r="U522">
        <v>48000</v>
      </c>
    </row>
    <row r="523" spans="1:21" x14ac:dyDescent="0.25">
      <c r="A523" t="s">
        <v>535</v>
      </c>
      <c r="B523" t="str">
        <f>_xlfn.XLOOKUP(Table1[[#This Row],[date]],Table8[date],Table8[id_date])</f>
        <v>TGL0782</v>
      </c>
      <c r="C523" s="1">
        <v>45656</v>
      </c>
      <c r="D523" s="1" t="str">
        <f>_xlfn.XLOOKUP(Table1[[#This Row],[customer_name]],Table11[customer_name],Table11[id_cust])</f>
        <v>CNA0232</v>
      </c>
      <c r="E523" t="s">
        <v>1116</v>
      </c>
      <c r="F523">
        <v>17</v>
      </c>
      <c r="G523" t="str">
        <f>_xlfn.XLOOKUP(Table1[[#This Row],[branch_name]],Table3[branch_name],Table3[id_branch])</f>
        <v>BRCH003</v>
      </c>
      <c r="H523" t="s">
        <v>1215</v>
      </c>
      <c r="I523" t="str">
        <f>_xlfn.XLOOKUP(Table1[[#This Row],[city]],Table4[city],Table4[id_city])</f>
        <v>KOA0104</v>
      </c>
      <c r="J523" t="s">
        <v>1220</v>
      </c>
      <c r="K523" t="str">
        <f>_xlfn.XLOOKUP(Table1[[#This Row],[menu_name]],Table5[menu_name],Table5[id_menu])</f>
        <v>MENU002</v>
      </c>
      <c r="L523" t="s">
        <v>1224</v>
      </c>
      <c r="M523" t="str">
        <f>_xlfn.XLOOKUP(Table1[[#This Row],[category]],Table6[category],Table6[id_category])</f>
        <v>KTG0206</v>
      </c>
      <c r="N523" t="s">
        <v>1234</v>
      </c>
      <c r="O523">
        <v>5</v>
      </c>
      <c r="P523">
        <v>30000</v>
      </c>
      <c r="Q523">
        <v>0</v>
      </c>
      <c r="R523">
        <v>1.5</v>
      </c>
      <c r="S523" t="str">
        <f>_xlfn.XLOOKUP(Table1[[#This Row],[method]],Table7[method],Table7[id_method])</f>
        <v>PAY0710</v>
      </c>
      <c r="T523" t="s">
        <v>1237</v>
      </c>
      <c r="U523">
        <v>150000</v>
      </c>
    </row>
    <row r="524" spans="1:21" x14ac:dyDescent="0.25">
      <c r="A524" t="s">
        <v>536</v>
      </c>
      <c r="B524" t="str">
        <f>_xlfn.XLOOKUP(Table1[[#This Row],[date]],Table8[date],Table8[id_date])</f>
        <v>TGL0782</v>
      </c>
      <c r="C524" s="1">
        <v>45656</v>
      </c>
      <c r="D524" s="1" t="str">
        <f>_xlfn.XLOOKUP(Table1[[#This Row],[customer_name]],Table11[customer_name],Table11[id_cust])</f>
        <v>CNA0157</v>
      </c>
      <c r="E524" t="s">
        <v>1065</v>
      </c>
      <c r="F524">
        <v>29</v>
      </c>
      <c r="G524" t="str">
        <f>_xlfn.XLOOKUP(Table1[[#This Row],[branch_name]],Table3[branch_name],Table3[id_branch])</f>
        <v>BRCH001</v>
      </c>
      <c r="H524" t="s">
        <v>1213</v>
      </c>
      <c r="I524" t="str">
        <f>_xlfn.XLOOKUP(Table1[[#This Row],[city]],Table4[city],Table4[id_city])</f>
        <v>KOA0102</v>
      </c>
      <c r="J524" t="s">
        <v>1218</v>
      </c>
      <c r="K524" t="str">
        <f>_xlfn.XLOOKUP(Table1[[#This Row],[menu_name]],Table5[menu_name],Table5[id_menu])</f>
        <v>MENU002</v>
      </c>
      <c r="L524" t="s">
        <v>1224</v>
      </c>
      <c r="M524" t="str">
        <f>_xlfn.XLOOKUP(Table1[[#This Row],[category]],Table6[category],Table6[id_category])</f>
        <v>KTG0206</v>
      </c>
      <c r="N524" t="s">
        <v>1234</v>
      </c>
      <c r="O524">
        <v>5</v>
      </c>
      <c r="P524">
        <v>30000</v>
      </c>
      <c r="Q524">
        <v>0</v>
      </c>
      <c r="R524">
        <v>3.9</v>
      </c>
      <c r="S524" t="str">
        <f>_xlfn.XLOOKUP(Table1[[#This Row],[method]],Table7[method],Table7[id_method])</f>
        <v>PAY0709</v>
      </c>
      <c r="T524" t="s">
        <v>1236</v>
      </c>
      <c r="U524">
        <v>150000</v>
      </c>
    </row>
    <row r="525" spans="1:21" x14ac:dyDescent="0.25">
      <c r="A525" t="s">
        <v>537</v>
      </c>
      <c r="B525" t="str">
        <f>_xlfn.XLOOKUP(Table1[[#This Row],[date]],Table8[date],Table8[id_date])</f>
        <v>TGL0782</v>
      </c>
      <c r="C525" s="1">
        <v>45656</v>
      </c>
      <c r="D525" s="1" t="str">
        <f>_xlfn.XLOOKUP(Table1[[#This Row],[customer_name]],Table11[customer_name],Table11[id_cust])</f>
        <v>CNA0318</v>
      </c>
      <c r="E525" t="s">
        <v>1157</v>
      </c>
      <c r="F525">
        <v>27</v>
      </c>
      <c r="G525" t="str">
        <f>_xlfn.XLOOKUP(Table1[[#This Row],[branch_name]],Table3[branch_name],Table3[id_branch])</f>
        <v>BRCH003</v>
      </c>
      <c r="H525" t="s">
        <v>1215</v>
      </c>
      <c r="I525" t="str">
        <f>_xlfn.XLOOKUP(Table1[[#This Row],[city]],Table4[city],Table4[id_city])</f>
        <v>KOA0104</v>
      </c>
      <c r="J525" t="s">
        <v>1220</v>
      </c>
      <c r="K525" t="str">
        <f>_xlfn.XLOOKUP(Table1[[#This Row],[menu_name]],Table5[menu_name],Table5[id_menu])</f>
        <v>MENU008</v>
      </c>
      <c r="L525" t="s">
        <v>1230</v>
      </c>
      <c r="M525" t="str">
        <f>_xlfn.XLOOKUP(Table1[[#This Row],[category]],Table6[category],Table6[id_category])</f>
        <v>KTG0205</v>
      </c>
      <c r="N525" t="s">
        <v>1233</v>
      </c>
      <c r="O525">
        <v>2</v>
      </c>
      <c r="P525">
        <v>20000</v>
      </c>
      <c r="Q525">
        <v>0</v>
      </c>
      <c r="R525">
        <v>4.7</v>
      </c>
      <c r="S525" t="str">
        <f>_xlfn.XLOOKUP(Table1[[#This Row],[method]],Table7[method],Table7[id_method])</f>
        <v>PAY0712</v>
      </c>
      <c r="T525" t="s">
        <v>1239</v>
      </c>
      <c r="U525">
        <v>40000</v>
      </c>
    </row>
    <row r="526" spans="1:21" x14ac:dyDescent="0.25">
      <c r="A526" t="s">
        <v>538</v>
      </c>
      <c r="B526" t="str">
        <f>_xlfn.XLOOKUP(Table1[[#This Row],[date]],Table8[date],Table8[id_date])</f>
        <v>TGL0783</v>
      </c>
      <c r="C526" s="1">
        <v>45658</v>
      </c>
      <c r="D526" s="1" t="str">
        <f>_xlfn.XLOOKUP(Table1[[#This Row],[customer_name]],Table11[customer_name],Table11[id_cust])</f>
        <v>CNA0223</v>
      </c>
      <c r="E526" t="s">
        <v>1110</v>
      </c>
      <c r="F526">
        <v>18</v>
      </c>
      <c r="G526" t="str">
        <f>_xlfn.XLOOKUP(Table1[[#This Row],[branch_name]],Table3[branch_name],Table3[id_branch])</f>
        <v>BRCH003</v>
      </c>
      <c r="H526" t="s">
        <v>1215</v>
      </c>
      <c r="I526" t="str">
        <f>_xlfn.XLOOKUP(Table1[[#This Row],[city]],Table4[city],Table4[id_city])</f>
        <v>KOA0104</v>
      </c>
      <c r="J526" t="s">
        <v>1220</v>
      </c>
      <c r="K526" t="str">
        <f>_xlfn.XLOOKUP(Table1[[#This Row],[menu_name]],Table5[menu_name],Table5[id_menu])</f>
        <v>MENU010</v>
      </c>
      <c r="L526" t="s">
        <v>1232</v>
      </c>
      <c r="M526" t="str">
        <f>_xlfn.XLOOKUP(Table1[[#This Row],[category]],Table6[category],Table6[id_category])</f>
        <v>KTG0205</v>
      </c>
      <c r="N526" t="s">
        <v>1233</v>
      </c>
      <c r="O526">
        <v>3</v>
      </c>
      <c r="P526">
        <v>18000</v>
      </c>
      <c r="Q526">
        <v>10</v>
      </c>
      <c r="R526">
        <v>1.5</v>
      </c>
      <c r="S526" t="str">
        <f>_xlfn.XLOOKUP(Table1[[#This Row],[method]],Table7[method],Table7[id_method])</f>
        <v>PAY0711</v>
      </c>
      <c r="T526" t="s">
        <v>1238</v>
      </c>
      <c r="U526">
        <v>48600</v>
      </c>
    </row>
    <row r="527" spans="1:21" x14ac:dyDescent="0.25">
      <c r="A527" t="s">
        <v>539</v>
      </c>
      <c r="B527" t="str">
        <f>_xlfn.XLOOKUP(Table1[[#This Row],[date]],Table8[date],Table8[id_date])</f>
        <v>TGL0784</v>
      </c>
      <c r="C527" s="1">
        <v>45660</v>
      </c>
      <c r="D527" s="1" t="str">
        <f>_xlfn.XLOOKUP(Table1[[#This Row],[customer_name]],Table11[customer_name],Table11[id_cust])</f>
        <v>CNA0199</v>
      </c>
      <c r="E527" t="s">
        <v>1094</v>
      </c>
      <c r="F527">
        <v>24</v>
      </c>
      <c r="G527" t="str">
        <f>_xlfn.XLOOKUP(Table1[[#This Row],[branch_name]],Table3[branch_name],Table3[id_branch])</f>
        <v>BRCH005</v>
      </c>
      <c r="H527" t="s">
        <v>1217</v>
      </c>
      <c r="I527" t="str">
        <f>_xlfn.XLOOKUP(Table1[[#This Row],[city]],Table4[city],Table4[id_city])</f>
        <v>KOA0106</v>
      </c>
      <c r="J527" t="s">
        <v>1222</v>
      </c>
      <c r="K527" t="str">
        <f>_xlfn.XLOOKUP(Table1[[#This Row],[menu_name]],Table5[menu_name],Table5[id_menu])</f>
        <v>MENU007</v>
      </c>
      <c r="L527" t="s">
        <v>1229</v>
      </c>
      <c r="M527" t="str">
        <f>_xlfn.XLOOKUP(Table1[[#This Row],[category]],Table6[category],Table6[id_category])</f>
        <v>KTG0207</v>
      </c>
      <c r="N527" t="s">
        <v>1235</v>
      </c>
      <c r="O527">
        <v>3</v>
      </c>
      <c r="P527">
        <v>27000</v>
      </c>
      <c r="Q527">
        <v>20</v>
      </c>
      <c r="R527">
        <v>2.6</v>
      </c>
      <c r="S527" t="str">
        <f>_xlfn.XLOOKUP(Table1[[#This Row],[method]],Table7[method],Table7[id_method])</f>
        <v>PAY0711</v>
      </c>
      <c r="T527" t="s">
        <v>1238</v>
      </c>
      <c r="U527">
        <v>64800</v>
      </c>
    </row>
    <row r="528" spans="1:21" x14ac:dyDescent="0.25">
      <c r="A528" t="s">
        <v>540</v>
      </c>
      <c r="B528" t="str">
        <f>_xlfn.XLOOKUP(Table1[[#This Row],[date]],Table8[date],Table8[id_date])</f>
        <v>TGL0784</v>
      </c>
      <c r="C528" s="1">
        <v>45660</v>
      </c>
      <c r="D528" s="1" t="str">
        <f>_xlfn.XLOOKUP(Table1[[#This Row],[customer_name]],Table11[customer_name],Table11[id_cust])</f>
        <v>CNA0181</v>
      </c>
      <c r="E528" t="s">
        <v>1084</v>
      </c>
      <c r="F528">
        <v>43</v>
      </c>
      <c r="G528" t="str">
        <f>_xlfn.XLOOKUP(Table1[[#This Row],[branch_name]],Table3[branch_name],Table3[id_branch])</f>
        <v>BRCH002</v>
      </c>
      <c r="H528" t="s">
        <v>1214</v>
      </c>
      <c r="I528" t="str">
        <f>_xlfn.XLOOKUP(Table1[[#This Row],[city]],Table4[city],Table4[id_city])</f>
        <v>KOA0103</v>
      </c>
      <c r="J528" t="s">
        <v>1219</v>
      </c>
      <c r="K528" t="str">
        <f>_xlfn.XLOOKUP(Table1[[#This Row],[menu_name]],Table5[menu_name],Table5[id_menu])</f>
        <v>MENU004</v>
      </c>
      <c r="L528" t="s">
        <v>1226</v>
      </c>
      <c r="M528" t="str">
        <f>_xlfn.XLOOKUP(Table1[[#This Row],[category]],Table6[category],Table6[id_category])</f>
        <v>KTG0207</v>
      </c>
      <c r="N528" t="s">
        <v>1235</v>
      </c>
      <c r="O528">
        <v>5</v>
      </c>
      <c r="P528">
        <v>28000</v>
      </c>
      <c r="Q528">
        <v>15</v>
      </c>
      <c r="R528">
        <v>4.3</v>
      </c>
      <c r="S528" t="str">
        <f>_xlfn.XLOOKUP(Table1[[#This Row],[method]],Table7[method],Table7[id_method])</f>
        <v>PAY0711</v>
      </c>
      <c r="T528" t="s">
        <v>1238</v>
      </c>
      <c r="U528">
        <v>119000</v>
      </c>
    </row>
    <row r="529" spans="1:21" x14ac:dyDescent="0.25">
      <c r="A529" t="s">
        <v>541</v>
      </c>
      <c r="B529" t="str">
        <f>_xlfn.XLOOKUP(Table1[[#This Row],[date]],Table8[date],Table8[id_date])</f>
        <v>TGL0784</v>
      </c>
      <c r="C529" s="1">
        <v>45660</v>
      </c>
      <c r="D529" s="1" t="str">
        <f>_xlfn.XLOOKUP(Table1[[#This Row],[customer_name]],Table11[customer_name],Table11[id_cust])</f>
        <v>CNA0560</v>
      </c>
      <c r="E529" t="s">
        <v>1192</v>
      </c>
      <c r="F529">
        <v>41</v>
      </c>
      <c r="G529" t="str">
        <f>_xlfn.XLOOKUP(Table1[[#This Row],[branch_name]],Table3[branch_name],Table3[id_branch])</f>
        <v>BRCH005</v>
      </c>
      <c r="H529" t="s">
        <v>1217</v>
      </c>
      <c r="I529" t="str">
        <f>_xlfn.XLOOKUP(Table1[[#This Row],[city]],Table4[city],Table4[id_city])</f>
        <v>KOA0106</v>
      </c>
      <c r="J529" t="s">
        <v>1222</v>
      </c>
      <c r="K529" t="str">
        <f>_xlfn.XLOOKUP(Table1[[#This Row],[menu_name]],Table5[menu_name],Table5[id_menu])</f>
        <v>MENU001</v>
      </c>
      <c r="L529" t="s">
        <v>1223</v>
      </c>
      <c r="M529" t="str">
        <f>_xlfn.XLOOKUP(Table1[[#This Row],[category]],Table6[category],Table6[id_category])</f>
        <v>KTG0205</v>
      </c>
      <c r="N529" t="s">
        <v>1233</v>
      </c>
      <c r="O529">
        <v>2</v>
      </c>
      <c r="P529">
        <v>25000</v>
      </c>
      <c r="Q529">
        <v>20</v>
      </c>
      <c r="R529">
        <v>1.1000000000000001</v>
      </c>
      <c r="S529" t="str">
        <f>_xlfn.XLOOKUP(Table1[[#This Row],[method]],Table7[method],Table7[id_method])</f>
        <v>PAY0710</v>
      </c>
      <c r="T529" t="s">
        <v>1237</v>
      </c>
      <c r="U529">
        <v>40000</v>
      </c>
    </row>
    <row r="530" spans="1:21" x14ac:dyDescent="0.25">
      <c r="A530" t="s">
        <v>542</v>
      </c>
      <c r="B530" t="str">
        <f>_xlfn.XLOOKUP(Table1[[#This Row],[date]],Table8[date],Table8[id_date])</f>
        <v>TGL0785</v>
      </c>
      <c r="C530" s="1">
        <v>45661</v>
      </c>
      <c r="D530" s="1" t="str">
        <f>_xlfn.XLOOKUP(Table1[[#This Row],[customer_name]],Table11[customer_name],Table11[id_cust])</f>
        <v>CNA0219</v>
      </c>
      <c r="E530" t="s">
        <v>1108</v>
      </c>
      <c r="F530">
        <v>23</v>
      </c>
      <c r="G530" t="str">
        <f>_xlfn.XLOOKUP(Table1[[#This Row],[branch_name]],Table3[branch_name],Table3[id_branch])</f>
        <v>BRCH002</v>
      </c>
      <c r="H530" t="s">
        <v>1214</v>
      </c>
      <c r="I530" t="str">
        <f>_xlfn.XLOOKUP(Table1[[#This Row],[city]],Table4[city],Table4[id_city])</f>
        <v>KOA0103</v>
      </c>
      <c r="J530" t="s">
        <v>1219</v>
      </c>
      <c r="K530" t="str">
        <f>_xlfn.XLOOKUP(Table1[[#This Row],[menu_name]],Table5[menu_name],Table5[id_menu])</f>
        <v>MENU003</v>
      </c>
      <c r="L530" t="s">
        <v>1225</v>
      </c>
      <c r="M530" t="str">
        <f>_xlfn.XLOOKUP(Table1[[#This Row],[category]],Table6[category],Table6[id_category])</f>
        <v>KTG0205</v>
      </c>
      <c r="N530" t="s">
        <v>1233</v>
      </c>
      <c r="O530">
        <v>1</v>
      </c>
      <c r="P530">
        <v>22000</v>
      </c>
      <c r="Q530">
        <v>5</v>
      </c>
      <c r="R530">
        <v>4.2</v>
      </c>
      <c r="S530" t="str">
        <f>_xlfn.XLOOKUP(Table1[[#This Row],[method]],Table7[method],Table7[id_method])</f>
        <v>PAY0710</v>
      </c>
      <c r="T530" t="s">
        <v>1237</v>
      </c>
      <c r="U530">
        <v>20900</v>
      </c>
    </row>
    <row r="531" spans="1:21" x14ac:dyDescent="0.25">
      <c r="A531" t="s">
        <v>543</v>
      </c>
      <c r="B531" t="str">
        <f>_xlfn.XLOOKUP(Table1[[#This Row],[date]],Table8[date],Table8[id_date])</f>
        <v>TGL0786</v>
      </c>
      <c r="C531" s="1">
        <v>45662</v>
      </c>
      <c r="D531" s="1" t="str">
        <f>_xlfn.XLOOKUP(Table1[[#This Row],[customer_name]],Table11[customer_name],Table11[id_cust])</f>
        <v>CNA0113</v>
      </c>
      <c r="E531" t="s">
        <v>1026</v>
      </c>
      <c r="F531">
        <v>33</v>
      </c>
      <c r="G531" t="str">
        <f>_xlfn.XLOOKUP(Table1[[#This Row],[branch_name]],Table3[branch_name],Table3[id_branch])</f>
        <v>BRCH004</v>
      </c>
      <c r="H531" t="s">
        <v>1216</v>
      </c>
      <c r="I531" t="str">
        <f>_xlfn.XLOOKUP(Table1[[#This Row],[city]],Table4[city],Table4[id_city])</f>
        <v>KOA0105</v>
      </c>
      <c r="J531" t="s">
        <v>1221</v>
      </c>
      <c r="K531" t="str">
        <f>_xlfn.XLOOKUP(Table1[[#This Row],[menu_name]],Table5[menu_name],Table5[id_menu])</f>
        <v>MENU006</v>
      </c>
      <c r="L531" t="s">
        <v>1228</v>
      </c>
      <c r="M531" t="str">
        <f>_xlfn.XLOOKUP(Table1[[#This Row],[category]],Table6[category],Table6[id_category])</f>
        <v>KTG0206</v>
      </c>
      <c r="N531" t="s">
        <v>1234</v>
      </c>
      <c r="O531">
        <v>4</v>
      </c>
      <c r="P531">
        <v>32000</v>
      </c>
      <c r="Q531">
        <v>10</v>
      </c>
      <c r="R531">
        <v>1.1000000000000001</v>
      </c>
      <c r="S531" t="str">
        <f>_xlfn.XLOOKUP(Table1[[#This Row],[method]],Table7[method],Table7[id_method])</f>
        <v>PAY0712</v>
      </c>
      <c r="T531" t="s">
        <v>1239</v>
      </c>
      <c r="U531">
        <v>115200</v>
      </c>
    </row>
    <row r="532" spans="1:21" x14ac:dyDescent="0.25">
      <c r="A532" t="s">
        <v>544</v>
      </c>
      <c r="B532" t="str">
        <f>_xlfn.XLOOKUP(Table1[[#This Row],[date]],Table8[date],Table8[id_date])</f>
        <v>TGL0786</v>
      </c>
      <c r="C532" s="1">
        <v>45662</v>
      </c>
      <c r="D532" s="1" t="str">
        <f>_xlfn.XLOOKUP(Table1[[#This Row],[customer_name]],Table11[customer_name],Table11[id_cust])</f>
        <v>CNA0297</v>
      </c>
      <c r="E532" t="s">
        <v>1148</v>
      </c>
      <c r="F532">
        <v>28</v>
      </c>
      <c r="G532" t="str">
        <f>_xlfn.XLOOKUP(Table1[[#This Row],[branch_name]],Table3[branch_name],Table3[id_branch])</f>
        <v>BRCH003</v>
      </c>
      <c r="H532" t="s">
        <v>1215</v>
      </c>
      <c r="I532" t="str">
        <f>_xlfn.XLOOKUP(Table1[[#This Row],[city]],Table4[city],Table4[id_city])</f>
        <v>KOA0104</v>
      </c>
      <c r="J532" t="s">
        <v>1220</v>
      </c>
      <c r="K532" t="str">
        <f>_xlfn.XLOOKUP(Table1[[#This Row],[menu_name]],Table5[menu_name],Table5[id_menu])</f>
        <v>MENU010</v>
      </c>
      <c r="L532" t="s">
        <v>1232</v>
      </c>
      <c r="M532" t="str">
        <f>_xlfn.XLOOKUP(Table1[[#This Row],[category]],Table6[category],Table6[id_category])</f>
        <v>KTG0205</v>
      </c>
      <c r="N532" t="s">
        <v>1233</v>
      </c>
      <c r="O532">
        <v>5</v>
      </c>
      <c r="P532">
        <v>18000</v>
      </c>
      <c r="Q532">
        <v>0</v>
      </c>
      <c r="R532">
        <v>4.8</v>
      </c>
      <c r="S532" t="str">
        <f>_xlfn.XLOOKUP(Table1[[#This Row],[method]],Table7[method],Table7[id_method])</f>
        <v>PAY0712</v>
      </c>
      <c r="T532" t="s">
        <v>1239</v>
      </c>
      <c r="U532">
        <v>90000</v>
      </c>
    </row>
    <row r="533" spans="1:21" x14ac:dyDescent="0.25">
      <c r="A533" t="s">
        <v>545</v>
      </c>
      <c r="B533" t="str">
        <f>_xlfn.XLOOKUP(Table1[[#This Row],[date]],Table8[date],Table8[id_date])</f>
        <v>TGL0787</v>
      </c>
      <c r="C533" s="1">
        <v>45664</v>
      </c>
      <c r="D533" s="1" t="str">
        <f>_xlfn.XLOOKUP(Table1[[#This Row],[customer_name]],Table11[customer_name],Table11[id_cust])</f>
        <v>CNA0105</v>
      </c>
      <c r="E533" t="s">
        <v>1018</v>
      </c>
      <c r="F533">
        <v>53</v>
      </c>
      <c r="G533" t="str">
        <f>_xlfn.XLOOKUP(Table1[[#This Row],[branch_name]],Table3[branch_name],Table3[id_branch])</f>
        <v>BRCH002</v>
      </c>
      <c r="H533" t="s">
        <v>1214</v>
      </c>
      <c r="I533" t="str">
        <f>_xlfn.XLOOKUP(Table1[[#This Row],[city]],Table4[city],Table4[id_city])</f>
        <v>KOA0103</v>
      </c>
      <c r="J533" t="s">
        <v>1219</v>
      </c>
      <c r="K533" t="str">
        <f>_xlfn.XLOOKUP(Table1[[#This Row],[menu_name]],Table5[menu_name],Table5[id_menu])</f>
        <v>MENU006</v>
      </c>
      <c r="L533" t="s">
        <v>1228</v>
      </c>
      <c r="M533" t="str">
        <f>_xlfn.XLOOKUP(Table1[[#This Row],[category]],Table6[category],Table6[id_category])</f>
        <v>KTG0206</v>
      </c>
      <c r="N533" t="s">
        <v>1234</v>
      </c>
      <c r="O533">
        <v>1</v>
      </c>
      <c r="P533">
        <v>32000</v>
      </c>
      <c r="Q533">
        <v>15</v>
      </c>
      <c r="R533">
        <v>1.6</v>
      </c>
      <c r="S533" t="str">
        <f>_xlfn.XLOOKUP(Table1[[#This Row],[method]],Table7[method],Table7[id_method])</f>
        <v>PAY0709</v>
      </c>
      <c r="T533" t="s">
        <v>1236</v>
      </c>
      <c r="U533">
        <v>27200</v>
      </c>
    </row>
    <row r="534" spans="1:21" x14ac:dyDescent="0.25">
      <c r="A534" t="s">
        <v>546</v>
      </c>
      <c r="B534" t="str">
        <f>_xlfn.XLOOKUP(Table1[[#This Row],[date]],Table8[date],Table8[id_date])</f>
        <v>TGL0787</v>
      </c>
      <c r="C534" s="1">
        <v>45664</v>
      </c>
      <c r="D534" s="1" t="str">
        <f>_xlfn.XLOOKUP(Table1[[#This Row],[customer_name]],Table11[customer_name],Table11[id_cust])</f>
        <v>CNA0153</v>
      </c>
      <c r="E534" t="s">
        <v>1062</v>
      </c>
      <c r="F534">
        <v>20</v>
      </c>
      <c r="G534" t="str">
        <f>_xlfn.XLOOKUP(Table1[[#This Row],[branch_name]],Table3[branch_name],Table3[id_branch])</f>
        <v>BRCH003</v>
      </c>
      <c r="H534" t="s">
        <v>1215</v>
      </c>
      <c r="I534" t="str">
        <f>_xlfn.XLOOKUP(Table1[[#This Row],[city]],Table4[city],Table4[id_city])</f>
        <v>KOA0104</v>
      </c>
      <c r="J534" t="s">
        <v>1220</v>
      </c>
      <c r="K534" t="str">
        <f>_xlfn.XLOOKUP(Table1[[#This Row],[menu_name]],Table5[menu_name],Table5[id_menu])</f>
        <v>MENU009</v>
      </c>
      <c r="L534" t="s">
        <v>1231</v>
      </c>
      <c r="M534" t="str">
        <f>_xlfn.XLOOKUP(Table1[[#This Row],[category]],Table6[category],Table6[id_category])</f>
        <v>KTG0206</v>
      </c>
      <c r="N534" t="s">
        <v>1234</v>
      </c>
      <c r="O534">
        <v>4</v>
      </c>
      <c r="P534">
        <v>18000</v>
      </c>
      <c r="Q534">
        <v>5</v>
      </c>
      <c r="R534">
        <v>2.2000000000000002</v>
      </c>
      <c r="S534" t="str">
        <f>_xlfn.XLOOKUP(Table1[[#This Row],[method]],Table7[method],Table7[id_method])</f>
        <v>PAY0709</v>
      </c>
      <c r="T534" t="s">
        <v>1236</v>
      </c>
      <c r="U534">
        <v>68400</v>
      </c>
    </row>
    <row r="535" spans="1:21" x14ac:dyDescent="0.25">
      <c r="A535" t="s">
        <v>547</v>
      </c>
      <c r="B535" t="str">
        <f>_xlfn.XLOOKUP(Table1[[#This Row],[date]],Table8[date],Table8[id_date])</f>
        <v>TGL0787</v>
      </c>
      <c r="C535" s="1">
        <v>45664</v>
      </c>
      <c r="D535" s="1" t="str">
        <f>_xlfn.XLOOKUP(Table1[[#This Row],[customer_name]],Table11[customer_name],Table11[id_cust])</f>
        <v>CNA0138</v>
      </c>
      <c r="E535" t="s">
        <v>1049</v>
      </c>
      <c r="F535">
        <v>53</v>
      </c>
      <c r="G535" t="str">
        <f>_xlfn.XLOOKUP(Table1[[#This Row],[branch_name]],Table3[branch_name],Table3[id_branch])</f>
        <v>BRCH005</v>
      </c>
      <c r="H535" t="s">
        <v>1217</v>
      </c>
      <c r="I535" t="str">
        <f>_xlfn.XLOOKUP(Table1[[#This Row],[city]],Table4[city],Table4[id_city])</f>
        <v>KOA0106</v>
      </c>
      <c r="J535" t="s">
        <v>1222</v>
      </c>
      <c r="K535" t="str">
        <f>_xlfn.XLOOKUP(Table1[[#This Row],[menu_name]],Table5[menu_name],Table5[id_menu])</f>
        <v>MENU001</v>
      </c>
      <c r="L535" t="s">
        <v>1223</v>
      </c>
      <c r="M535" t="str">
        <f>_xlfn.XLOOKUP(Table1[[#This Row],[category]],Table6[category],Table6[id_category])</f>
        <v>KTG0205</v>
      </c>
      <c r="N535" t="s">
        <v>1233</v>
      </c>
      <c r="O535">
        <v>3</v>
      </c>
      <c r="P535">
        <v>25000</v>
      </c>
      <c r="Q535">
        <v>0</v>
      </c>
      <c r="R535">
        <v>3.3</v>
      </c>
      <c r="S535" t="str">
        <f>_xlfn.XLOOKUP(Table1[[#This Row],[method]],Table7[method],Table7[id_method])</f>
        <v>PAY0710</v>
      </c>
      <c r="T535" t="s">
        <v>1237</v>
      </c>
      <c r="U535">
        <v>75000</v>
      </c>
    </row>
    <row r="536" spans="1:21" x14ac:dyDescent="0.25">
      <c r="A536" t="s">
        <v>548</v>
      </c>
      <c r="B536" t="str">
        <f>_xlfn.XLOOKUP(Table1[[#This Row],[date]],Table8[date],Table8[id_date])</f>
        <v>TGL0788</v>
      </c>
      <c r="C536" s="1">
        <v>45665</v>
      </c>
      <c r="D536" s="1" t="str">
        <f>_xlfn.XLOOKUP(Table1[[#This Row],[customer_name]],Table11[customer_name],Table11[id_cust])</f>
        <v>CNA0152</v>
      </c>
      <c r="E536" t="s">
        <v>1061</v>
      </c>
      <c r="F536">
        <v>49</v>
      </c>
      <c r="G536" t="str">
        <f>_xlfn.XLOOKUP(Table1[[#This Row],[branch_name]],Table3[branch_name],Table3[id_branch])</f>
        <v>BRCH005</v>
      </c>
      <c r="H536" t="s">
        <v>1217</v>
      </c>
      <c r="I536" t="str">
        <f>_xlfn.XLOOKUP(Table1[[#This Row],[city]],Table4[city],Table4[id_city])</f>
        <v>KOA0106</v>
      </c>
      <c r="J536" t="s">
        <v>1222</v>
      </c>
      <c r="K536" t="str">
        <f>_xlfn.XLOOKUP(Table1[[#This Row],[menu_name]],Table5[menu_name],Table5[id_menu])</f>
        <v>MENU003</v>
      </c>
      <c r="L536" t="s">
        <v>1225</v>
      </c>
      <c r="M536" t="str">
        <f>_xlfn.XLOOKUP(Table1[[#This Row],[category]],Table6[category],Table6[id_category])</f>
        <v>KTG0205</v>
      </c>
      <c r="N536" t="s">
        <v>1233</v>
      </c>
      <c r="O536">
        <v>4</v>
      </c>
      <c r="P536">
        <v>22000</v>
      </c>
      <c r="Q536">
        <v>0</v>
      </c>
      <c r="R536">
        <v>3.3</v>
      </c>
      <c r="S536" t="str">
        <f>_xlfn.XLOOKUP(Table1[[#This Row],[method]],Table7[method],Table7[id_method])</f>
        <v>PAY0710</v>
      </c>
      <c r="T536" t="s">
        <v>1237</v>
      </c>
      <c r="U536">
        <v>88000</v>
      </c>
    </row>
    <row r="537" spans="1:21" x14ac:dyDescent="0.25">
      <c r="A537" t="s">
        <v>549</v>
      </c>
      <c r="B537" t="str">
        <f>_xlfn.XLOOKUP(Table1[[#This Row],[date]],Table8[date],Table8[id_date])</f>
        <v>TGL0788</v>
      </c>
      <c r="C537" s="1">
        <v>45665</v>
      </c>
      <c r="D537" s="1" t="str">
        <f>_xlfn.XLOOKUP(Table1[[#This Row],[customer_name]],Table11[customer_name],Table11[id_cust])</f>
        <v>CNA0278</v>
      </c>
      <c r="E537" t="s">
        <v>1139</v>
      </c>
      <c r="F537">
        <v>32</v>
      </c>
      <c r="G537" t="str">
        <f>_xlfn.XLOOKUP(Table1[[#This Row],[branch_name]],Table3[branch_name],Table3[id_branch])</f>
        <v>BRCH003</v>
      </c>
      <c r="H537" t="s">
        <v>1215</v>
      </c>
      <c r="I537" t="str">
        <f>_xlfn.XLOOKUP(Table1[[#This Row],[city]],Table4[city],Table4[id_city])</f>
        <v>KOA0104</v>
      </c>
      <c r="J537" t="s">
        <v>1220</v>
      </c>
      <c r="K537" t="str">
        <f>_xlfn.XLOOKUP(Table1[[#This Row],[menu_name]],Table5[menu_name],Table5[id_menu])</f>
        <v>MENU002</v>
      </c>
      <c r="L537" t="s">
        <v>1224</v>
      </c>
      <c r="M537" t="str">
        <f>_xlfn.XLOOKUP(Table1[[#This Row],[category]],Table6[category],Table6[id_category])</f>
        <v>KTG0206</v>
      </c>
      <c r="N537" t="s">
        <v>1234</v>
      </c>
      <c r="O537">
        <v>3</v>
      </c>
      <c r="P537">
        <v>30000</v>
      </c>
      <c r="Q537">
        <v>5</v>
      </c>
      <c r="R537">
        <v>2.7</v>
      </c>
      <c r="S537" t="str">
        <f>_xlfn.XLOOKUP(Table1[[#This Row],[method]],Table7[method],Table7[id_method])</f>
        <v>PAY0710</v>
      </c>
      <c r="T537" t="s">
        <v>1237</v>
      </c>
      <c r="U537">
        <v>85500</v>
      </c>
    </row>
    <row r="538" spans="1:21" x14ac:dyDescent="0.25">
      <c r="A538" t="s">
        <v>550</v>
      </c>
      <c r="B538" t="str">
        <f>_xlfn.XLOOKUP(Table1[[#This Row],[date]],Table8[date],Table8[id_date])</f>
        <v>TGL0789</v>
      </c>
      <c r="C538" s="1">
        <v>45666</v>
      </c>
      <c r="D538" s="1" t="str">
        <f>_xlfn.XLOOKUP(Table1[[#This Row],[customer_name]],Table11[customer_name],Table11[id_cust])</f>
        <v>CNA0174</v>
      </c>
      <c r="E538" t="s">
        <v>1079</v>
      </c>
      <c r="F538">
        <v>48</v>
      </c>
      <c r="G538" t="str">
        <f>_xlfn.XLOOKUP(Table1[[#This Row],[branch_name]],Table3[branch_name],Table3[id_branch])</f>
        <v>BRCH003</v>
      </c>
      <c r="H538" t="s">
        <v>1215</v>
      </c>
      <c r="I538" t="str">
        <f>_xlfn.XLOOKUP(Table1[[#This Row],[city]],Table4[city],Table4[id_city])</f>
        <v>KOA0104</v>
      </c>
      <c r="J538" t="s">
        <v>1220</v>
      </c>
      <c r="K538" t="str">
        <f>_xlfn.XLOOKUP(Table1[[#This Row],[menu_name]],Table5[menu_name],Table5[id_menu])</f>
        <v>MENU003</v>
      </c>
      <c r="L538" t="s">
        <v>1225</v>
      </c>
      <c r="M538" t="str">
        <f>_xlfn.XLOOKUP(Table1[[#This Row],[category]],Table6[category],Table6[id_category])</f>
        <v>KTG0205</v>
      </c>
      <c r="N538" t="s">
        <v>1233</v>
      </c>
      <c r="O538">
        <v>5</v>
      </c>
      <c r="P538">
        <v>22000</v>
      </c>
      <c r="Q538">
        <v>20</v>
      </c>
      <c r="R538">
        <v>3.8</v>
      </c>
      <c r="S538" t="str">
        <f>_xlfn.XLOOKUP(Table1[[#This Row],[method]],Table7[method],Table7[id_method])</f>
        <v>PAY0711</v>
      </c>
      <c r="T538" t="s">
        <v>1238</v>
      </c>
      <c r="U538">
        <v>88000</v>
      </c>
    </row>
    <row r="539" spans="1:21" x14ac:dyDescent="0.25">
      <c r="A539" t="s">
        <v>551</v>
      </c>
      <c r="B539" t="str">
        <f>_xlfn.XLOOKUP(Table1[[#This Row],[date]],Table8[date],Table8[id_date])</f>
        <v>TGL0790</v>
      </c>
      <c r="C539" s="1">
        <v>45667</v>
      </c>
      <c r="D539" s="1" t="str">
        <f>_xlfn.XLOOKUP(Table1[[#This Row],[customer_name]],Table11[customer_name],Table11[id_cust])</f>
        <v>CNA0126</v>
      </c>
      <c r="E539" t="s">
        <v>1038</v>
      </c>
      <c r="F539">
        <v>30</v>
      </c>
      <c r="G539" t="str">
        <f>_xlfn.XLOOKUP(Table1[[#This Row],[branch_name]],Table3[branch_name],Table3[id_branch])</f>
        <v>BRCH003</v>
      </c>
      <c r="H539" t="s">
        <v>1215</v>
      </c>
      <c r="I539" t="str">
        <f>_xlfn.XLOOKUP(Table1[[#This Row],[city]],Table4[city],Table4[id_city])</f>
        <v>KOA0104</v>
      </c>
      <c r="J539" t="s">
        <v>1220</v>
      </c>
      <c r="K539" t="str">
        <f>_xlfn.XLOOKUP(Table1[[#This Row],[menu_name]],Table5[menu_name],Table5[id_menu])</f>
        <v>MENU008</v>
      </c>
      <c r="L539" t="s">
        <v>1230</v>
      </c>
      <c r="M539" t="str">
        <f>_xlfn.XLOOKUP(Table1[[#This Row],[category]],Table6[category],Table6[id_category])</f>
        <v>KTG0205</v>
      </c>
      <c r="N539" t="s">
        <v>1233</v>
      </c>
      <c r="O539">
        <v>3</v>
      </c>
      <c r="P539">
        <v>20000</v>
      </c>
      <c r="Q539">
        <v>15</v>
      </c>
      <c r="R539">
        <v>3.9</v>
      </c>
      <c r="S539" t="str">
        <f>_xlfn.XLOOKUP(Table1[[#This Row],[method]],Table7[method],Table7[id_method])</f>
        <v>PAY0711</v>
      </c>
      <c r="T539" t="s">
        <v>1238</v>
      </c>
      <c r="U539">
        <v>51000</v>
      </c>
    </row>
    <row r="540" spans="1:21" x14ac:dyDescent="0.25">
      <c r="A540" t="s">
        <v>552</v>
      </c>
      <c r="B540" t="str">
        <f>_xlfn.XLOOKUP(Table1[[#This Row],[date]],Table8[date],Table8[id_date])</f>
        <v>TGL0790</v>
      </c>
      <c r="C540" s="1">
        <v>45667</v>
      </c>
      <c r="D540" s="1" t="str">
        <f>_xlfn.XLOOKUP(Table1[[#This Row],[customer_name]],Table11[customer_name],Table11[id_cust])</f>
        <v>CNA0130</v>
      </c>
      <c r="E540" t="s">
        <v>1042</v>
      </c>
      <c r="F540">
        <v>33</v>
      </c>
      <c r="G540" t="str">
        <f>_xlfn.XLOOKUP(Table1[[#This Row],[branch_name]],Table3[branch_name],Table3[id_branch])</f>
        <v>BRCH001</v>
      </c>
      <c r="H540" t="s">
        <v>1213</v>
      </c>
      <c r="I540" t="str">
        <f>_xlfn.XLOOKUP(Table1[[#This Row],[city]],Table4[city],Table4[id_city])</f>
        <v>KOA0102</v>
      </c>
      <c r="J540" t="s">
        <v>1218</v>
      </c>
      <c r="K540" t="str">
        <f>_xlfn.XLOOKUP(Table1[[#This Row],[menu_name]],Table5[menu_name],Table5[id_menu])</f>
        <v>MENU002</v>
      </c>
      <c r="L540" t="s">
        <v>1224</v>
      </c>
      <c r="M540" t="str">
        <f>_xlfn.XLOOKUP(Table1[[#This Row],[category]],Table6[category],Table6[id_category])</f>
        <v>KTG0206</v>
      </c>
      <c r="N540" t="s">
        <v>1234</v>
      </c>
      <c r="O540">
        <v>1</v>
      </c>
      <c r="P540">
        <v>30000</v>
      </c>
      <c r="Q540">
        <v>0</v>
      </c>
      <c r="R540">
        <v>2.8</v>
      </c>
      <c r="S540" t="str">
        <f>_xlfn.XLOOKUP(Table1[[#This Row],[method]],Table7[method],Table7[id_method])</f>
        <v>PAY0710</v>
      </c>
      <c r="T540" t="s">
        <v>1237</v>
      </c>
      <c r="U540">
        <v>30000</v>
      </c>
    </row>
    <row r="541" spans="1:21" x14ac:dyDescent="0.25">
      <c r="A541" t="s">
        <v>553</v>
      </c>
      <c r="B541" t="str">
        <f>_xlfn.XLOOKUP(Table1[[#This Row],[date]],Table8[date],Table8[id_date])</f>
        <v>TGL0791</v>
      </c>
      <c r="C541" s="1">
        <v>45668</v>
      </c>
      <c r="D541" s="1" t="str">
        <f>_xlfn.XLOOKUP(Table1[[#This Row],[customer_name]],Table11[customer_name],Table11[id_cust])</f>
        <v>CNA0191</v>
      </c>
      <c r="E541" t="s">
        <v>1091</v>
      </c>
      <c r="F541">
        <v>41</v>
      </c>
      <c r="G541" t="str">
        <f>_xlfn.XLOOKUP(Table1[[#This Row],[branch_name]],Table3[branch_name],Table3[id_branch])</f>
        <v>BRCH003</v>
      </c>
      <c r="H541" t="s">
        <v>1215</v>
      </c>
      <c r="I541" t="str">
        <f>_xlfn.XLOOKUP(Table1[[#This Row],[city]],Table4[city],Table4[id_city])</f>
        <v>KOA0104</v>
      </c>
      <c r="J541" t="s">
        <v>1220</v>
      </c>
      <c r="K541" t="str">
        <f>_xlfn.XLOOKUP(Table1[[#This Row],[menu_name]],Table5[menu_name],Table5[id_menu])</f>
        <v>MENU001</v>
      </c>
      <c r="L541" t="s">
        <v>1223</v>
      </c>
      <c r="M541" t="str">
        <f>_xlfn.XLOOKUP(Table1[[#This Row],[category]],Table6[category],Table6[id_category])</f>
        <v>KTG0205</v>
      </c>
      <c r="N541" t="s">
        <v>1233</v>
      </c>
      <c r="O541">
        <v>1</v>
      </c>
      <c r="P541">
        <v>25000</v>
      </c>
      <c r="Q541">
        <v>15</v>
      </c>
      <c r="R541">
        <v>4.9000000000000004</v>
      </c>
      <c r="S541" t="str">
        <f>_xlfn.XLOOKUP(Table1[[#This Row],[method]],Table7[method],Table7[id_method])</f>
        <v>PAY0711</v>
      </c>
      <c r="T541" t="s">
        <v>1238</v>
      </c>
      <c r="U541">
        <v>21250</v>
      </c>
    </row>
    <row r="542" spans="1:21" x14ac:dyDescent="0.25">
      <c r="A542" t="s">
        <v>554</v>
      </c>
      <c r="B542" t="str">
        <f>_xlfn.XLOOKUP(Table1[[#This Row],[date]],Table8[date],Table8[id_date])</f>
        <v>TGL0792</v>
      </c>
      <c r="C542" s="1">
        <v>45669</v>
      </c>
      <c r="D542" s="1" t="str">
        <f>_xlfn.XLOOKUP(Table1[[#This Row],[customer_name]],Table11[customer_name],Table11[id_cust])</f>
        <v>CNA0641</v>
      </c>
      <c r="E542" t="s">
        <v>1194</v>
      </c>
      <c r="F542">
        <v>41</v>
      </c>
      <c r="G542" t="str">
        <f>_xlfn.XLOOKUP(Table1[[#This Row],[branch_name]],Table3[branch_name],Table3[id_branch])</f>
        <v>BRCH002</v>
      </c>
      <c r="H542" t="s">
        <v>1214</v>
      </c>
      <c r="I542" t="str">
        <f>_xlfn.XLOOKUP(Table1[[#This Row],[city]],Table4[city],Table4[id_city])</f>
        <v>KOA0103</v>
      </c>
      <c r="J542" t="s">
        <v>1219</v>
      </c>
      <c r="K542" t="str">
        <f>_xlfn.XLOOKUP(Table1[[#This Row],[menu_name]],Table5[menu_name],Table5[id_menu])</f>
        <v>MENU003</v>
      </c>
      <c r="L542" t="s">
        <v>1225</v>
      </c>
      <c r="M542" t="str">
        <f>_xlfn.XLOOKUP(Table1[[#This Row],[category]],Table6[category],Table6[id_category])</f>
        <v>KTG0205</v>
      </c>
      <c r="N542" t="s">
        <v>1233</v>
      </c>
      <c r="O542">
        <v>1</v>
      </c>
      <c r="P542">
        <v>22000</v>
      </c>
      <c r="Q542">
        <v>15</v>
      </c>
      <c r="R542">
        <v>4.5999999999999996</v>
      </c>
      <c r="S542" t="str">
        <f>_xlfn.XLOOKUP(Table1[[#This Row],[method]],Table7[method],Table7[id_method])</f>
        <v>PAY0711</v>
      </c>
      <c r="T542" t="s">
        <v>1238</v>
      </c>
      <c r="U542">
        <v>18700</v>
      </c>
    </row>
    <row r="543" spans="1:21" x14ac:dyDescent="0.25">
      <c r="A543" t="s">
        <v>555</v>
      </c>
      <c r="B543" t="str">
        <f>_xlfn.XLOOKUP(Table1[[#This Row],[date]],Table8[date],Table8[id_date])</f>
        <v>TGL0793</v>
      </c>
      <c r="C543" s="1">
        <v>45670</v>
      </c>
      <c r="D543" s="1" t="str">
        <f>_xlfn.XLOOKUP(Table1[[#This Row],[customer_name]],Table11[customer_name],Table11[id_cust])</f>
        <v>CNA0453</v>
      </c>
      <c r="E543" t="s">
        <v>1181</v>
      </c>
      <c r="F543">
        <v>44</v>
      </c>
      <c r="G543" t="str">
        <f>_xlfn.XLOOKUP(Table1[[#This Row],[branch_name]],Table3[branch_name],Table3[id_branch])</f>
        <v>BRCH002</v>
      </c>
      <c r="H543" t="s">
        <v>1214</v>
      </c>
      <c r="I543" t="str">
        <f>_xlfn.XLOOKUP(Table1[[#This Row],[city]],Table4[city],Table4[id_city])</f>
        <v>KOA0103</v>
      </c>
      <c r="J543" t="s">
        <v>1219</v>
      </c>
      <c r="K543" t="str">
        <f>_xlfn.XLOOKUP(Table1[[#This Row],[menu_name]],Table5[menu_name],Table5[id_menu])</f>
        <v>MENU009</v>
      </c>
      <c r="L543" t="s">
        <v>1231</v>
      </c>
      <c r="M543" t="str">
        <f>_xlfn.XLOOKUP(Table1[[#This Row],[category]],Table6[category],Table6[id_category])</f>
        <v>KTG0206</v>
      </c>
      <c r="N543" t="s">
        <v>1234</v>
      </c>
      <c r="O543">
        <v>3</v>
      </c>
      <c r="P543">
        <v>18000</v>
      </c>
      <c r="Q543">
        <v>0</v>
      </c>
      <c r="R543">
        <v>1.6</v>
      </c>
      <c r="S543" t="str">
        <f>_xlfn.XLOOKUP(Table1[[#This Row],[method]],Table7[method],Table7[id_method])</f>
        <v>PAY0711</v>
      </c>
      <c r="T543" t="s">
        <v>1238</v>
      </c>
      <c r="U543">
        <v>54000</v>
      </c>
    </row>
    <row r="544" spans="1:21" x14ac:dyDescent="0.25">
      <c r="A544" t="s">
        <v>556</v>
      </c>
      <c r="B544" t="str">
        <f>_xlfn.XLOOKUP(Table1[[#This Row],[date]],Table8[date],Table8[id_date])</f>
        <v>TGL0794</v>
      </c>
      <c r="C544" s="1">
        <v>45671</v>
      </c>
      <c r="D544" s="1" t="str">
        <f>_xlfn.XLOOKUP(Table1[[#This Row],[customer_name]],Table11[customer_name],Table11[id_cust])</f>
        <v>CNA0453</v>
      </c>
      <c r="E544" t="s">
        <v>1181</v>
      </c>
      <c r="F544">
        <v>44</v>
      </c>
      <c r="G544" t="str">
        <f>_xlfn.XLOOKUP(Table1[[#This Row],[branch_name]],Table3[branch_name],Table3[id_branch])</f>
        <v>BRCH003</v>
      </c>
      <c r="H544" t="s">
        <v>1215</v>
      </c>
      <c r="I544" t="str">
        <f>_xlfn.XLOOKUP(Table1[[#This Row],[city]],Table4[city],Table4[id_city])</f>
        <v>KOA0104</v>
      </c>
      <c r="J544" t="s">
        <v>1220</v>
      </c>
      <c r="K544" t="str">
        <f>_xlfn.XLOOKUP(Table1[[#This Row],[menu_name]],Table5[menu_name],Table5[id_menu])</f>
        <v>MENU005</v>
      </c>
      <c r="L544" t="s">
        <v>1227</v>
      </c>
      <c r="M544" t="str">
        <f>_xlfn.XLOOKUP(Table1[[#This Row],[category]],Table6[category],Table6[id_category])</f>
        <v>KTG0206</v>
      </c>
      <c r="N544" t="s">
        <v>1234</v>
      </c>
      <c r="O544">
        <v>3</v>
      </c>
      <c r="P544">
        <v>23000</v>
      </c>
      <c r="Q544">
        <v>0</v>
      </c>
      <c r="R544">
        <v>1.5</v>
      </c>
      <c r="S544" t="str">
        <f>_xlfn.XLOOKUP(Table1[[#This Row],[method]],Table7[method],Table7[id_method])</f>
        <v>PAY0709</v>
      </c>
      <c r="T544" t="s">
        <v>1236</v>
      </c>
      <c r="U544">
        <v>69000</v>
      </c>
    </row>
    <row r="545" spans="1:21" x14ac:dyDescent="0.25">
      <c r="A545" t="s">
        <v>557</v>
      </c>
      <c r="B545" t="str">
        <f>_xlfn.XLOOKUP(Table1[[#This Row],[date]],Table8[date],Table8[id_date])</f>
        <v>TGL0794</v>
      </c>
      <c r="C545" s="1">
        <v>45671</v>
      </c>
      <c r="D545" s="1" t="str">
        <f>_xlfn.XLOOKUP(Table1[[#This Row],[customer_name]],Table11[customer_name],Table11[id_cust])</f>
        <v>CNA0140</v>
      </c>
      <c r="E545" t="s">
        <v>1051</v>
      </c>
      <c r="F545">
        <v>43</v>
      </c>
      <c r="G545" t="str">
        <f>_xlfn.XLOOKUP(Table1[[#This Row],[branch_name]],Table3[branch_name],Table3[id_branch])</f>
        <v>BRCH002</v>
      </c>
      <c r="H545" t="s">
        <v>1214</v>
      </c>
      <c r="I545" t="str">
        <f>_xlfn.XLOOKUP(Table1[[#This Row],[city]],Table4[city],Table4[id_city])</f>
        <v>KOA0103</v>
      </c>
      <c r="J545" t="s">
        <v>1219</v>
      </c>
      <c r="K545" t="str">
        <f>_xlfn.XLOOKUP(Table1[[#This Row],[menu_name]],Table5[menu_name],Table5[id_menu])</f>
        <v>MENU010</v>
      </c>
      <c r="L545" t="s">
        <v>1232</v>
      </c>
      <c r="M545" t="str">
        <f>_xlfn.XLOOKUP(Table1[[#This Row],[category]],Table6[category],Table6[id_category])</f>
        <v>KTG0205</v>
      </c>
      <c r="N545" t="s">
        <v>1233</v>
      </c>
      <c r="O545">
        <v>4</v>
      </c>
      <c r="P545">
        <v>18000</v>
      </c>
      <c r="Q545">
        <v>0</v>
      </c>
      <c r="R545">
        <v>4.2</v>
      </c>
      <c r="S545" t="str">
        <f>_xlfn.XLOOKUP(Table1[[#This Row],[method]],Table7[method],Table7[id_method])</f>
        <v>PAY0711</v>
      </c>
      <c r="T545" t="s">
        <v>1238</v>
      </c>
      <c r="U545">
        <v>72000</v>
      </c>
    </row>
    <row r="546" spans="1:21" x14ac:dyDescent="0.25">
      <c r="A546" t="s">
        <v>558</v>
      </c>
      <c r="B546" t="str">
        <f>_xlfn.XLOOKUP(Table1[[#This Row],[date]],Table8[date],Table8[id_date])</f>
        <v>TGL0795</v>
      </c>
      <c r="C546" s="1">
        <v>45675</v>
      </c>
      <c r="D546" s="1" t="str">
        <f>_xlfn.XLOOKUP(Table1[[#This Row],[customer_name]],Table11[customer_name],Table11[id_cust])</f>
        <v>CNA0106</v>
      </c>
      <c r="E546" t="s">
        <v>1019</v>
      </c>
      <c r="F546">
        <v>30</v>
      </c>
      <c r="G546" t="str">
        <f>_xlfn.XLOOKUP(Table1[[#This Row],[branch_name]],Table3[branch_name],Table3[id_branch])</f>
        <v>BRCH005</v>
      </c>
      <c r="H546" t="s">
        <v>1217</v>
      </c>
      <c r="I546" t="str">
        <f>_xlfn.XLOOKUP(Table1[[#This Row],[city]],Table4[city],Table4[id_city])</f>
        <v>KOA0106</v>
      </c>
      <c r="J546" t="s">
        <v>1222</v>
      </c>
      <c r="K546" t="str">
        <f>_xlfn.XLOOKUP(Table1[[#This Row],[menu_name]],Table5[menu_name],Table5[id_menu])</f>
        <v>MENU009</v>
      </c>
      <c r="L546" t="s">
        <v>1231</v>
      </c>
      <c r="M546" t="str">
        <f>_xlfn.XLOOKUP(Table1[[#This Row],[category]],Table6[category],Table6[id_category])</f>
        <v>KTG0206</v>
      </c>
      <c r="N546" t="s">
        <v>1234</v>
      </c>
      <c r="O546">
        <v>5</v>
      </c>
      <c r="P546">
        <v>18000</v>
      </c>
      <c r="Q546">
        <v>20</v>
      </c>
      <c r="R546">
        <v>2.4</v>
      </c>
      <c r="S546" t="str">
        <f>_xlfn.XLOOKUP(Table1[[#This Row],[method]],Table7[method],Table7[id_method])</f>
        <v>PAY0709</v>
      </c>
      <c r="T546" t="s">
        <v>1236</v>
      </c>
      <c r="U546">
        <v>72000</v>
      </c>
    </row>
    <row r="547" spans="1:21" x14ac:dyDescent="0.25">
      <c r="A547" t="s">
        <v>559</v>
      </c>
      <c r="B547" t="str">
        <f>_xlfn.XLOOKUP(Table1[[#This Row],[date]],Table8[date],Table8[id_date])</f>
        <v>TGL0796</v>
      </c>
      <c r="C547" s="1">
        <v>45676</v>
      </c>
      <c r="D547" s="1" t="str">
        <f>_xlfn.XLOOKUP(Table1[[#This Row],[customer_name]],Table11[customer_name],Table11[id_cust])</f>
        <v>CNA0646</v>
      </c>
      <c r="E547" t="s">
        <v>1195</v>
      </c>
      <c r="F547">
        <v>27</v>
      </c>
      <c r="G547" t="str">
        <f>_xlfn.XLOOKUP(Table1[[#This Row],[branch_name]],Table3[branch_name],Table3[id_branch])</f>
        <v>BRCH001</v>
      </c>
      <c r="H547" t="s">
        <v>1213</v>
      </c>
      <c r="I547" t="str">
        <f>_xlfn.XLOOKUP(Table1[[#This Row],[city]],Table4[city],Table4[id_city])</f>
        <v>KOA0102</v>
      </c>
      <c r="J547" t="s">
        <v>1218</v>
      </c>
      <c r="K547" t="str">
        <f>_xlfn.XLOOKUP(Table1[[#This Row],[menu_name]],Table5[menu_name],Table5[id_menu])</f>
        <v>MENU004</v>
      </c>
      <c r="L547" t="s">
        <v>1226</v>
      </c>
      <c r="M547" t="str">
        <f>_xlfn.XLOOKUP(Table1[[#This Row],[category]],Table6[category],Table6[id_category])</f>
        <v>KTG0207</v>
      </c>
      <c r="N547" t="s">
        <v>1235</v>
      </c>
      <c r="O547">
        <v>4</v>
      </c>
      <c r="P547">
        <v>28000</v>
      </c>
      <c r="Q547">
        <v>0</v>
      </c>
      <c r="R547">
        <v>1</v>
      </c>
      <c r="S547" t="str">
        <f>_xlfn.XLOOKUP(Table1[[#This Row],[method]],Table7[method],Table7[id_method])</f>
        <v>PAY0711</v>
      </c>
      <c r="T547" t="s">
        <v>1238</v>
      </c>
      <c r="U547">
        <v>112000</v>
      </c>
    </row>
    <row r="548" spans="1:21" x14ac:dyDescent="0.25">
      <c r="A548" t="s">
        <v>560</v>
      </c>
      <c r="B548" t="str">
        <f>_xlfn.XLOOKUP(Table1[[#This Row],[date]],Table8[date],Table8[id_date])</f>
        <v>TGL0797</v>
      </c>
      <c r="C548" s="1">
        <v>45677</v>
      </c>
      <c r="D548" s="1" t="str">
        <f>_xlfn.XLOOKUP(Table1[[#This Row],[customer_name]],Table11[customer_name],Table11[id_cust])</f>
        <v>CNA0104</v>
      </c>
      <c r="E548" t="s">
        <v>1017</v>
      </c>
      <c r="F548">
        <v>41</v>
      </c>
      <c r="G548" t="str">
        <f>_xlfn.XLOOKUP(Table1[[#This Row],[branch_name]],Table3[branch_name],Table3[id_branch])</f>
        <v>BRCH002</v>
      </c>
      <c r="H548" t="s">
        <v>1214</v>
      </c>
      <c r="I548" t="str">
        <f>_xlfn.XLOOKUP(Table1[[#This Row],[city]],Table4[city],Table4[id_city])</f>
        <v>KOA0103</v>
      </c>
      <c r="J548" t="s">
        <v>1219</v>
      </c>
      <c r="K548" t="str">
        <f>_xlfn.XLOOKUP(Table1[[#This Row],[menu_name]],Table5[menu_name],Table5[id_menu])</f>
        <v>MENU004</v>
      </c>
      <c r="L548" t="s">
        <v>1226</v>
      </c>
      <c r="M548" t="str">
        <f>_xlfn.XLOOKUP(Table1[[#This Row],[category]],Table6[category],Table6[id_category])</f>
        <v>KTG0207</v>
      </c>
      <c r="N548" t="s">
        <v>1235</v>
      </c>
      <c r="O548">
        <v>3</v>
      </c>
      <c r="P548">
        <v>28000</v>
      </c>
      <c r="Q548">
        <v>20</v>
      </c>
      <c r="R548">
        <v>2.5</v>
      </c>
      <c r="S548" t="str">
        <f>_xlfn.XLOOKUP(Table1[[#This Row],[method]],Table7[method],Table7[id_method])</f>
        <v>PAY0710</v>
      </c>
      <c r="T548" t="s">
        <v>1237</v>
      </c>
      <c r="U548">
        <v>67200</v>
      </c>
    </row>
    <row r="549" spans="1:21" x14ac:dyDescent="0.25">
      <c r="A549" t="s">
        <v>561</v>
      </c>
      <c r="B549" t="str">
        <f>_xlfn.XLOOKUP(Table1[[#This Row],[date]],Table8[date],Table8[id_date])</f>
        <v>TGL0797</v>
      </c>
      <c r="C549" s="1">
        <v>45677</v>
      </c>
      <c r="D549" s="1" t="str">
        <f>_xlfn.XLOOKUP(Table1[[#This Row],[customer_name]],Table11[customer_name],Table11[id_cust])</f>
        <v>CNA0265</v>
      </c>
      <c r="E549" t="s">
        <v>1132</v>
      </c>
      <c r="F549">
        <v>42</v>
      </c>
      <c r="G549" t="str">
        <f>_xlfn.XLOOKUP(Table1[[#This Row],[branch_name]],Table3[branch_name],Table3[id_branch])</f>
        <v>BRCH001</v>
      </c>
      <c r="H549" t="s">
        <v>1213</v>
      </c>
      <c r="I549" t="str">
        <f>_xlfn.XLOOKUP(Table1[[#This Row],[city]],Table4[city],Table4[id_city])</f>
        <v>KOA0102</v>
      </c>
      <c r="J549" t="s">
        <v>1218</v>
      </c>
      <c r="K549" t="str">
        <f>_xlfn.XLOOKUP(Table1[[#This Row],[menu_name]],Table5[menu_name],Table5[id_menu])</f>
        <v>MENU006</v>
      </c>
      <c r="L549" t="s">
        <v>1228</v>
      </c>
      <c r="M549" t="str">
        <f>_xlfn.XLOOKUP(Table1[[#This Row],[category]],Table6[category],Table6[id_category])</f>
        <v>KTG0206</v>
      </c>
      <c r="N549" t="s">
        <v>1234</v>
      </c>
      <c r="O549">
        <v>1</v>
      </c>
      <c r="P549">
        <v>32000</v>
      </c>
      <c r="Q549">
        <v>15</v>
      </c>
      <c r="R549">
        <v>2.4</v>
      </c>
      <c r="S549" t="str">
        <f>_xlfn.XLOOKUP(Table1[[#This Row],[method]],Table7[method],Table7[id_method])</f>
        <v>PAY0710</v>
      </c>
      <c r="T549" t="s">
        <v>1237</v>
      </c>
      <c r="U549">
        <v>27200</v>
      </c>
    </row>
    <row r="550" spans="1:21" x14ac:dyDescent="0.25">
      <c r="A550" t="s">
        <v>562</v>
      </c>
      <c r="B550" t="str">
        <f>_xlfn.XLOOKUP(Table1[[#This Row],[date]],Table8[date],Table8[id_date])</f>
        <v>TGL0797</v>
      </c>
      <c r="C550" s="1">
        <v>45677</v>
      </c>
      <c r="D550" s="1" t="str">
        <f>_xlfn.XLOOKUP(Table1[[#This Row],[customer_name]],Table11[customer_name],Table11[id_cust])</f>
        <v>CNA0303</v>
      </c>
      <c r="E550" t="s">
        <v>1152</v>
      </c>
      <c r="F550">
        <v>44</v>
      </c>
      <c r="G550" t="str">
        <f>_xlfn.XLOOKUP(Table1[[#This Row],[branch_name]],Table3[branch_name],Table3[id_branch])</f>
        <v>BRCH002</v>
      </c>
      <c r="H550" t="s">
        <v>1214</v>
      </c>
      <c r="I550" t="str">
        <f>_xlfn.XLOOKUP(Table1[[#This Row],[city]],Table4[city],Table4[id_city])</f>
        <v>KOA0103</v>
      </c>
      <c r="J550" t="s">
        <v>1219</v>
      </c>
      <c r="K550" t="str">
        <f>_xlfn.XLOOKUP(Table1[[#This Row],[menu_name]],Table5[menu_name],Table5[id_menu])</f>
        <v>MENU009</v>
      </c>
      <c r="L550" t="s">
        <v>1231</v>
      </c>
      <c r="M550" t="str">
        <f>_xlfn.XLOOKUP(Table1[[#This Row],[category]],Table6[category],Table6[id_category])</f>
        <v>KTG0206</v>
      </c>
      <c r="N550" t="s">
        <v>1234</v>
      </c>
      <c r="O550">
        <v>2</v>
      </c>
      <c r="P550">
        <v>18000</v>
      </c>
      <c r="Q550">
        <v>5</v>
      </c>
      <c r="R550">
        <v>2.4</v>
      </c>
      <c r="S550" t="str">
        <f>_xlfn.XLOOKUP(Table1[[#This Row],[method]],Table7[method],Table7[id_method])</f>
        <v>PAY0711</v>
      </c>
      <c r="T550" t="s">
        <v>1238</v>
      </c>
      <c r="U550">
        <v>34200</v>
      </c>
    </row>
    <row r="551" spans="1:21" x14ac:dyDescent="0.25">
      <c r="A551" t="s">
        <v>563</v>
      </c>
      <c r="B551" t="str">
        <f>_xlfn.XLOOKUP(Table1[[#This Row],[date]],Table8[date],Table8[id_date])</f>
        <v>TGL0798</v>
      </c>
      <c r="C551" s="1">
        <v>45678</v>
      </c>
      <c r="D551" s="1" t="str">
        <f>_xlfn.XLOOKUP(Table1[[#This Row],[customer_name]],Table11[customer_name],Table11[id_cust])</f>
        <v>CNA0453</v>
      </c>
      <c r="E551" t="s">
        <v>1181</v>
      </c>
      <c r="F551">
        <v>44</v>
      </c>
      <c r="G551" t="str">
        <f>_xlfn.XLOOKUP(Table1[[#This Row],[branch_name]],Table3[branch_name],Table3[id_branch])</f>
        <v>BRCH003</v>
      </c>
      <c r="H551" t="s">
        <v>1215</v>
      </c>
      <c r="I551" t="str">
        <f>_xlfn.XLOOKUP(Table1[[#This Row],[city]],Table4[city],Table4[id_city])</f>
        <v>KOA0104</v>
      </c>
      <c r="J551" t="s">
        <v>1220</v>
      </c>
      <c r="K551" t="str">
        <f>_xlfn.XLOOKUP(Table1[[#This Row],[menu_name]],Table5[menu_name],Table5[id_menu])</f>
        <v>MENU005</v>
      </c>
      <c r="L551" t="s">
        <v>1227</v>
      </c>
      <c r="M551" t="str">
        <f>_xlfn.XLOOKUP(Table1[[#This Row],[category]],Table6[category],Table6[id_category])</f>
        <v>KTG0206</v>
      </c>
      <c r="N551" t="s">
        <v>1234</v>
      </c>
      <c r="O551">
        <v>3</v>
      </c>
      <c r="P551">
        <v>23000</v>
      </c>
      <c r="Q551">
        <v>0</v>
      </c>
      <c r="R551">
        <v>3.7</v>
      </c>
      <c r="S551" t="str">
        <f>_xlfn.XLOOKUP(Table1[[#This Row],[method]],Table7[method],Table7[id_method])</f>
        <v>PAY0712</v>
      </c>
      <c r="T551" t="s">
        <v>1239</v>
      </c>
      <c r="U551">
        <v>69000</v>
      </c>
    </row>
    <row r="552" spans="1:21" x14ac:dyDescent="0.25">
      <c r="A552" t="s">
        <v>564</v>
      </c>
      <c r="B552" t="str">
        <f>_xlfn.XLOOKUP(Table1[[#This Row],[date]],Table8[date],Table8[id_date])</f>
        <v>TGL0799</v>
      </c>
      <c r="C552" s="1">
        <v>45680</v>
      </c>
      <c r="D552" s="1" t="str">
        <f>_xlfn.XLOOKUP(Table1[[#This Row],[customer_name]],Table11[customer_name],Table11[id_cust])</f>
        <v>CNA0211</v>
      </c>
      <c r="E552" t="s">
        <v>1103</v>
      </c>
      <c r="F552">
        <v>49</v>
      </c>
      <c r="G552" t="str">
        <f>_xlfn.XLOOKUP(Table1[[#This Row],[branch_name]],Table3[branch_name],Table3[id_branch])</f>
        <v>BRCH005</v>
      </c>
      <c r="H552" t="s">
        <v>1217</v>
      </c>
      <c r="I552" t="str">
        <f>_xlfn.XLOOKUP(Table1[[#This Row],[city]],Table4[city],Table4[id_city])</f>
        <v>KOA0106</v>
      </c>
      <c r="J552" t="s">
        <v>1222</v>
      </c>
      <c r="K552" t="str">
        <f>_xlfn.XLOOKUP(Table1[[#This Row],[menu_name]],Table5[menu_name],Table5[id_menu])</f>
        <v>MENU003</v>
      </c>
      <c r="L552" t="s">
        <v>1225</v>
      </c>
      <c r="M552" t="str">
        <f>_xlfn.XLOOKUP(Table1[[#This Row],[category]],Table6[category],Table6[id_category])</f>
        <v>KTG0205</v>
      </c>
      <c r="N552" t="s">
        <v>1233</v>
      </c>
      <c r="O552">
        <v>4</v>
      </c>
      <c r="P552">
        <v>22000</v>
      </c>
      <c r="Q552">
        <v>15</v>
      </c>
      <c r="R552">
        <v>3.3</v>
      </c>
      <c r="S552" t="str">
        <f>_xlfn.XLOOKUP(Table1[[#This Row],[method]],Table7[method],Table7[id_method])</f>
        <v>PAY0709</v>
      </c>
      <c r="T552" t="s">
        <v>1236</v>
      </c>
      <c r="U552">
        <v>74800</v>
      </c>
    </row>
    <row r="553" spans="1:21" x14ac:dyDescent="0.25">
      <c r="A553" t="s">
        <v>565</v>
      </c>
      <c r="B553" t="str">
        <f>_xlfn.XLOOKUP(Table1[[#This Row],[date]],Table8[date],Table8[id_date])</f>
        <v>TGL0800</v>
      </c>
      <c r="C553" s="1">
        <v>45681</v>
      </c>
      <c r="D553" s="1" t="str">
        <f>_xlfn.XLOOKUP(Table1[[#This Row],[customer_name]],Table11[customer_name],Table11[id_cust])</f>
        <v>CNA0101</v>
      </c>
      <c r="E553" t="s">
        <v>1014</v>
      </c>
      <c r="F553">
        <v>27</v>
      </c>
      <c r="G553" t="str">
        <f>_xlfn.XLOOKUP(Table1[[#This Row],[branch_name]],Table3[branch_name],Table3[id_branch])</f>
        <v>BRCH003</v>
      </c>
      <c r="H553" t="s">
        <v>1215</v>
      </c>
      <c r="I553" t="str">
        <f>_xlfn.XLOOKUP(Table1[[#This Row],[city]],Table4[city],Table4[id_city])</f>
        <v>KOA0104</v>
      </c>
      <c r="J553" t="s">
        <v>1220</v>
      </c>
      <c r="K553" t="str">
        <f>_xlfn.XLOOKUP(Table1[[#This Row],[menu_name]],Table5[menu_name],Table5[id_menu])</f>
        <v>MENU009</v>
      </c>
      <c r="L553" t="s">
        <v>1231</v>
      </c>
      <c r="M553" t="str">
        <f>_xlfn.XLOOKUP(Table1[[#This Row],[category]],Table6[category],Table6[id_category])</f>
        <v>KTG0206</v>
      </c>
      <c r="N553" t="s">
        <v>1234</v>
      </c>
      <c r="O553">
        <v>5</v>
      </c>
      <c r="P553">
        <v>18000</v>
      </c>
      <c r="Q553">
        <v>0</v>
      </c>
      <c r="R553">
        <v>2</v>
      </c>
      <c r="S553" t="str">
        <f>_xlfn.XLOOKUP(Table1[[#This Row],[method]],Table7[method],Table7[id_method])</f>
        <v>PAY0709</v>
      </c>
      <c r="T553" t="s">
        <v>1236</v>
      </c>
      <c r="U553">
        <v>90000</v>
      </c>
    </row>
    <row r="554" spans="1:21" x14ac:dyDescent="0.25">
      <c r="A554" t="s">
        <v>566</v>
      </c>
      <c r="B554" t="str">
        <f>_xlfn.XLOOKUP(Table1[[#This Row],[date]],Table8[date],Table8[id_date])</f>
        <v>TGL0801</v>
      </c>
      <c r="C554" s="1">
        <v>45682</v>
      </c>
      <c r="D554" s="1" t="str">
        <f>_xlfn.XLOOKUP(Table1[[#This Row],[customer_name]],Table11[customer_name],Table11[id_cust])</f>
        <v>CNA0278</v>
      </c>
      <c r="E554" t="s">
        <v>1139</v>
      </c>
      <c r="F554">
        <v>32</v>
      </c>
      <c r="G554" t="str">
        <f>_xlfn.XLOOKUP(Table1[[#This Row],[branch_name]],Table3[branch_name],Table3[id_branch])</f>
        <v>BRCH004</v>
      </c>
      <c r="H554" t="s">
        <v>1216</v>
      </c>
      <c r="I554" t="str">
        <f>_xlfn.XLOOKUP(Table1[[#This Row],[city]],Table4[city],Table4[id_city])</f>
        <v>KOA0105</v>
      </c>
      <c r="J554" t="s">
        <v>1221</v>
      </c>
      <c r="K554" t="str">
        <f>_xlfn.XLOOKUP(Table1[[#This Row],[menu_name]],Table5[menu_name],Table5[id_menu])</f>
        <v>MENU004</v>
      </c>
      <c r="L554" t="s">
        <v>1226</v>
      </c>
      <c r="M554" t="str">
        <f>_xlfn.XLOOKUP(Table1[[#This Row],[category]],Table6[category],Table6[id_category])</f>
        <v>KTG0207</v>
      </c>
      <c r="N554" t="s">
        <v>1235</v>
      </c>
      <c r="O554">
        <v>3</v>
      </c>
      <c r="P554">
        <v>28000</v>
      </c>
      <c r="Q554">
        <v>20</v>
      </c>
      <c r="R554">
        <v>1.7</v>
      </c>
      <c r="S554" t="str">
        <f>_xlfn.XLOOKUP(Table1[[#This Row],[method]],Table7[method],Table7[id_method])</f>
        <v>PAY0709</v>
      </c>
      <c r="T554" t="s">
        <v>1236</v>
      </c>
      <c r="U554">
        <v>67200</v>
      </c>
    </row>
    <row r="555" spans="1:21" x14ac:dyDescent="0.25">
      <c r="A555" t="s">
        <v>567</v>
      </c>
      <c r="B555" t="str">
        <f>_xlfn.XLOOKUP(Table1[[#This Row],[date]],Table8[date],Table8[id_date])</f>
        <v>TGL0801</v>
      </c>
      <c r="C555" s="1">
        <v>45682</v>
      </c>
      <c r="D555" s="1" t="str">
        <f>_xlfn.XLOOKUP(Table1[[#This Row],[customer_name]],Table11[customer_name],Table11[id_cust])</f>
        <v>CNA0654</v>
      </c>
      <c r="E555" t="s">
        <v>1196</v>
      </c>
      <c r="F555">
        <v>35</v>
      </c>
      <c r="G555" t="str">
        <f>_xlfn.XLOOKUP(Table1[[#This Row],[branch_name]],Table3[branch_name],Table3[id_branch])</f>
        <v>BRCH003</v>
      </c>
      <c r="H555" t="s">
        <v>1215</v>
      </c>
      <c r="I555" t="str">
        <f>_xlfn.XLOOKUP(Table1[[#This Row],[city]],Table4[city],Table4[id_city])</f>
        <v>KOA0104</v>
      </c>
      <c r="J555" t="s">
        <v>1220</v>
      </c>
      <c r="K555" t="str">
        <f>_xlfn.XLOOKUP(Table1[[#This Row],[menu_name]],Table5[menu_name],Table5[id_menu])</f>
        <v>MENU003</v>
      </c>
      <c r="L555" t="s">
        <v>1225</v>
      </c>
      <c r="M555" t="str">
        <f>_xlfn.XLOOKUP(Table1[[#This Row],[category]],Table6[category],Table6[id_category])</f>
        <v>KTG0205</v>
      </c>
      <c r="N555" t="s">
        <v>1233</v>
      </c>
      <c r="O555">
        <v>5</v>
      </c>
      <c r="P555">
        <v>22000</v>
      </c>
      <c r="Q555">
        <v>10</v>
      </c>
      <c r="R555">
        <v>4.7</v>
      </c>
      <c r="S555" t="str">
        <f>_xlfn.XLOOKUP(Table1[[#This Row],[method]],Table7[method],Table7[id_method])</f>
        <v>PAY0709</v>
      </c>
      <c r="T555" t="s">
        <v>1236</v>
      </c>
      <c r="U555">
        <v>99000</v>
      </c>
    </row>
    <row r="556" spans="1:21" x14ac:dyDescent="0.25">
      <c r="A556" t="s">
        <v>568</v>
      </c>
      <c r="B556" t="str">
        <f>_xlfn.XLOOKUP(Table1[[#This Row],[date]],Table8[date],Table8[id_date])</f>
        <v>TGL0802</v>
      </c>
      <c r="C556" s="1">
        <v>45683</v>
      </c>
      <c r="D556" s="1" t="str">
        <f>_xlfn.XLOOKUP(Table1[[#This Row],[customer_name]],Table11[customer_name],Table11[id_cust])</f>
        <v>CNA0233</v>
      </c>
      <c r="E556" t="s">
        <v>1117</v>
      </c>
      <c r="F556">
        <v>18</v>
      </c>
      <c r="G556" t="str">
        <f>_xlfn.XLOOKUP(Table1[[#This Row],[branch_name]],Table3[branch_name],Table3[id_branch])</f>
        <v>BRCH003</v>
      </c>
      <c r="H556" t="s">
        <v>1215</v>
      </c>
      <c r="I556" t="str">
        <f>_xlfn.XLOOKUP(Table1[[#This Row],[city]],Table4[city],Table4[id_city])</f>
        <v>KOA0104</v>
      </c>
      <c r="J556" t="s">
        <v>1220</v>
      </c>
      <c r="K556" t="str">
        <f>_xlfn.XLOOKUP(Table1[[#This Row],[menu_name]],Table5[menu_name],Table5[id_menu])</f>
        <v>MENU006</v>
      </c>
      <c r="L556" t="s">
        <v>1228</v>
      </c>
      <c r="M556" t="str">
        <f>_xlfn.XLOOKUP(Table1[[#This Row],[category]],Table6[category],Table6[id_category])</f>
        <v>KTG0206</v>
      </c>
      <c r="N556" t="s">
        <v>1234</v>
      </c>
      <c r="O556">
        <v>2</v>
      </c>
      <c r="P556">
        <v>32000</v>
      </c>
      <c r="Q556">
        <v>10</v>
      </c>
      <c r="R556">
        <v>3.5</v>
      </c>
      <c r="S556" t="str">
        <f>_xlfn.XLOOKUP(Table1[[#This Row],[method]],Table7[method],Table7[id_method])</f>
        <v>PAY0712</v>
      </c>
      <c r="T556" t="s">
        <v>1239</v>
      </c>
      <c r="U556">
        <v>57600</v>
      </c>
    </row>
    <row r="557" spans="1:21" x14ac:dyDescent="0.25">
      <c r="A557" t="s">
        <v>569</v>
      </c>
      <c r="B557" t="str">
        <f>_xlfn.XLOOKUP(Table1[[#This Row],[date]],Table8[date],Table8[id_date])</f>
        <v>TGL0802</v>
      </c>
      <c r="C557" s="1">
        <v>45683</v>
      </c>
      <c r="D557" s="1" t="str">
        <f>_xlfn.XLOOKUP(Table1[[#This Row],[customer_name]],Table11[customer_name],Table11[id_cust])</f>
        <v>CNA0426</v>
      </c>
      <c r="E557" t="s">
        <v>1178</v>
      </c>
      <c r="F557">
        <v>38</v>
      </c>
      <c r="G557" t="str">
        <f>_xlfn.XLOOKUP(Table1[[#This Row],[branch_name]],Table3[branch_name],Table3[id_branch])</f>
        <v>BRCH002</v>
      </c>
      <c r="H557" t="s">
        <v>1214</v>
      </c>
      <c r="I557" t="str">
        <f>_xlfn.XLOOKUP(Table1[[#This Row],[city]],Table4[city],Table4[id_city])</f>
        <v>KOA0103</v>
      </c>
      <c r="J557" t="s">
        <v>1219</v>
      </c>
      <c r="K557" t="str">
        <f>_xlfn.XLOOKUP(Table1[[#This Row],[menu_name]],Table5[menu_name],Table5[id_menu])</f>
        <v>MENU007</v>
      </c>
      <c r="L557" t="s">
        <v>1229</v>
      </c>
      <c r="M557" t="str">
        <f>_xlfn.XLOOKUP(Table1[[#This Row],[category]],Table6[category],Table6[id_category])</f>
        <v>KTG0207</v>
      </c>
      <c r="N557" t="s">
        <v>1235</v>
      </c>
      <c r="O557">
        <v>5</v>
      </c>
      <c r="P557">
        <v>27000</v>
      </c>
      <c r="Q557">
        <v>20</v>
      </c>
      <c r="R557">
        <v>1.4</v>
      </c>
      <c r="S557" t="str">
        <f>_xlfn.XLOOKUP(Table1[[#This Row],[method]],Table7[method],Table7[id_method])</f>
        <v>PAY0711</v>
      </c>
      <c r="T557" t="s">
        <v>1238</v>
      </c>
      <c r="U557">
        <v>108000</v>
      </c>
    </row>
    <row r="558" spans="1:21" x14ac:dyDescent="0.25">
      <c r="A558" t="s">
        <v>570</v>
      </c>
      <c r="B558" t="str">
        <f>_xlfn.XLOOKUP(Table1[[#This Row],[date]],Table8[date],Table8[id_date])</f>
        <v>TGL0803</v>
      </c>
      <c r="C558" s="1">
        <v>45684</v>
      </c>
      <c r="D558" s="1" t="str">
        <f>_xlfn.XLOOKUP(Table1[[#This Row],[customer_name]],Table11[customer_name],Table11[id_cust])</f>
        <v>CNA0205</v>
      </c>
      <c r="E558" t="s">
        <v>1100</v>
      </c>
      <c r="F558">
        <v>17</v>
      </c>
      <c r="G558" t="str">
        <f>_xlfn.XLOOKUP(Table1[[#This Row],[branch_name]],Table3[branch_name],Table3[id_branch])</f>
        <v>BRCH002</v>
      </c>
      <c r="H558" t="s">
        <v>1214</v>
      </c>
      <c r="I558" t="str">
        <f>_xlfn.XLOOKUP(Table1[[#This Row],[city]],Table4[city],Table4[id_city])</f>
        <v>KOA0103</v>
      </c>
      <c r="J558" t="s">
        <v>1219</v>
      </c>
      <c r="K558" t="str">
        <f>_xlfn.XLOOKUP(Table1[[#This Row],[menu_name]],Table5[menu_name],Table5[id_menu])</f>
        <v>MENU007</v>
      </c>
      <c r="L558" t="s">
        <v>1229</v>
      </c>
      <c r="M558" t="str">
        <f>_xlfn.XLOOKUP(Table1[[#This Row],[category]],Table6[category],Table6[id_category])</f>
        <v>KTG0207</v>
      </c>
      <c r="N558" t="s">
        <v>1235</v>
      </c>
      <c r="O558">
        <v>2</v>
      </c>
      <c r="P558">
        <v>27000</v>
      </c>
      <c r="Q558">
        <v>15</v>
      </c>
      <c r="R558">
        <v>1.6</v>
      </c>
      <c r="S558" t="str">
        <f>_xlfn.XLOOKUP(Table1[[#This Row],[method]],Table7[method],Table7[id_method])</f>
        <v>PAY0709</v>
      </c>
      <c r="T558" t="s">
        <v>1236</v>
      </c>
      <c r="U558">
        <v>45900</v>
      </c>
    </row>
    <row r="559" spans="1:21" x14ac:dyDescent="0.25">
      <c r="A559" t="s">
        <v>571</v>
      </c>
      <c r="B559" t="str">
        <f>_xlfn.XLOOKUP(Table1[[#This Row],[date]],Table8[date],Table8[id_date])</f>
        <v>TGL0803</v>
      </c>
      <c r="C559" s="1">
        <v>45684</v>
      </c>
      <c r="D559" s="1" t="str">
        <f>_xlfn.XLOOKUP(Table1[[#This Row],[customer_name]],Table11[customer_name],Table11[id_cust])</f>
        <v>CNA0183</v>
      </c>
      <c r="E559" t="s">
        <v>1085</v>
      </c>
      <c r="F559">
        <v>54</v>
      </c>
      <c r="G559" t="str">
        <f>_xlfn.XLOOKUP(Table1[[#This Row],[branch_name]],Table3[branch_name],Table3[id_branch])</f>
        <v>BRCH005</v>
      </c>
      <c r="H559" t="s">
        <v>1217</v>
      </c>
      <c r="I559" t="str">
        <f>_xlfn.XLOOKUP(Table1[[#This Row],[city]],Table4[city],Table4[id_city])</f>
        <v>KOA0106</v>
      </c>
      <c r="J559" t="s">
        <v>1222</v>
      </c>
      <c r="K559" t="str">
        <f>_xlfn.XLOOKUP(Table1[[#This Row],[menu_name]],Table5[menu_name],Table5[id_menu])</f>
        <v>MENU005</v>
      </c>
      <c r="L559" t="s">
        <v>1227</v>
      </c>
      <c r="M559" t="str">
        <f>_xlfn.XLOOKUP(Table1[[#This Row],[category]],Table6[category],Table6[id_category])</f>
        <v>KTG0206</v>
      </c>
      <c r="N559" t="s">
        <v>1234</v>
      </c>
      <c r="O559">
        <v>1</v>
      </c>
      <c r="P559">
        <v>23000</v>
      </c>
      <c r="Q559">
        <v>10</v>
      </c>
      <c r="R559">
        <v>3.2</v>
      </c>
      <c r="S559" t="str">
        <f>_xlfn.XLOOKUP(Table1[[#This Row],[method]],Table7[method],Table7[id_method])</f>
        <v>PAY0710</v>
      </c>
      <c r="T559" t="s">
        <v>1237</v>
      </c>
      <c r="U559">
        <v>20700</v>
      </c>
    </row>
    <row r="560" spans="1:21" x14ac:dyDescent="0.25">
      <c r="A560" t="s">
        <v>572</v>
      </c>
      <c r="B560" t="str">
        <f>_xlfn.XLOOKUP(Table1[[#This Row],[date]],Table8[date],Table8[id_date])</f>
        <v>TGL0803</v>
      </c>
      <c r="C560" s="1">
        <v>45684</v>
      </c>
      <c r="D560" s="1" t="str">
        <f>_xlfn.XLOOKUP(Table1[[#This Row],[customer_name]],Table11[customer_name],Table11[id_cust])</f>
        <v>CNA0123</v>
      </c>
      <c r="E560" t="s">
        <v>1036</v>
      </c>
      <c r="F560">
        <v>31</v>
      </c>
      <c r="G560" t="str">
        <f>_xlfn.XLOOKUP(Table1[[#This Row],[branch_name]],Table3[branch_name],Table3[id_branch])</f>
        <v>BRCH004</v>
      </c>
      <c r="H560" t="s">
        <v>1216</v>
      </c>
      <c r="I560" t="str">
        <f>_xlfn.XLOOKUP(Table1[[#This Row],[city]],Table4[city],Table4[id_city])</f>
        <v>KOA0105</v>
      </c>
      <c r="J560" t="s">
        <v>1221</v>
      </c>
      <c r="K560" t="str">
        <f>_xlfn.XLOOKUP(Table1[[#This Row],[menu_name]],Table5[menu_name],Table5[id_menu])</f>
        <v>MENU008</v>
      </c>
      <c r="L560" t="s">
        <v>1230</v>
      </c>
      <c r="M560" t="str">
        <f>_xlfn.XLOOKUP(Table1[[#This Row],[category]],Table6[category],Table6[id_category])</f>
        <v>KTG0205</v>
      </c>
      <c r="N560" t="s">
        <v>1233</v>
      </c>
      <c r="O560">
        <v>4</v>
      </c>
      <c r="P560">
        <v>20000</v>
      </c>
      <c r="Q560">
        <v>0</v>
      </c>
      <c r="R560">
        <v>4.3</v>
      </c>
      <c r="S560" t="str">
        <f>_xlfn.XLOOKUP(Table1[[#This Row],[method]],Table7[method],Table7[id_method])</f>
        <v>PAY0709</v>
      </c>
      <c r="T560" t="s">
        <v>1236</v>
      </c>
      <c r="U560">
        <v>80000</v>
      </c>
    </row>
    <row r="561" spans="1:21" x14ac:dyDescent="0.25">
      <c r="A561" t="s">
        <v>573</v>
      </c>
      <c r="B561" t="str">
        <f>_xlfn.XLOOKUP(Table1[[#This Row],[date]],Table8[date],Table8[id_date])</f>
        <v>TGL0804</v>
      </c>
      <c r="C561" s="1">
        <v>45685</v>
      </c>
      <c r="D561" s="1" t="str">
        <f>_xlfn.XLOOKUP(Table1[[#This Row],[customer_name]],Table11[customer_name],Table11[id_cust])</f>
        <v>CNA0225</v>
      </c>
      <c r="E561" t="s">
        <v>1112</v>
      </c>
      <c r="F561">
        <v>25</v>
      </c>
      <c r="G561" t="str">
        <f>_xlfn.XLOOKUP(Table1[[#This Row],[branch_name]],Table3[branch_name],Table3[id_branch])</f>
        <v>BRCH004</v>
      </c>
      <c r="H561" t="s">
        <v>1216</v>
      </c>
      <c r="I561" t="str">
        <f>_xlfn.XLOOKUP(Table1[[#This Row],[city]],Table4[city],Table4[id_city])</f>
        <v>KOA0105</v>
      </c>
      <c r="J561" t="s">
        <v>1221</v>
      </c>
      <c r="K561" t="str">
        <f>_xlfn.XLOOKUP(Table1[[#This Row],[menu_name]],Table5[menu_name],Table5[id_menu])</f>
        <v>MENU009</v>
      </c>
      <c r="L561" t="s">
        <v>1231</v>
      </c>
      <c r="M561" t="str">
        <f>_xlfn.XLOOKUP(Table1[[#This Row],[category]],Table6[category],Table6[id_category])</f>
        <v>KTG0206</v>
      </c>
      <c r="N561" t="s">
        <v>1234</v>
      </c>
      <c r="O561">
        <v>5</v>
      </c>
      <c r="P561">
        <v>18000</v>
      </c>
      <c r="Q561">
        <v>0</v>
      </c>
      <c r="R561">
        <v>3.9</v>
      </c>
      <c r="S561" t="str">
        <f>_xlfn.XLOOKUP(Table1[[#This Row],[method]],Table7[method],Table7[id_method])</f>
        <v>PAY0710</v>
      </c>
      <c r="T561" t="s">
        <v>1237</v>
      </c>
      <c r="U561">
        <v>90000</v>
      </c>
    </row>
    <row r="562" spans="1:21" x14ac:dyDescent="0.25">
      <c r="A562" t="s">
        <v>574</v>
      </c>
      <c r="B562" t="str">
        <f>_xlfn.XLOOKUP(Table1[[#This Row],[date]],Table8[date],Table8[id_date])</f>
        <v>TGL0804</v>
      </c>
      <c r="C562" s="1">
        <v>45685</v>
      </c>
      <c r="D562" s="1" t="str">
        <f>_xlfn.XLOOKUP(Table1[[#This Row],[customer_name]],Table11[customer_name],Table11[id_cust])</f>
        <v>CNA0174</v>
      </c>
      <c r="E562" t="s">
        <v>1079</v>
      </c>
      <c r="F562">
        <v>48</v>
      </c>
      <c r="G562" t="str">
        <f>_xlfn.XLOOKUP(Table1[[#This Row],[branch_name]],Table3[branch_name],Table3[id_branch])</f>
        <v>BRCH002</v>
      </c>
      <c r="H562" t="s">
        <v>1214</v>
      </c>
      <c r="I562" t="str">
        <f>_xlfn.XLOOKUP(Table1[[#This Row],[city]],Table4[city],Table4[id_city])</f>
        <v>KOA0103</v>
      </c>
      <c r="J562" t="s">
        <v>1219</v>
      </c>
      <c r="K562" t="str">
        <f>_xlfn.XLOOKUP(Table1[[#This Row],[menu_name]],Table5[menu_name],Table5[id_menu])</f>
        <v>MENU004</v>
      </c>
      <c r="L562" t="s">
        <v>1226</v>
      </c>
      <c r="M562" t="str">
        <f>_xlfn.XLOOKUP(Table1[[#This Row],[category]],Table6[category],Table6[id_category])</f>
        <v>KTG0207</v>
      </c>
      <c r="N562" t="s">
        <v>1235</v>
      </c>
      <c r="O562">
        <v>3</v>
      </c>
      <c r="P562">
        <v>28000</v>
      </c>
      <c r="Q562">
        <v>5</v>
      </c>
      <c r="R562">
        <v>3.8</v>
      </c>
      <c r="S562" t="str">
        <f>_xlfn.XLOOKUP(Table1[[#This Row],[method]],Table7[method],Table7[id_method])</f>
        <v>PAY0709</v>
      </c>
      <c r="T562" t="s">
        <v>1236</v>
      </c>
      <c r="U562">
        <v>79800</v>
      </c>
    </row>
    <row r="563" spans="1:21" x14ac:dyDescent="0.25">
      <c r="A563" t="s">
        <v>575</v>
      </c>
      <c r="B563" t="str">
        <f>_xlfn.XLOOKUP(Table1[[#This Row],[date]],Table8[date],Table8[id_date])</f>
        <v>TGL0805</v>
      </c>
      <c r="C563" s="1">
        <v>45687</v>
      </c>
      <c r="D563" s="1" t="str">
        <f>_xlfn.XLOOKUP(Table1[[#This Row],[customer_name]],Table11[customer_name],Table11[id_cust])</f>
        <v>CNA0497</v>
      </c>
      <c r="E563" t="s">
        <v>1184</v>
      </c>
      <c r="F563">
        <v>25</v>
      </c>
      <c r="G563" t="str">
        <f>_xlfn.XLOOKUP(Table1[[#This Row],[branch_name]],Table3[branch_name],Table3[id_branch])</f>
        <v>BRCH001</v>
      </c>
      <c r="H563" t="s">
        <v>1213</v>
      </c>
      <c r="I563" t="str">
        <f>_xlfn.XLOOKUP(Table1[[#This Row],[city]],Table4[city],Table4[id_city])</f>
        <v>KOA0102</v>
      </c>
      <c r="J563" t="s">
        <v>1218</v>
      </c>
      <c r="K563" t="str">
        <f>_xlfn.XLOOKUP(Table1[[#This Row],[menu_name]],Table5[menu_name],Table5[id_menu])</f>
        <v>MENU006</v>
      </c>
      <c r="L563" t="s">
        <v>1228</v>
      </c>
      <c r="M563" t="str">
        <f>_xlfn.XLOOKUP(Table1[[#This Row],[category]],Table6[category],Table6[id_category])</f>
        <v>KTG0206</v>
      </c>
      <c r="N563" t="s">
        <v>1234</v>
      </c>
      <c r="O563">
        <v>3</v>
      </c>
      <c r="P563">
        <v>32000</v>
      </c>
      <c r="Q563">
        <v>10</v>
      </c>
      <c r="R563">
        <v>1.3</v>
      </c>
      <c r="S563" t="str">
        <f>_xlfn.XLOOKUP(Table1[[#This Row],[method]],Table7[method],Table7[id_method])</f>
        <v>PAY0710</v>
      </c>
      <c r="T563" t="s">
        <v>1237</v>
      </c>
      <c r="U563">
        <v>86400</v>
      </c>
    </row>
    <row r="564" spans="1:21" x14ac:dyDescent="0.25">
      <c r="A564" t="s">
        <v>576</v>
      </c>
      <c r="B564" t="str">
        <f>_xlfn.XLOOKUP(Table1[[#This Row],[date]],Table8[date],Table8[id_date])</f>
        <v>TGL0805</v>
      </c>
      <c r="C564" s="1">
        <v>45687</v>
      </c>
      <c r="D564" s="1" t="str">
        <f>_xlfn.XLOOKUP(Table1[[#This Row],[customer_name]],Table11[customer_name],Table11[id_cust])</f>
        <v>CNA0224</v>
      </c>
      <c r="E564" t="s">
        <v>1111</v>
      </c>
      <c r="F564">
        <v>49</v>
      </c>
      <c r="G564" t="str">
        <f>_xlfn.XLOOKUP(Table1[[#This Row],[branch_name]],Table3[branch_name],Table3[id_branch])</f>
        <v>BRCH003</v>
      </c>
      <c r="H564" t="s">
        <v>1215</v>
      </c>
      <c r="I564" t="str">
        <f>_xlfn.XLOOKUP(Table1[[#This Row],[city]],Table4[city],Table4[id_city])</f>
        <v>KOA0104</v>
      </c>
      <c r="J564" t="s">
        <v>1220</v>
      </c>
      <c r="K564" t="str">
        <f>_xlfn.XLOOKUP(Table1[[#This Row],[menu_name]],Table5[menu_name],Table5[id_menu])</f>
        <v>MENU004</v>
      </c>
      <c r="L564" t="s">
        <v>1226</v>
      </c>
      <c r="M564" t="str">
        <f>_xlfn.XLOOKUP(Table1[[#This Row],[category]],Table6[category],Table6[id_category])</f>
        <v>KTG0207</v>
      </c>
      <c r="N564" t="s">
        <v>1235</v>
      </c>
      <c r="O564">
        <v>4</v>
      </c>
      <c r="P564">
        <v>28000</v>
      </c>
      <c r="Q564">
        <v>5</v>
      </c>
      <c r="R564">
        <v>4.3</v>
      </c>
      <c r="S564" t="str">
        <f>_xlfn.XLOOKUP(Table1[[#This Row],[method]],Table7[method],Table7[id_method])</f>
        <v>PAY0709</v>
      </c>
      <c r="T564" t="s">
        <v>1236</v>
      </c>
      <c r="U564">
        <v>106400</v>
      </c>
    </row>
    <row r="565" spans="1:21" x14ac:dyDescent="0.25">
      <c r="A565" t="s">
        <v>577</v>
      </c>
      <c r="B565" t="str">
        <f>_xlfn.XLOOKUP(Table1[[#This Row],[date]],Table8[date],Table8[id_date])</f>
        <v>TGL0805</v>
      </c>
      <c r="C565" s="1">
        <v>45687</v>
      </c>
      <c r="D565" s="1" t="str">
        <f>_xlfn.XLOOKUP(Table1[[#This Row],[customer_name]],Table11[customer_name],Table11[id_cust])</f>
        <v>CNA0333</v>
      </c>
      <c r="E565" t="s">
        <v>1161</v>
      </c>
      <c r="F565">
        <v>27</v>
      </c>
      <c r="G565" t="str">
        <f>_xlfn.XLOOKUP(Table1[[#This Row],[branch_name]],Table3[branch_name],Table3[id_branch])</f>
        <v>BRCH004</v>
      </c>
      <c r="H565" t="s">
        <v>1216</v>
      </c>
      <c r="I565" t="str">
        <f>_xlfn.XLOOKUP(Table1[[#This Row],[city]],Table4[city],Table4[id_city])</f>
        <v>KOA0105</v>
      </c>
      <c r="J565" t="s">
        <v>1221</v>
      </c>
      <c r="K565" t="str">
        <f>_xlfn.XLOOKUP(Table1[[#This Row],[menu_name]],Table5[menu_name],Table5[id_menu])</f>
        <v>MENU004</v>
      </c>
      <c r="L565" t="s">
        <v>1226</v>
      </c>
      <c r="M565" t="str">
        <f>_xlfn.XLOOKUP(Table1[[#This Row],[category]],Table6[category],Table6[id_category])</f>
        <v>KTG0207</v>
      </c>
      <c r="N565" t="s">
        <v>1235</v>
      </c>
      <c r="O565">
        <v>2</v>
      </c>
      <c r="P565">
        <v>28000</v>
      </c>
      <c r="Q565">
        <v>10</v>
      </c>
      <c r="R565">
        <v>2.4</v>
      </c>
      <c r="S565" t="str">
        <f>_xlfn.XLOOKUP(Table1[[#This Row],[method]],Table7[method],Table7[id_method])</f>
        <v>PAY0710</v>
      </c>
      <c r="T565" t="s">
        <v>1237</v>
      </c>
      <c r="U565">
        <v>50400</v>
      </c>
    </row>
    <row r="566" spans="1:21" x14ac:dyDescent="0.25">
      <c r="A566" t="s">
        <v>578</v>
      </c>
      <c r="B566" t="str">
        <f>_xlfn.XLOOKUP(Table1[[#This Row],[date]],Table8[date],Table8[id_date])</f>
        <v>TGL0806</v>
      </c>
      <c r="C566" s="1">
        <v>45688</v>
      </c>
      <c r="D566" s="1" t="str">
        <f>_xlfn.XLOOKUP(Table1[[#This Row],[customer_name]],Table11[customer_name],Table11[id_cust])</f>
        <v>CNA0174</v>
      </c>
      <c r="E566" t="s">
        <v>1079</v>
      </c>
      <c r="F566">
        <v>48</v>
      </c>
      <c r="G566" t="str">
        <f>_xlfn.XLOOKUP(Table1[[#This Row],[branch_name]],Table3[branch_name],Table3[id_branch])</f>
        <v>BRCH004</v>
      </c>
      <c r="H566" t="s">
        <v>1216</v>
      </c>
      <c r="I566" t="str">
        <f>_xlfn.XLOOKUP(Table1[[#This Row],[city]],Table4[city],Table4[id_city])</f>
        <v>KOA0105</v>
      </c>
      <c r="J566" t="s">
        <v>1221</v>
      </c>
      <c r="K566" t="str">
        <f>_xlfn.XLOOKUP(Table1[[#This Row],[menu_name]],Table5[menu_name],Table5[id_menu])</f>
        <v>MENU007</v>
      </c>
      <c r="L566" t="s">
        <v>1229</v>
      </c>
      <c r="M566" t="str">
        <f>_xlfn.XLOOKUP(Table1[[#This Row],[category]],Table6[category],Table6[id_category])</f>
        <v>KTG0207</v>
      </c>
      <c r="N566" t="s">
        <v>1235</v>
      </c>
      <c r="O566">
        <v>4</v>
      </c>
      <c r="P566">
        <v>27000</v>
      </c>
      <c r="Q566">
        <v>0</v>
      </c>
      <c r="R566">
        <v>3.7</v>
      </c>
      <c r="S566" t="str">
        <f>_xlfn.XLOOKUP(Table1[[#This Row],[method]],Table7[method],Table7[id_method])</f>
        <v>PAY0712</v>
      </c>
      <c r="T566" t="s">
        <v>1239</v>
      </c>
      <c r="U566">
        <v>108000</v>
      </c>
    </row>
    <row r="567" spans="1:21" x14ac:dyDescent="0.25">
      <c r="A567" t="s">
        <v>579</v>
      </c>
      <c r="B567" t="str">
        <f>_xlfn.XLOOKUP(Table1[[#This Row],[date]],Table8[date],Table8[id_date])</f>
        <v>TGL0806</v>
      </c>
      <c r="C567" s="1">
        <v>45688</v>
      </c>
      <c r="D567" s="1" t="str">
        <f>_xlfn.XLOOKUP(Table1[[#This Row],[customer_name]],Table11[customer_name],Table11[id_cust])</f>
        <v>CNA0348</v>
      </c>
      <c r="E567" t="s">
        <v>1164</v>
      </c>
      <c r="F567">
        <v>42</v>
      </c>
      <c r="G567" t="str">
        <f>_xlfn.XLOOKUP(Table1[[#This Row],[branch_name]],Table3[branch_name],Table3[id_branch])</f>
        <v>BRCH003</v>
      </c>
      <c r="H567" t="s">
        <v>1215</v>
      </c>
      <c r="I567" t="str">
        <f>_xlfn.XLOOKUP(Table1[[#This Row],[city]],Table4[city],Table4[id_city])</f>
        <v>KOA0104</v>
      </c>
      <c r="J567" t="s">
        <v>1220</v>
      </c>
      <c r="K567" t="str">
        <f>_xlfn.XLOOKUP(Table1[[#This Row],[menu_name]],Table5[menu_name],Table5[id_menu])</f>
        <v>MENU003</v>
      </c>
      <c r="L567" t="s">
        <v>1225</v>
      </c>
      <c r="M567" t="str">
        <f>_xlfn.XLOOKUP(Table1[[#This Row],[category]],Table6[category],Table6[id_category])</f>
        <v>KTG0205</v>
      </c>
      <c r="N567" t="s">
        <v>1233</v>
      </c>
      <c r="O567">
        <v>1</v>
      </c>
      <c r="P567">
        <v>22000</v>
      </c>
      <c r="Q567">
        <v>5</v>
      </c>
      <c r="R567">
        <v>4.9000000000000004</v>
      </c>
      <c r="S567" t="str">
        <f>_xlfn.XLOOKUP(Table1[[#This Row],[method]],Table7[method],Table7[id_method])</f>
        <v>PAY0709</v>
      </c>
      <c r="T567" t="s">
        <v>1236</v>
      </c>
      <c r="U567">
        <v>20900</v>
      </c>
    </row>
    <row r="568" spans="1:21" x14ac:dyDescent="0.25">
      <c r="A568" t="s">
        <v>580</v>
      </c>
      <c r="B568" t="str">
        <f>_xlfn.XLOOKUP(Table1[[#This Row],[date]],Table8[date],Table8[id_date])</f>
        <v>TGL0807</v>
      </c>
      <c r="C568" s="1">
        <v>45689</v>
      </c>
      <c r="D568" s="1" t="str">
        <f>_xlfn.XLOOKUP(Table1[[#This Row],[customer_name]],Table11[customer_name],Table11[id_cust])</f>
        <v>CNA0217</v>
      </c>
      <c r="E568" t="s">
        <v>1107</v>
      </c>
      <c r="F568">
        <v>25</v>
      </c>
      <c r="G568" t="str">
        <f>_xlfn.XLOOKUP(Table1[[#This Row],[branch_name]],Table3[branch_name],Table3[id_branch])</f>
        <v>BRCH001</v>
      </c>
      <c r="H568" t="s">
        <v>1213</v>
      </c>
      <c r="I568" t="str">
        <f>_xlfn.XLOOKUP(Table1[[#This Row],[city]],Table4[city],Table4[id_city])</f>
        <v>KOA0102</v>
      </c>
      <c r="J568" t="s">
        <v>1218</v>
      </c>
      <c r="K568" t="str">
        <f>_xlfn.XLOOKUP(Table1[[#This Row],[menu_name]],Table5[menu_name],Table5[id_menu])</f>
        <v>MENU005</v>
      </c>
      <c r="L568" t="s">
        <v>1227</v>
      </c>
      <c r="M568" t="str">
        <f>_xlfn.XLOOKUP(Table1[[#This Row],[category]],Table6[category],Table6[id_category])</f>
        <v>KTG0206</v>
      </c>
      <c r="N568" t="s">
        <v>1234</v>
      </c>
      <c r="O568">
        <v>4</v>
      </c>
      <c r="P568">
        <v>23000</v>
      </c>
      <c r="Q568">
        <v>0</v>
      </c>
      <c r="R568">
        <v>2.1</v>
      </c>
      <c r="S568" t="str">
        <f>_xlfn.XLOOKUP(Table1[[#This Row],[method]],Table7[method],Table7[id_method])</f>
        <v>PAY0710</v>
      </c>
      <c r="T568" t="s">
        <v>1237</v>
      </c>
      <c r="U568">
        <v>92000</v>
      </c>
    </row>
    <row r="569" spans="1:21" x14ac:dyDescent="0.25">
      <c r="A569" t="s">
        <v>581</v>
      </c>
      <c r="B569" t="str">
        <f>_xlfn.XLOOKUP(Table1[[#This Row],[date]],Table8[date],Table8[id_date])</f>
        <v>TGL0807</v>
      </c>
      <c r="C569" s="1">
        <v>45689</v>
      </c>
      <c r="D569" s="1" t="str">
        <f>_xlfn.XLOOKUP(Table1[[#This Row],[customer_name]],Table11[customer_name],Table11[id_cust])</f>
        <v>CNA0537</v>
      </c>
      <c r="E569" t="s">
        <v>1189</v>
      </c>
      <c r="F569">
        <v>19</v>
      </c>
      <c r="G569" t="str">
        <f>_xlfn.XLOOKUP(Table1[[#This Row],[branch_name]],Table3[branch_name],Table3[id_branch])</f>
        <v>BRCH002</v>
      </c>
      <c r="H569" t="s">
        <v>1214</v>
      </c>
      <c r="I569" t="str">
        <f>_xlfn.XLOOKUP(Table1[[#This Row],[city]],Table4[city],Table4[id_city])</f>
        <v>KOA0103</v>
      </c>
      <c r="J569" t="s">
        <v>1219</v>
      </c>
      <c r="K569" t="str">
        <f>_xlfn.XLOOKUP(Table1[[#This Row],[menu_name]],Table5[menu_name],Table5[id_menu])</f>
        <v>MENU010</v>
      </c>
      <c r="L569" t="s">
        <v>1232</v>
      </c>
      <c r="M569" t="str">
        <f>_xlfn.XLOOKUP(Table1[[#This Row],[category]],Table6[category],Table6[id_category])</f>
        <v>KTG0205</v>
      </c>
      <c r="N569" t="s">
        <v>1233</v>
      </c>
      <c r="O569">
        <v>3</v>
      </c>
      <c r="P569">
        <v>18000</v>
      </c>
      <c r="Q569">
        <v>10</v>
      </c>
      <c r="R569">
        <v>4.9000000000000004</v>
      </c>
      <c r="S569" t="str">
        <f>_xlfn.XLOOKUP(Table1[[#This Row],[method]],Table7[method],Table7[id_method])</f>
        <v>PAY0710</v>
      </c>
      <c r="T569" t="s">
        <v>1237</v>
      </c>
      <c r="U569">
        <v>48600</v>
      </c>
    </row>
    <row r="570" spans="1:21" x14ac:dyDescent="0.25">
      <c r="A570" t="s">
        <v>582</v>
      </c>
      <c r="B570" t="str">
        <f>_xlfn.XLOOKUP(Table1[[#This Row],[date]],Table8[date],Table8[id_date])</f>
        <v>TGL0808</v>
      </c>
      <c r="C570" s="1">
        <v>45691</v>
      </c>
      <c r="D570" s="1" t="str">
        <f>_xlfn.XLOOKUP(Table1[[#This Row],[customer_name]],Table11[customer_name],Table11[id_cust])</f>
        <v>CNA0188</v>
      </c>
      <c r="E570" t="s">
        <v>1090</v>
      </c>
      <c r="F570">
        <v>19</v>
      </c>
      <c r="G570" t="str">
        <f>_xlfn.XLOOKUP(Table1[[#This Row],[branch_name]],Table3[branch_name],Table3[id_branch])</f>
        <v>BRCH001</v>
      </c>
      <c r="H570" t="s">
        <v>1213</v>
      </c>
      <c r="I570" t="str">
        <f>_xlfn.XLOOKUP(Table1[[#This Row],[city]],Table4[city],Table4[id_city])</f>
        <v>KOA0102</v>
      </c>
      <c r="J570" t="s">
        <v>1218</v>
      </c>
      <c r="K570" t="str">
        <f>_xlfn.XLOOKUP(Table1[[#This Row],[menu_name]],Table5[menu_name],Table5[id_menu])</f>
        <v>MENU006</v>
      </c>
      <c r="L570" t="s">
        <v>1228</v>
      </c>
      <c r="M570" t="str">
        <f>_xlfn.XLOOKUP(Table1[[#This Row],[category]],Table6[category],Table6[id_category])</f>
        <v>KTG0206</v>
      </c>
      <c r="N570" t="s">
        <v>1234</v>
      </c>
      <c r="O570">
        <v>5</v>
      </c>
      <c r="P570">
        <v>32000</v>
      </c>
      <c r="Q570">
        <v>0</v>
      </c>
      <c r="R570">
        <v>4.5</v>
      </c>
      <c r="S570" t="str">
        <f>_xlfn.XLOOKUP(Table1[[#This Row],[method]],Table7[method],Table7[id_method])</f>
        <v>PAY0711</v>
      </c>
      <c r="T570" t="s">
        <v>1238</v>
      </c>
      <c r="U570">
        <v>160000</v>
      </c>
    </row>
    <row r="571" spans="1:21" x14ac:dyDescent="0.25">
      <c r="A571" t="s">
        <v>583</v>
      </c>
      <c r="B571" t="str">
        <f>_xlfn.XLOOKUP(Table1[[#This Row],[date]],Table8[date],Table8[id_date])</f>
        <v>TGL0809</v>
      </c>
      <c r="C571" s="1">
        <v>45692</v>
      </c>
      <c r="D571" s="1" t="str">
        <f>_xlfn.XLOOKUP(Table1[[#This Row],[customer_name]],Table11[customer_name],Table11[id_cust])</f>
        <v>CNA0670</v>
      </c>
      <c r="E571" t="s">
        <v>1197</v>
      </c>
      <c r="F571">
        <v>39</v>
      </c>
      <c r="G571" t="str">
        <f>_xlfn.XLOOKUP(Table1[[#This Row],[branch_name]],Table3[branch_name],Table3[id_branch])</f>
        <v>BRCH002</v>
      </c>
      <c r="H571" t="s">
        <v>1214</v>
      </c>
      <c r="I571" t="str">
        <f>_xlfn.XLOOKUP(Table1[[#This Row],[city]],Table4[city],Table4[id_city])</f>
        <v>KOA0103</v>
      </c>
      <c r="J571" t="s">
        <v>1219</v>
      </c>
      <c r="K571" t="str">
        <f>_xlfn.XLOOKUP(Table1[[#This Row],[menu_name]],Table5[menu_name],Table5[id_menu])</f>
        <v>MENU004</v>
      </c>
      <c r="L571" t="s">
        <v>1226</v>
      </c>
      <c r="M571" t="str">
        <f>_xlfn.XLOOKUP(Table1[[#This Row],[category]],Table6[category],Table6[id_category])</f>
        <v>KTG0207</v>
      </c>
      <c r="N571" t="s">
        <v>1235</v>
      </c>
      <c r="O571">
        <v>4</v>
      </c>
      <c r="P571">
        <v>28000</v>
      </c>
      <c r="Q571">
        <v>0</v>
      </c>
      <c r="R571">
        <v>4.0999999999999996</v>
      </c>
      <c r="S571" t="str">
        <f>_xlfn.XLOOKUP(Table1[[#This Row],[method]],Table7[method],Table7[id_method])</f>
        <v>PAY0711</v>
      </c>
      <c r="T571" t="s">
        <v>1238</v>
      </c>
      <c r="U571">
        <v>112000</v>
      </c>
    </row>
    <row r="572" spans="1:21" x14ac:dyDescent="0.25">
      <c r="A572" t="s">
        <v>584</v>
      </c>
      <c r="B572" t="str">
        <f>_xlfn.XLOOKUP(Table1[[#This Row],[date]],Table8[date],Table8[id_date])</f>
        <v>TGL0809</v>
      </c>
      <c r="C572" s="1">
        <v>45692</v>
      </c>
      <c r="D572" s="1" t="str">
        <f>_xlfn.XLOOKUP(Table1[[#This Row],[customer_name]],Table11[customer_name],Table11[id_cust])</f>
        <v>CNA0200</v>
      </c>
      <c r="E572" t="s">
        <v>1095</v>
      </c>
      <c r="F572">
        <v>51</v>
      </c>
      <c r="G572" t="str">
        <f>_xlfn.XLOOKUP(Table1[[#This Row],[branch_name]],Table3[branch_name],Table3[id_branch])</f>
        <v>BRCH003</v>
      </c>
      <c r="H572" t="s">
        <v>1215</v>
      </c>
      <c r="I572" t="str">
        <f>_xlfn.XLOOKUP(Table1[[#This Row],[city]],Table4[city],Table4[id_city])</f>
        <v>KOA0104</v>
      </c>
      <c r="J572" t="s">
        <v>1220</v>
      </c>
      <c r="K572" t="str">
        <f>_xlfn.XLOOKUP(Table1[[#This Row],[menu_name]],Table5[menu_name],Table5[id_menu])</f>
        <v>MENU005</v>
      </c>
      <c r="L572" t="s">
        <v>1227</v>
      </c>
      <c r="M572" t="str">
        <f>_xlfn.XLOOKUP(Table1[[#This Row],[category]],Table6[category],Table6[id_category])</f>
        <v>KTG0206</v>
      </c>
      <c r="N572" t="s">
        <v>1234</v>
      </c>
      <c r="O572">
        <v>2</v>
      </c>
      <c r="P572">
        <v>23000</v>
      </c>
      <c r="Q572">
        <v>20</v>
      </c>
      <c r="R572">
        <v>1.4</v>
      </c>
      <c r="S572" t="str">
        <f>_xlfn.XLOOKUP(Table1[[#This Row],[method]],Table7[method],Table7[id_method])</f>
        <v>PAY0709</v>
      </c>
      <c r="T572" t="s">
        <v>1236</v>
      </c>
      <c r="U572">
        <v>36800</v>
      </c>
    </row>
    <row r="573" spans="1:21" x14ac:dyDescent="0.25">
      <c r="A573" t="s">
        <v>585</v>
      </c>
      <c r="B573" t="str">
        <f>_xlfn.XLOOKUP(Table1[[#This Row],[date]],Table8[date],Table8[id_date])</f>
        <v>TGL0809</v>
      </c>
      <c r="C573" s="1">
        <v>45692</v>
      </c>
      <c r="D573" s="1" t="str">
        <f>_xlfn.XLOOKUP(Table1[[#This Row],[customer_name]],Table11[customer_name],Table11[id_cust])</f>
        <v>CNA0269</v>
      </c>
      <c r="E573" t="s">
        <v>1134</v>
      </c>
      <c r="F573">
        <v>34</v>
      </c>
      <c r="G573" t="str">
        <f>_xlfn.XLOOKUP(Table1[[#This Row],[branch_name]],Table3[branch_name],Table3[id_branch])</f>
        <v>BRCH004</v>
      </c>
      <c r="H573" t="s">
        <v>1216</v>
      </c>
      <c r="I573" t="str">
        <f>_xlfn.XLOOKUP(Table1[[#This Row],[city]],Table4[city],Table4[id_city])</f>
        <v>KOA0105</v>
      </c>
      <c r="J573" t="s">
        <v>1221</v>
      </c>
      <c r="K573" t="str">
        <f>_xlfn.XLOOKUP(Table1[[#This Row],[menu_name]],Table5[menu_name],Table5[id_menu])</f>
        <v>MENU010</v>
      </c>
      <c r="L573" t="s">
        <v>1232</v>
      </c>
      <c r="M573" t="str">
        <f>_xlfn.XLOOKUP(Table1[[#This Row],[category]],Table6[category],Table6[id_category])</f>
        <v>KTG0205</v>
      </c>
      <c r="N573" t="s">
        <v>1233</v>
      </c>
      <c r="O573">
        <v>1</v>
      </c>
      <c r="P573">
        <v>18000</v>
      </c>
      <c r="Q573">
        <v>15</v>
      </c>
      <c r="R573">
        <v>1</v>
      </c>
      <c r="S573" t="str">
        <f>_xlfn.XLOOKUP(Table1[[#This Row],[method]],Table7[method],Table7[id_method])</f>
        <v>PAY0712</v>
      </c>
      <c r="T573" t="s">
        <v>1239</v>
      </c>
      <c r="U573">
        <v>15300</v>
      </c>
    </row>
    <row r="574" spans="1:21" x14ac:dyDescent="0.25">
      <c r="A574" t="s">
        <v>586</v>
      </c>
      <c r="B574" t="str">
        <f>_xlfn.XLOOKUP(Table1[[#This Row],[date]],Table8[date],Table8[id_date])</f>
        <v>TGL0810</v>
      </c>
      <c r="C574" s="1">
        <v>45693</v>
      </c>
      <c r="D574" s="1" t="str">
        <f>_xlfn.XLOOKUP(Table1[[#This Row],[customer_name]],Table11[customer_name],Table11[id_cust])</f>
        <v>CNA0402</v>
      </c>
      <c r="E574" t="s">
        <v>1173</v>
      </c>
      <c r="F574">
        <v>19</v>
      </c>
      <c r="G574" t="str">
        <f>_xlfn.XLOOKUP(Table1[[#This Row],[branch_name]],Table3[branch_name],Table3[id_branch])</f>
        <v>BRCH005</v>
      </c>
      <c r="H574" t="s">
        <v>1217</v>
      </c>
      <c r="I574" t="str">
        <f>_xlfn.XLOOKUP(Table1[[#This Row],[city]],Table4[city],Table4[id_city])</f>
        <v>KOA0106</v>
      </c>
      <c r="J574" t="s">
        <v>1222</v>
      </c>
      <c r="K574" t="str">
        <f>_xlfn.XLOOKUP(Table1[[#This Row],[menu_name]],Table5[menu_name],Table5[id_menu])</f>
        <v>MENU004</v>
      </c>
      <c r="L574" t="s">
        <v>1226</v>
      </c>
      <c r="M574" t="str">
        <f>_xlfn.XLOOKUP(Table1[[#This Row],[category]],Table6[category],Table6[id_category])</f>
        <v>KTG0207</v>
      </c>
      <c r="N574" t="s">
        <v>1235</v>
      </c>
      <c r="O574">
        <v>3</v>
      </c>
      <c r="P574">
        <v>28000</v>
      </c>
      <c r="Q574">
        <v>20</v>
      </c>
      <c r="R574">
        <v>1.5</v>
      </c>
      <c r="S574" t="str">
        <f>_xlfn.XLOOKUP(Table1[[#This Row],[method]],Table7[method],Table7[id_method])</f>
        <v>PAY0711</v>
      </c>
      <c r="T574" t="s">
        <v>1238</v>
      </c>
      <c r="U574">
        <v>67200</v>
      </c>
    </row>
    <row r="575" spans="1:21" x14ac:dyDescent="0.25">
      <c r="A575" t="s">
        <v>587</v>
      </c>
      <c r="B575" t="str">
        <f>_xlfn.XLOOKUP(Table1[[#This Row],[date]],Table8[date],Table8[id_date])</f>
        <v>TGL0810</v>
      </c>
      <c r="C575" s="1">
        <v>45693</v>
      </c>
      <c r="D575" s="1" t="str">
        <f>_xlfn.XLOOKUP(Table1[[#This Row],[customer_name]],Table11[customer_name],Table11[id_cust])</f>
        <v>CNA0674</v>
      </c>
      <c r="E575" t="s">
        <v>1198</v>
      </c>
      <c r="F575">
        <v>30</v>
      </c>
      <c r="G575" t="str">
        <f>_xlfn.XLOOKUP(Table1[[#This Row],[branch_name]],Table3[branch_name],Table3[id_branch])</f>
        <v>BRCH004</v>
      </c>
      <c r="H575" t="s">
        <v>1216</v>
      </c>
      <c r="I575" t="str">
        <f>_xlfn.XLOOKUP(Table1[[#This Row],[city]],Table4[city],Table4[id_city])</f>
        <v>KOA0105</v>
      </c>
      <c r="J575" t="s">
        <v>1221</v>
      </c>
      <c r="K575" t="str">
        <f>_xlfn.XLOOKUP(Table1[[#This Row],[menu_name]],Table5[menu_name],Table5[id_menu])</f>
        <v>MENU006</v>
      </c>
      <c r="L575" t="s">
        <v>1228</v>
      </c>
      <c r="M575" t="str">
        <f>_xlfn.XLOOKUP(Table1[[#This Row],[category]],Table6[category],Table6[id_category])</f>
        <v>KTG0206</v>
      </c>
      <c r="N575" t="s">
        <v>1234</v>
      </c>
      <c r="O575">
        <v>5</v>
      </c>
      <c r="P575">
        <v>32000</v>
      </c>
      <c r="Q575">
        <v>20</v>
      </c>
      <c r="R575">
        <v>4.5</v>
      </c>
      <c r="S575" t="str">
        <f>_xlfn.XLOOKUP(Table1[[#This Row],[method]],Table7[method],Table7[id_method])</f>
        <v>PAY0709</v>
      </c>
      <c r="T575" t="s">
        <v>1236</v>
      </c>
      <c r="U575">
        <v>128000</v>
      </c>
    </row>
    <row r="576" spans="1:21" x14ac:dyDescent="0.25">
      <c r="A576" t="s">
        <v>588</v>
      </c>
      <c r="B576" t="str">
        <f>_xlfn.XLOOKUP(Table1[[#This Row],[date]],Table8[date],Table8[id_date])</f>
        <v>TGL0811</v>
      </c>
      <c r="C576" s="1">
        <v>45694</v>
      </c>
      <c r="D576" s="1" t="str">
        <f>_xlfn.XLOOKUP(Table1[[#This Row],[customer_name]],Table11[customer_name],Table11[id_cust])</f>
        <v>CNA0381</v>
      </c>
      <c r="E576" t="s">
        <v>1168</v>
      </c>
      <c r="F576">
        <v>40</v>
      </c>
      <c r="G576" t="str">
        <f>_xlfn.XLOOKUP(Table1[[#This Row],[branch_name]],Table3[branch_name],Table3[id_branch])</f>
        <v>BRCH001</v>
      </c>
      <c r="H576" t="s">
        <v>1213</v>
      </c>
      <c r="I576" t="str">
        <f>_xlfn.XLOOKUP(Table1[[#This Row],[city]],Table4[city],Table4[id_city])</f>
        <v>KOA0102</v>
      </c>
      <c r="J576" t="s">
        <v>1218</v>
      </c>
      <c r="K576" t="str">
        <f>_xlfn.XLOOKUP(Table1[[#This Row],[menu_name]],Table5[menu_name],Table5[id_menu])</f>
        <v>MENU008</v>
      </c>
      <c r="L576" t="s">
        <v>1230</v>
      </c>
      <c r="M576" t="str">
        <f>_xlfn.XLOOKUP(Table1[[#This Row],[category]],Table6[category],Table6[id_category])</f>
        <v>KTG0205</v>
      </c>
      <c r="N576" t="s">
        <v>1233</v>
      </c>
      <c r="O576">
        <v>3</v>
      </c>
      <c r="P576">
        <v>20000</v>
      </c>
      <c r="Q576">
        <v>0</v>
      </c>
      <c r="R576">
        <v>2.8</v>
      </c>
      <c r="S576" t="str">
        <f>_xlfn.XLOOKUP(Table1[[#This Row],[method]],Table7[method],Table7[id_method])</f>
        <v>PAY0710</v>
      </c>
      <c r="T576" t="s">
        <v>1237</v>
      </c>
      <c r="U576">
        <v>60000</v>
      </c>
    </row>
    <row r="577" spans="1:21" x14ac:dyDescent="0.25">
      <c r="A577" t="s">
        <v>589</v>
      </c>
      <c r="B577" t="str">
        <f>_xlfn.XLOOKUP(Table1[[#This Row],[date]],Table8[date],Table8[id_date])</f>
        <v>TGL0812</v>
      </c>
      <c r="C577" s="1">
        <v>45695</v>
      </c>
      <c r="D577" s="1" t="str">
        <f>_xlfn.XLOOKUP(Table1[[#This Row],[customer_name]],Table11[customer_name],Table11[id_cust])</f>
        <v>CNA0344</v>
      </c>
      <c r="E577" t="s">
        <v>1163</v>
      </c>
      <c r="F577">
        <v>43</v>
      </c>
      <c r="G577" t="str">
        <f>_xlfn.XLOOKUP(Table1[[#This Row],[branch_name]],Table3[branch_name],Table3[id_branch])</f>
        <v>BRCH001</v>
      </c>
      <c r="H577" t="s">
        <v>1213</v>
      </c>
      <c r="I577" t="str">
        <f>_xlfn.XLOOKUP(Table1[[#This Row],[city]],Table4[city],Table4[id_city])</f>
        <v>KOA0102</v>
      </c>
      <c r="J577" t="s">
        <v>1218</v>
      </c>
      <c r="K577" t="str">
        <f>_xlfn.XLOOKUP(Table1[[#This Row],[menu_name]],Table5[menu_name],Table5[id_menu])</f>
        <v>MENU006</v>
      </c>
      <c r="L577" t="s">
        <v>1228</v>
      </c>
      <c r="M577" t="str">
        <f>_xlfn.XLOOKUP(Table1[[#This Row],[category]],Table6[category],Table6[id_category])</f>
        <v>KTG0206</v>
      </c>
      <c r="N577" t="s">
        <v>1234</v>
      </c>
      <c r="O577">
        <v>3</v>
      </c>
      <c r="P577">
        <v>32000</v>
      </c>
      <c r="Q577">
        <v>5</v>
      </c>
      <c r="R577">
        <v>4.4000000000000004</v>
      </c>
      <c r="S577" t="str">
        <f>_xlfn.XLOOKUP(Table1[[#This Row],[method]],Table7[method],Table7[id_method])</f>
        <v>PAY0712</v>
      </c>
      <c r="T577" t="s">
        <v>1239</v>
      </c>
      <c r="U577">
        <v>91200</v>
      </c>
    </row>
    <row r="578" spans="1:21" x14ac:dyDescent="0.25">
      <c r="A578" t="s">
        <v>590</v>
      </c>
      <c r="B578" t="str">
        <f>_xlfn.XLOOKUP(Table1[[#This Row],[date]],Table8[date],Table8[id_date])</f>
        <v>TGL0813</v>
      </c>
      <c r="C578" s="1">
        <v>45696</v>
      </c>
      <c r="D578" s="1" t="str">
        <f>_xlfn.XLOOKUP(Table1[[#This Row],[customer_name]],Table11[customer_name],Table11[id_cust])</f>
        <v>CNA0208</v>
      </c>
      <c r="E578" t="s">
        <v>1102</v>
      </c>
      <c r="F578">
        <v>21</v>
      </c>
      <c r="G578" t="str">
        <f>_xlfn.XLOOKUP(Table1[[#This Row],[branch_name]],Table3[branch_name],Table3[id_branch])</f>
        <v>BRCH002</v>
      </c>
      <c r="H578" t="s">
        <v>1214</v>
      </c>
      <c r="I578" t="str">
        <f>_xlfn.XLOOKUP(Table1[[#This Row],[city]],Table4[city],Table4[id_city])</f>
        <v>KOA0103</v>
      </c>
      <c r="J578" t="s">
        <v>1219</v>
      </c>
      <c r="K578" t="str">
        <f>_xlfn.XLOOKUP(Table1[[#This Row],[menu_name]],Table5[menu_name],Table5[id_menu])</f>
        <v>MENU006</v>
      </c>
      <c r="L578" t="s">
        <v>1228</v>
      </c>
      <c r="M578" t="str">
        <f>_xlfn.XLOOKUP(Table1[[#This Row],[category]],Table6[category],Table6[id_category])</f>
        <v>KTG0206</v>
      </c>
      <c r="N578" t="s">
        <v>1234</v>
      </c>
      <c r="O578">
        <v>5</v>
      </c>
      <c r="P578">
        <v>32000</v>
      </c>
      <c r="Q578">
        <v>20</v>
      </c>
      <c r="R578">
        <v>2.8</v>
      </c>
      <c r="S578" t="str">
        <f>_xlfn.XLOOKUP(Table1[[#This Row],[method]],Table7[method],Table7[id_method])</f>
        <v>PAY0709</v>
      </c>
      <c r="T578" t="s">
        <v>1236</v>
      </c>
      <c r="U578">
        <v>128000</v>
      </c>
    </row>
    <row r="579" spans="1:21" x14ac:dyDescent="0.25">
      <c r="A579" t="s">
        <v>591</v>
      </c>
      <c r="B579" t="str">
        <f>_xlfn.XLOOKUP(Table1[[#This Row],[date]],Table8[date],Table8[id_date])</f>
        <v>TGL0813</v>
      </c>
      <c r="C579" s="1">
        <v>45696</v>
      </c>
      <c r="D579" s="1" t="str">
        <f>_xlfn.XLOOKUP(Table1[[#This Row],[customer_name]],Table11[customer_name],Table11[id_cust])</f>
        <v>CNA0114</v>
      </c>
      <c r="E579" t="s">
        <v>1027</v>
      </c>
      <c r="F579">
        <v>51</v>
      </c>
      <c r="G579" t="str">
        <f>_xlfn.XLOOKUP(Table1[[#This Row],[branch_name]],Table3[branch_name],Table3[id_branch])</f>
        <v>BRCH003</v>
      </c>
      <c r="H579" t="s">
        <v>1215</v>
      </c>
      <c r="I579" t="str">
        <f>_xlfn.XLOOKUP(Table1[[#This Row],[city]],Table4[city],Table4[id_city])</f>
        <v>KOA0104</v>
      </c>
      <c r="J579" t="s">
        <v>1220</v>
      </c>
      <c r="K579" t="str">
        <f>_xlfn.XLOOKUP(Table1[[#This Row],[menu_name]],Table5[menu_name],Table5[id_menu])</f>
        <v>MENU002</v>
      </c>
      <c r="L579" t="s">
        <v>1224</v>
      </c>
      <c r="M579" t="str">
        <f>_xlfn.XLOOKUP(Table1[[#This Row],[category]],Table6[category],Table6[id_category])</f>
        <v>KTG0206</v>
      </c>
      <c r="N579" t="s">
        <v>1234</v>
      </c>
      <c r="O579">
        <v>4</v>
      </c>
      <c r="P579">
        <v>30000</v>
      </c>
      <c r="Q579">
        <v>20</v>
      </c>
      <c r="R579">
        <v>3</v>
      </c>
      <c r="S579" t="str">
        <f>_xlfn.XLOOKUP(Table1[[#This Row],[method]],Table7[method],Table7[id_method])</f>
        <v>PAY0712</v>
      </c>
      <c r="T579" t="s">
        <v>1239</v>
      </c>
      <c r="U579">
        <v>96000</v>
      </c>
    </row>
    <row r="580" spans="1:21" x14ac:dyDescent="0.25">
      <c r="A580" t="s">
        <v>592</v>
      </c>
      <c r="B580" t="str">
        <f>_xlfn.XLOOKUP(Table1[[#This Row],[date]],Table8[date],Table8[id_date])</f>
        <v>TGL0813</v>
      </c>
      <c r="C580" s="1">
        <v>45696</v>
      </c>
      <c r="D580" s="1" t="str">
        <f>_xlfn.XLOOKUP(Table1[[#This Row],[customer_name]],Table11[customer_name],Table11[id_cust])</f>
        <v>CNA0214</v>
      </c>
      <c r="E580" t="s">
        <v>1105</v>
      </c>
      <c r="F580">
        <v>18</v>
      </c>
      <c r="G580" t="str">
        <f>_xlfn.XLOOKUP(Table1[[#This Row],[branch_name]],Table3[branch_name],Table3[id_branch])</f>
        <v>BRCH003</v>
      </c>
      <c r="H580" t="s">
        <v>1215</v>
      </c>
      <c r="I580" t="str">
        <f>_xlfn.XLOOKUP(Table1[[#This Row],[city]],Table4[city],Table4[id_city])</f>
        <v>KOA0104</v>
      </c>
      <c r="J580" t="s">
        <v>1220</v>
      </c>
      <c r="K580" t="str">
        <f>_xlfn.XLOOKUP(Table1[[#This Row],[menu_name]],Table5[menu_name],Table5[id_menu])</f>
        <v>MENU009</v>
      </c>
      <c r="L580" t="s">
        <v>1231</v>
      </c>
      <c r="M580" t="str">
        <f>_xlfn.XLOOKUP(Table1[[#This Row],[category]],Table6[category],Table6[id_category])</f>
        <v>KTG0206</v>
      </c>
      <c r="N580" t="s">
        <v>1234</v>
      </c>
      <c r="O580">
        <v>5</v>
      </c>
      <c r="P580">
        <v>18000</v>
      </c>
      <c r="Q580">
        <v>0</v>
      </c>
      <c r="R580">
        <v>3.5</v>
      </c>
      <c r="S580" t="str">
        <f>_xlfn.XLOOKUP(Table1[[#This Row],[method]],Table7[method],Table7[id_method])</f>
        <v>PAY0711</v>
      </c>
      <c r="T580" t="s">
        <v>1238</v>
      </c>
      <c r="U580">
        <v>90000</v>
      </c>
    </row>
    <row r="581" spans="1:21" x14ac:dyDescent="0.25">
      <c r="A581" t="s">
        <v>593</v>
      </c>
      <c r="B581" t="str">
        <f>_xlfn.XLOOKUP(Table1[[#This Row],[date]],Table8[date],Table8[id_date])</f>
        <v>TGL0814</v>
      </c>
      <c r="C581" s="1">
        <v>45698</v>
      </c>
      <c r="D581" s="1" t="str">
        <f>_xlfn.XLOOKUP(Table1[[#This Row],[customer_name]],Table11[customer_name],Table11[id_cust])</f>
        <v>CNA0670</v>
      </c>
      <c r="E581" t="s">
        <v>1197</v>
      </c>
      <c r="F581">
        <v>39</v>
      </c>
      <c r="G581" t="str">
        <f>_xlfn.XLOOKUP(Table1[[#This Row],[branch_name]],Table3[branch_name],Table3[id_branch])</f>
        <v>BRCH003</v>
      </c>
      <c r="H581" t="s">
        <v>1215</v>
      </c>
      <c r="I581" t="str">
        <f>_xlfn.XLOOKUP(Table1[[#This Row],[city]],Table4[city],Table4[id_city])</f>
        <v>KOA0104</v>
      </c>
      <c r="J581" t="s">
        <v>1220</v>
      </c>
      <c r="K581" t="str">
        <f>_xlfn.XLOOKUP(Table1[[#This Row],[menu_name]],Table5[menu_name],Table5[id_menu])</f>
        <v>MENU009</v>
      </c>
      <c r="L581" t="s">
        <v>1231</v>
      </c>
      <c r="M581" t="str">
        <f>_xlfn.XLOOKUP(Table1[[#This Row],[category]],Table6[category],Table6[id_category])</f>
        <v>KTG0206</v>
      </c>
      <c r="N581" t="s">
        <v>1234</v>
      </c>
      <c r="O581">
        <v>3</v>
      </c>
      <c r="P581">
        <v>18000</v>
      </c>
      <c r="Q581">
        <v>0</v>
      </c>
      <c r="R581">
        <v>2.4</v>
      </c>
      <c r="S581" t="str">
        <f>_xlfn.XLOOKUP(Table1[[#This Row],[method]],Table7[method],Table7[id_method])</f>
        <v>PAY0711</v>
      </c>
      <c r="T581" t="s">
        <v>1238</v>
      </c>
      <c r="U581">
        <v>54000</v>
      </c>
    </row>
    <row r="582" spans="1:21" x14ac:dyDescent="0.25">
      <c r="A582" t="s">
        <v>594</v>
      </c>
      <c r="B582" t="str">
        <f>_xlfn.XLOOKUP(Table1[[#This Row],[date]],Table8[date],Table8[id_date])</f>
        <v>TGL0815</v>
      </c>
      <c r="C582" s="1">
        <v>45699</v>
      </c>
      <c r="D582" s="1" t="str">
        <f>_xlfn.XLOOKUP(Table1[[#This Row],[customer_name]],Table11[customer_name],Table11[id_cust])</f>
        <v>CNA0167</v>
      </c>
      <c r="E582" t="s">
        <v>1072</v>
      </c>
      <c r="F582">
        <v>38</v>
      </c>
      <c r="G582" t="str">
        <f>_xlfn.XLOOKUP(Table1[[#This Row],[branch_name]],Table3[branch_name],Table3[id_branch])</f>
        <v>BRCH003</v>
      </c>
      <c r="H582" t="s">
        <v>1215</v>
      </c>
      <c r="I582" t="str">
        <f>_xlfn.XLOOKUP(Table1[[#This Row],[city]],Table4[city],Table4[id_city])</f>
        <v>KOA0104</v>
      </c>
      <c r="J582" t="s">
        <v>1220</v>
      </c>
      <c r="K582" t="str">
        <f>_xlfn.XLOOKUP(Table1[[#This Row],[menu_name]],Table5[menu_name],Table5[id_menu])</f>
        <v>MENU004</v>
      </c>
      <c r="L582" t="s">
        <v>1226</v>
      </c>
      <c r="M582" t="str">
        <f>_xlfn.XLOOKUP(Table1[[#This Row],[category]],Table6[category],Table6[id_category])</f>
        <v>KTG0207</v>
      </c>
      <c r="N582" t="s">
        <v>1235</v>
      </c>
      <c r="O582">
        <v>5</v>
      </c>
      <c r="P582">
        <v>28000</v>
      </c>
      <c r="Q582">
        <v>0</v>
      </c>
      <c r="R582">
        <v>2.2999999999999998</v>
      </c>
      <c r="S582" t="str">
        <f>_xlfn.XLOOKUP(Table1[[#This Row],[method]],Table7[method],Table7[id_method])</f>
        <v>PAY0712</v>
      </c>
      <c r="T582" t="s">
        <v>1239</v>
      </c>
      <c r="U582">
        <v>140000</v>
      </c>
    </row>
    <row r="583" spans="1:21" x14ac:dyDescent="0.25">
      <c r="A583" t="s">
        <v>595</v>
      </c>
      <c r="B583" t="str">
        <f>_xlfn.XLOOKUP(Table1[[#This Row],[date]],Table8[date],Table8[id_date])</f>
        <v>TGL0815</v>
      </c>
      <c r="C583" s="1">
        <v>45699</v>
      </c>
      <c r="D583" s="1" t="str">
        <f>_xlfn.XLOOKUP(Table1[[#This Row],[customer_name]],Table11[customer_name],Table11[id_cust])</f>
        <v>CNA0233</v>
      </c>
      <c r="E583" t="s">
        <v>1117</v>
      </c>
      <c r="F583">
        <v>18</v>
      </c>
      <c r="G583" t="str">
        <f>_xlfn.XLOOKUP(Table1[[#This Row],[branch_name]],Table3[branch_name],Table3[id_branch])</f>
        <v>BRCH005</v>
      </c>
      <c r="H583" t="s">
        <v>1217</v>
      </c>
      <c r="I583" t="str">
        <f>_xlfn.XLOOKUP(Table1[[#This Row],[city]],Table4[city],Table4[id_city])</f>
        <v>KOA0106</v>
      </c>
      <c r="J583" t="s">
        <v>1222</v>
      </c>
      <c r="K583" t="str">
        <f>_xlfn.XLOOKUP(Table1[[#This Row],[menu_name]],Table5[menu_name],Table5[id_menu])</f>
        <v>MENU003</v>
      </c>
      <c r="L583" t="s">
        <v>1225</v>
      </c>
      <c r="M583" t="str">
        <f>_xlfn.XLOOKUP(Table1[[#This Row],[category]],Table6[category],Table6[id_category])</f>
        <v>KTG0205</v>
      </c>
      <c r="N583" t="s">
        <v>1233</v>
      </c>
      <c r="O583">
        <v>2</v>
      </c>
      <c r="P583">
        <v>22000</v>
      </c>
      <c r="Q583">
        <v>20</v>
      </c>
      <c r="R583">
        <v>2.4</v>
      </c>
      <c r="S583" t="str">
        <f>_xlfn.XLOOKUP(Table1[[#This Row],[method]],Table7[method],Table7[id_method])</f>
        <v>PAY0710</v>
      </c>
      <c r="T583" t="s">
        <v>1237</v>
      </c>
      <c r="U583">
        <v>35200</v>
      </c>
    </row>
    <row r="584" spans="1:21" x14ac:dyDescent="0.25">
      <c r="A584" t="s">
        <v>596</v>
      </c>
      <c r="B584" t="str">
        <f>_xlfn.XLOOKUP(Table1[[#This Row],[date]],Table8[date],Table8[id_date])</f>
        <v>TGL0816</v>
      </c>
      <c r="C584" s="1">
        <v>45700</v>
      </c>
      <c r="D584" s="1" t="str">
        <f>_xlfn.XLOOKUP(Table1[[#This Row],[customer_name]],Table11[customer_name],Table11[id_cust])</f>
        <v>CNA0223</v>
      </c>
      <c r="E584" t="s">
        <v>1110</v>
      </c>
      <c r="F584">
        <v>18</v>
      </c>
      <c r="G584" t="str">
        <f>_xlfn.XLOOKUP(Table1[[#This Row],[branch_name]],Table3[branch_name],Table3[id_branch])</f>
        <v>BRCH002</v>
      </c>
      <c r="H584" t="s">
        <v>1214</v>
      </c>
      <c r="I584" t="str">
        <f>_xlfn.XLOOKUP(Table1[[#This Row],[city]],Table4[city],Table4[id_city])</f>
        <v>KOA0103</v>
      </c>
      <c r="J584" t="s">
        <v>1219</v>
      </c>
      <c r="K584" t="str">
        <f>_xlfn.XLOOKUP(Table1[[#This Row],[menu_name]],Table5[menu_name],Table5[id_menu])</f>
        <v>MENU007</v>
      </c>
      <c r="L584" t="s">
        <v>1229</v>
      </c>
      <c r="M584" t="str">
        <f>_xlfn.XLOOKUP(Table1[[#This Row],[category]],Table6[category],Table6[id_category])</f>
        <v>KTG0207</v>
      </c>
      <c r="N584" t="s">
        <v>1235</v>
      </c>
      <c r="O584">
        <v>3</v>
      </c>
      <c r="P584">
        <v>27000</v>
      </c>
      <c r="Q584">
        <v>0</v>
      </c>
      <c r="R584">
        <v>2</v>
      </c>
      <c r="S584" t="str">
        <f>_xlfn.XLOOKUP(Table1[[#This Row],[method]],Table7[method],Table7[id_method])</f>
        <v>PAY0712</v>
      </c>
      <c r="T584" t="s">
        <v>1239</v>
      </c>
      <c r="U584">
        <v>81000</v>
      </c>
    </row>
    <row r="585" spans="1:21" x14ac:dyDescent="0.25">
      <c r="A585" t="s">
        <v>597</v>
      </c>
      <c r="B585" t="str">
        <f>_xlfn.XLOOKUP(Table1[[#This Row],[date]],Table8[date],Table8[id_date])</f>
        <v>TGL0817</v>
      </c>
      <c r="C585" s="1">
        <v>45701</v>
      </c>
      <c r="D585" s="1" t="str">
        <f>_xlfn.XLOOKUP(Table1[[#This Row],[customer_name]],Table11[customer_name],Table11[id_cust])</f>
        <v>CNA0170</v>
      </c>
      <c r="E585" t="s">
        <v>1075</v>
      </c>
      <c r="F585">
        <v>18</v>
      </c>
      <c r="G585" t="str">
        <f>_xlfn.XLOOKUP(Table1[[#This Row],[branch_name]],Table3[branch_name],Table3[id_branch])</f>
        <v>BRCH002</v>
      </c>
      <c r="H585" t="s">
        <v>1214</v>
      </c>
      <c r="I585" t="str">
        <f>_xlfn.XLOOKUP(Table1[[#This Row],[city]],Table4[city],Table4[id_city])</f>
        <v>KOA0103</v>
      </c>
      <c r="J585" t="s">
        <v>1219</v>
      </c>
      <c r="K585" t="str">
        <f>_xlfn.XLOOKUP(Table1[[#This Row],[menu_name]],Table5[menu_name],Table5[id_menu])</f>
        <v>MENU007</v>
      </c>
      <c r="L585" t="s">
        <v>1229</v>
      </c>
      <c r="M585" t="str">
        <f>_xlfn.XLOOKUP(Table1[[#This Row],[category]],Table6[category],Table6[id_category])</f>
        <v>KTG0207</v>
      </c>
      <c r="N585" t="s">
        <v>1235</v>
      </c>
      <c r="O585">
        <v>1</v>
      </c>
      <c r="P585">
        <v>27000</v>
      </c>
      <c r="Q585">
        <v>10</v>
      </c>
      <c r="R585">
        <v>1.8</v>
      </c>
      <c r="S585" t="str">
        <f>_xlfn.XLOOKUP(Table1[[#This Row],[method]],Table7[method],Table7[id_method])</f>
        <v>PAY0709</v>
      </c>
      <c r="T585" t="s">
        <v>1236</v>
      </c>
      <c r="U585">
        <v>24300</v>
      </c>
    </row>
    <row r="586" spans="1:21" x14ac:dyDescent="0.25">
      <c r="A586" t="s">
        <v>598</v>
      </c>
      <c r="B586" t="str">
        <f>_xlfn.XLOOKUP(Table1[[#This Row],[date]],Table8[date],Table8[id_date])</f>
        <v>TGL0817</v>
      </c>
      <c r="C586" s="1">
        <v>45701</v>
      </c>
      <c r="D586" s="1" t="str">
        <f>_xlfn.XLOOKUP(Table1[[#This Row],[customer_name]],Table11[customer_name],Table11[id_cust])</f>
        <v>CNA0318</v>
      </c>
      <c r="E586" t="s">
        <v>1157</v>
      </c>
      <c r="F586">
        <v>27</v>
      </c>
      <c r="G586" t="str">
        <f>_xlfn.XLOOKUP(Table1[[#This Row],[branch_name]],Table3[branch_name],Table3[id_branch])</f>
        <v>BRCH005</v>
      </c>
      <c r="H586" t="s">
        <v>1217</v>
      </c>
      <c r="I586" t="str">
        <f>_xlfn.XLOOKUP(Table1[[#This Row],[city]],Table4[city],Table4[id_city])</f>
        <v>KOA0106</v>
      </c>
      <c r="J586" t="s">
        <v>1222</v>
      </c>
      <c r="K586" t="str">
        <f>_xlfn.XLOOKUP(Table1[[#This Row],[menu_name]],Table5[menu_name],Table5[id_menu])</f>
        <v>MENU010</v>
      </c>
      <c r="L586" t="s">
        <v>1232</v>
      </c>
      <c r="M586" t="str">
        <f>_xlfn.XLOOKUP(Table1[[#This Row],[category]],Table6[category],Table6[id_category])</f>
        <v>KTG0205</v>
      </c>
      <c r="N586" t="s">
        <v>1233</v>
      </c>
      <c r="O586">
        <v>4</v>
      </c>
      <c r="P586">
        <v>18000</v>
      </c>
      <c r="Q586">
        <v>20</v>
      </c>
      <c r="R586">
        <v>2.4</v>
      </c>
      <c r="S586" t="str">
        <f>_xlfn.XLOOKUP(Table1[[#This Row],[method]],Table7[method],Table7[id_method])</f>
        <v>PAY0711</v>
      </c>
      <c r="T586" t="s">
        <v>1238</v>
      </c>
      <c r="U586">
        <v>57600</v>
      </c>
    </row>
    <row r="587" spans="1:21" x14ac:dyDescent="0.25">
      <c r="A587" t="s">
        <v>599</v>
      </c>
      <c r="B587" t="str">
        <f>_xlfn.XLOOKUP(Table1[[#This Row],[date]],Table8[date],Table8[id_date])</f>
        <v>TGL0818</v>
      </c>
      <c r="C587" s="1">
        <v>45702</v>
      </c>
      <c r="D587" s="1" t="str">
        <f>_xlfn.XLOOKUP(Table1[[#This Row],[customer_name]],Table11[customer_name],Table11[id_cust])</f>
        <v>CNA0169</v>
      </c>
      <c r="E587" t="s">
        <v>1074</v>
      </c>
      <c r="F587">
        <v>53</v>
      </c>
      <c r="G587" t="str">
        <f>_xlfn.XLOOKUP(Table1[[#This Row],[branch_name]],Table3[branch_name],Table3[id_branch])</f>
        <v>BRCH004</v>
      </c>
      <c r="H587" t="s">
        <v>1216</v>
      </c>
      <c r="I587" t="str">
        <f>_xlfn.XLOOKUP(Table1[[#This Row],[city]],Table4[city],Table4[id_city])</f>
        <v>KOA0105</v>
      </c>
      <c r="J587" t="s">
        <v>1221</v>
      </c>
      <c r="K587" t="str">
        <f>_xlfn.XLOOKUP(Table1[[#This Row],[menu_name]],Table5[menu_name],Table5[id_menu])</f>
        <v>MENU001</v>
      </c>
      <c r="L587" t="s">
        <v>1223</v>
      </c>
      <c r="M587" t="str">
        <f>_xlfn.XLOOKUP(Table1[[#This Row],[category]],Table6[category],Table6[id_category])</f>
        <v>KTG0205</v>
      </c>
      <c r="N587" t="s">
        <v>1233</v>
      </c>
      <c r="O587">
        <v>4</v>
      </c>
      <c r="P587">
        <v>25000</v>
      </c>
      <c r="Q587">
        <v>10</v>
      </c>
      <c r="R587">
        <v>1.7</v>
      </c>
      <c r="S587" t="str">
        <f>_xlfn.XLOOKUP(Table1[[#This Row],[method]],Table7[method],Table7[id_method])</f>
        <v>PAY0709</v>
      </c>
      <c r="T587" t="s">
        <v>1236</v>
      </c>
      <c r="U587">
        <v>90000</v>
      </c>
    </row>
    <row r="588" spans="1:21" x14ac:dyDescent="0.25">
      <c r="A588" t="s">
        <v>600</v>
      </c>
      <c r="B588" t="str">
        <f>_xlfn.XLOOKUP(Table1[[#This Row],[date]],Table8[date],Table8[id_date])</f>
        <v>TGL0818</v>
      </c>
      <c r="C588" s="1">
        <v>45702</v>
      </c>
      <c r="D588" s="1" t="str">
        <f>_xlfn.XLOOKUP(Table1[[#This Row],[customer_name]],Table11[customer_name],Table11[id_cust])</f>
        <v>CNA0318</v>
      </c>
      <c r="E588" t="s">
        <v>1157</v>
      </c>
      <c r="F588">
        <v>27</v>
      </c>
      <c r="G588" t="str">
        <f>_xlfn.XLOOKUP(Table1[[#This Row],[branch_name]],Table3[branch_name],Table3[id_branch])</f>
        <v>BRCH005</v>
      </c>
      <c r="H588" t="s">
        <v>1217</v>
      </c>
      <c r="I588" t="str">
        <f>_xlfn.XLOOKUP(Table1[[#This Row],[city]],Table4[city],Table4[id_city])</f>
        <v>KOA0106</v>
      </c>
      <c r="J588" t="s">
        <v>1222</v>
      </c>
      <c r="K588" t="str">
        <f>_xlfn.XLOOKUP(Table1[[#This Row],[menu_name]],Table5[menu_name],Table5[id_menu])</f>
        <v>MENU004</v>
      </c>
      <c r="L588" t="s">
        <v>1226</v>
      </c>
      <c r="M588" t="str">
        <f>_xlfn.XLOOKUP(Table1[[#This Row],[category]],Table6[category],Table6[id_category])</f>
        <v>KTG0207</v>
      </c>
      <c r="N588" t="s">
        <v>1235</v>
      </c>
      <c r="O588">
        <v>2</v>
      </c>
      <c r="P588">
        <v>28000</v>
      </c>
      <c r="Q588">
        <v>5</v>
      </c>
      <c r="R588">
        <v>3.1</v>
      </c>
      <c r="S588" t="str">
        <f>_xlfn.XLOOKUP(Table1[[#This Row],[method]],Table7[method],Table7[id_method])</f>
        <v>PAY0710</v>
      </c>
      <c r="T588" t="s">
        <v>1237</v>
      </c>
      <c r="U588">
        <v>53200</v>
      </c>
    </row>
    <row r="589" spans="1:21" x14ac:dyDescent="0.25">
      <c r="A589" t="s">
        <v>601</v>
      </c>
      <c r="B589" t="str">
        <f>_xlfn.XLOOKUP(Table1[[#This Row],[date]],Table8[date],Table8[id_date])</f>
        <v>TGL0819</v>
      </c>
      <c r="C589" s="1">
        <v>45704</v>
      </c>
      <c r="D589" s="1" t="str">
        <f>_xlfn.XLOOKUP(Table1[[#This Row],[customer_name]],Table11[customer_name],Table11[id_cust])</f>
        <v>CNA0670</v>
      </c>
      <c r="E589" t="s">
        <v>1197</v>
      </c>
      <c r="F589">
        <v>39</v>
      </c>
      <c r="G589" t="str">
        <f>_xlfn.XLOOKUP(Table1[[#This Row],[branch_name]],Table3[branch_name],Table3[id_branch])</f>
        <v>BRCH003</v>
      </c>
      <c r="H589" t="s">
        <v>1215</v>
      </c>
      <c r="I589" t="str">
        <f>_xlfn.XLOOKUP(Table1[[#This Row],[city]],Table4[city],Table4[id_city])</f>
        <v>KOA0104</v>
      </c>
      <c r="J589" t="s">
        <v>1220</v>
      </c>
      <c r="K589" t="str">
        <f>_xlfn.XLOOKUP(Table1[[#This Row],[menu_name]],Table5[menu_name],Table5[id_menu])</f>
        <v>MENU005</v>
      </c>
      <c r="L589" t="s">
        <v>1227</v>
      </c>
      <c r="M589" t="str">
        <f>_xlfn.XLOOKUP(Table1[[#This Row],[category]],Table6[category],Table6[id_category])</f>
        <v>KTG0206</v>
      </c>
      <c r="N589" t="s">
        <v>1234</v>
      </c>
      <c r="O589">
        <v>1</v>
      </c>
      <c r="P589">
        <v>23000</v>
      </c>
      <c r="Q589">
        <v>20</v>
      </c>
      <c r="R589">
        <v>3.9</v>
      </c>
      <c r="S589" t="str">
        <f>_xlfn.XLOOKUP(Table1[[#This Row],[method]],Table7[method],Table7[id_method])</f>
        <v>PAY0712</v>
      </c>
      <c r="T589" t="s">
        <v>1239</v>
      </c>
      <c r="U589">
        <v>18400</v>
      </c>
    </row>
    <row r="590" spans="1:21" x14ac:dyDescent="0.25">
      <c r="A590" t="s">
        <v>602</v>
      </c>
      <c r="B590" t="str">
        <f>_xlfn.XLOOKUP(Table1[[#This Row],[date]],Table8[date],Table8[id_date])</f>
        <v>TGL0820</v>
      </c>
      <c r="C590" s="1">
        <v>45706</v>
      </c>
      <c r="D590" s="1" t="str">
        <f>_xlfn.XLOOKUP(Table1[[#This Row],[customer_name]],Table11[customer_name],Table11[id_cust])</f>
        <v>CNA0558</v>
      </c>
      <c r="E590" t="s">
        <v>1191</v>
      </c>
      <c r="F590">
        <v>27</v>
      </c>
      <c r="G590" t="str">
        <f>_xlfn.XLOOKUP(Table1[[#This Row],[branch_name]],Table3[branch_name],Table3[id_branch])</f>
        <v>BRCH002</v>
      </c>
      <c r="H590" t="s">
        <v>1214</v>
      </c>
      <c r="I590" t="str">
        <f>_xlfn.XLOOKUP(Table1[[#This Row],[city]],Table4[city],Table4[id_city])</f>
        <v>KOA0103</v>
      </c>
      <c r="J590" t="s">
        <v>1219</v>
      </c>
      <c r="K590" t="str">
        <f>_xlfn.XLOOKUP(Table1[[#This Row],[menu_name]],Table5[menu_name],Table5[id_menu])</f>
        <v>MENU008</v>
      </c>
      <c r="L590" t="s">
        <v>1230</v>
      </c>
      <c r="M590" t="str">
        <f>_xlfn.XLOOKUP(Table1[[#This Row],[category]],Table6[category],Table6[id_category])</f>
        <v>KTG0205</v>
      </c>
      <c r="N590" t="s">
        <v>1233</v>
      </c>
      <c r="O590">
        <v>5</v>
      </c>
      <c r="P590">
        <v>20000</v>
      </c>
      <c r="Q590">
        <v>0</v>
      </c>
      <c r="R590">
        <v>4.2</v>
      </c>
      <c r="S590" t="str">
        <f>_xlfn.XLOOKUP(Table1[[#This Row],[method]],Table7[method],Table7[id_method])</f>
        <v>PAY0711</v>
      </c>
      <c r="T590" t="s">
        <v>1238</v>
      </c>
      <c r="U590">
        <v>100000</v>
      </c>
    </row>
    <row r="591" spans="1:21" x14ac:dyDescent="0.25">
      <c r="A591" t="s">
        <v>603</v>
      </c>
      <c r="B591" t="str">
        <f>_xlfn.XLOOKUP(Table1[[#This Row],[date]],Table8[date],Table8[id_date])</f>
        <v>TGL0820</v>
      </c>
      <c r="C591" s="1">
        <v>45706</v>
      </c>
      <c r="D591" s="1" t="str">
        <f>_xlfn.XLOOKUP(Table1[[#This Row],[customer_name]],Table11[customer_name],Table11[id_cust])</f>
        <v>CNA0244</v>
      </c>
      <c r="E591" t="s">
        <v>1124</v>
      </c>
      <c r="F591">
        <v>39</v>
      </c>
      <c r="G591" t="str">
        <f>_xlfn.XLOOKUP(Table1[[#This Row],[branch_name]],Table3[branch_name],Table3[id_branch])</f>
        <v>BRCH003</v>
      </c>
      <c r="H591" t="s">
        <v>1215</v>
      </c>
      <c r="I591" t="str">
        <f>_xlfn.XLOOKUP(Table1[[#This Row],[city]],Table4[city],Table4[id_city])</f>
        <v>KOA0104</v>
      </c>
      <c r="J591" t="s">
        <v>1220</v>
      </c>
      <c r="K591" t="str">
        <f>_xlfn.XLOOKUP(Table1[[#This Row],[menu_name]],Table5[menu_name],Table5[id_menu])</f>
        <v>MENU007</v>
      </c>
      <c r="L591" t="s">
        <v>1229</v>
      </c>
      <c r="M591" t="str">
        <f>_xlfn.XLOOKUP(Table1[[#This Row],[category]],Table6[category],Table6[id_category])</f>
        <v>KTG0207</v>
      </c>
      <c r="N591" t="s">
        <v>1235</v>
      </c>
      <c r="O591">
        <v>1</v>
      </c>
      <c r="P591">
        <v>27000</v>
      </c>
      <c r="Q591">
        <v>0</v>
      </c>
      <c r="R591">
        <v>1.5</v>
      </c>
      <c r="S591" t="str">
        <f>_xlfn.XLOOKUP(Table1[[#This Row],[method]],Table7[method],Table7[id_method])</f>
        <v>PAY0712</v>
      </c>
      <c r="T591" t="s">
        <v>1239</v>
      </c>
      <c r="U591">
        <v>27000</v>
      </c>
    </row>
    <row r="592" spans="1:21" x14ac:dyDescent="0.25">
      <c r="A592" t="s">
        <v>604</v>
      </c>
      <c r="B592" t="str">
        <f>_xlfn.XLOOKUP(Table1[[#This Row],[date]],Table8[date],Table8[id_date])</f>
        <v>TGL0820</v>
      </c>
      <c r="C592" s="1">
        <v>45706</v>
      </c>
      <c r="D592" s="1" t="str">
        <f>_xlfn.XLOOKUP(Table1[[#This Row],[customer_name]],Table11[customer_name],Table11[id_cust])</f>
        <v>CNA0255</v>
      </c>
      <c r="E592" t="s">
        <v>1128</v>
      </c>
      <c r="F592">
        <v>30</v>
      </c>
      <c r="G592" t="str">
        <f>_xlfn.XLOOKUP(Table1[[#This Row],[branch_name]],Table3[branch_name],Table3[id_branch])</f>
        <v>BRCH005</v>
      </c>
      <c r="H592" t="s">
        <v>1217</v>
      </c>
      <c r="I592" t="str">
        <f>_xlfn.XLOOKUP(Table1[[#This Row],[city]],Table4[city],Table4[id_city])</f>
        <v>KOA0106</v>
      </c>
      <c r="J592" t="s">
        <v>1222</v>
      </c>
      <c r="K592" t="str">
        <f>_xlfn.XLOOKUP(Table1[[#This Row],[menu_name]],Table5[menu_name],Table5[id_menu])</f>
        <v>MENU008</v>
      </c>
      <c r="L592" t="s">
        <v>1230</v>
      </c>
      <c r="M592" t="str">
        <f>_xlfn.XLOOKUP(Table1[[#This Row],[category]],Table6[category],Table6[id_category])</f>
        <v>KTG0205</v>
      </c>
      <c r="N592" t="s">
        <v>1233</v>
      </c>
      <c r="O592">
        <v>1</v>
      </c>
      <c r="P592">
        <v>20000</v>
      </c>
      <c r="Q592">
        <v>0</v>
      </c>
      <c r="R592">
        <v>3</v>
      </c>
      <c r="S592" t="str">
        <f>_xlfn.XLOOKUP(Table1[[#This Row],[method]],Table7[method],Table7[id_method])</f>
        <v>PAY0710</v>
      </c>
      <c r="T592" t="s">
        <v>1237</v>
      </c>
      <c r="U592">
        <v>20000</v>
      </c>
    </row>
    <row r="593" spans="1:21" x14ac:dyDescent="0.25">
      <c r="A593" t="s">
        <v>605</v>
      </c>
      <c r="B593" t="str">
        <f>_xlfn.XLOOKUP(Table1[[#This Row],[date]],Table8[date],Table8[id_date])</f>
        <v>TGL0821</v>
      </c>
      <c r="C593" s="1">
        <v>45708</v>
      </c>
      <c r="D593" s="1" t="str">
        <f>_xlfn.XLOOKUP(Table1[[#This Row],[customer_name]],Table11[customer_name],Table11[id_cust])</f>
        <v>CNA0138</v>
      </c>
      <c r="E593" t="s">
        <v>1049</v>
      </c>
      <c r="F593">
        <v>53</v>
      </c>
      <c r="G593" t="str">
        <f>_xlfn.XLOOKUP(Table1[[#This Row],[branch_name]],Table3[branch_name],Table3[id_branch])</f>
        <v>BRCH005</v>
      </c>
      <c r="H593" t="s">
        <v>1217</v>
      </c>
      <c r="I593" t="str">
        <f>_xlfn.XLOOKUP(Table1[[#This Row],[city]],Table4[city],Table4[id_city])</f>
        <v>KOA0106</v>
      </c>
      <c r="J593" t="s">
        <v>1222</v>
      </c>
      <c r="K593" t="str">
        <f>_xlfn.XLOOKUP(Table1[[#This Row],[menu_name]],Table5[menu_name],Table5[id_menu])</f>
        <v>MENU004</v>
      </c>
      <c r="L593" t="s">
        <v>1226</v>
      </c>
      <c r="M593" t="str">
        <f>_xlfn.XLOOKUP(Table1[[#This Row],[category]],Table6[category],Table6[id_category])</f>
        <v>KTG0207</v>
      </c>
      <c r="N593" t="s">
        <v>1235</v>
      </c>
      <c r="O593">
        <v>1</v>
      </c>
      <c r="P593">
        <v>28000</v>
      </c>
      <c r="Q593">
        <v>5</v>
      </c>
      <c r="R593">
        <v>3.7</v>
      </c>
      <c r="S593" t="str">
        <f>_xlfn.XLOOKUP(Table1[[#This Row],[method]],Table7[method],Table7[id_method])</f>
        <v>PAY0709</v>
      </c>
      <c r="T593" t="s">
        <v>1236</v>
      </c>
      <c r="U593">
        <v>26600</v>
      </c>
    </row>
    <row r="594" spans="1:21" x14ac:dyDescent="0.25">
      <c r="A594" t="s">
        <v>606</v>
      </c>
      <c r="B594" t="str">
        <f>_xlfn.XLOOKUP(Table1[[#This Row],[date]],Table8[date],Table8[id_date])</f>
        <v>TGL0822</v>
      </c>
      <c r="C594" s="1">
        <v>45709</v>
      </c>
      <c r="D594" s="1" t="str">
        <f>_xlfn.XLOOKUP(Table1[[#This Row],[customer_name]],Table11[customer_name],Table11[id_cust])</f>
        <v>CNA0134</v>
      </c>
      <c r="E594" t="s">
        <v>1046</v>
      </c>
      <c r="F594">
        <v>54</v>
      </c>
      <c r="G594" t="str">
        <f>_xlfn.XLOOKUP(Table1[[#This Row],[branch_name]],Table3[branch_name],Table3[id_branch])</f>
        <v>BRCH001</v>
      </c>
      <c r="H594" t="s">
        <v>1213</v>
      </c>
      <c r="I594" t="str">
        <f>_xlfn.XLOOKUP(Table1[[#This Row],[city]],Table4[city],Table4[id_city])</f>
        <v>KOA0102</v>
      </c>
      <c r="J594" t="s">
        <v>1218</v>
      </c>
      <c r="K594" t="str">
        <f>_xlfn.XLOOKUP(Table1[[#This Row],[menu_name]],Table5[menu_name],Table5[id_menu])</f>
        <v>MENU010</v>
      </c>
      <c r="L594" t="s">
        <v>1232</v>
      </c>
      <c r="M594" t="str">
        <f>_xlfn.XLOOKUP(Table1[[#This Row],[category]],Table6[category],Table6[id_category])</f>
        <v>KTG0205</v>
      </c>
      <c r="N594" t="s">
        <v>1233</v>
      </c>
      <c r="O594">
        <v>5</v>
      </c>
      <c r="P594">
        <v>18000</v>
      </c>
      <c r="Q594">
        <v>0</v>
      </c>
      <c r="R594">
        <v>3.5</v>
      </c>
      <c r="S594" t="str">
        <f>_xlfn.XLOOKUP(Table1[[#This Row],[method]],Table7[method],Table7[id_method])</f>
        <v>PAY0712</v>
      </c>
      <c r="T594" t="s">
        <v>1239</v>
      </c>
      <c r="U594">
        <v>90000</v>
      </c>
    </row>
    <row r="595" spans="1:21" x14ac:dyDescent="0.25">
      <c r="A595" t="s">
        <v>607</v>
      </c>
      <c r="B595" t="str">
        <f>_xlfn.XLOOKUP(Table1[[#This Row],[date]],Table8[date],Table8[id_date])</f>
        <v>TGL0822</v>
      </c>
      <c r="C595" s="1">
        <v>45709</v>
      </c>
      <c r="D595" s="1" t="str">
        <f>_xlfn.XLOOKUP(Table1[[#This Row],[customer_name]],Table11[customer_name],Table11[id_cust])</f>
        <v>CNA0118</v>
      </c>
      <c r="E595" t="s">
        <v>1031</v>
      </c>
      <c r="F595">
        <v>22</v>
      </c>
      <c r="G595" t="str">
        <f>_xlfn.XLOOKUP(Table1[[#This Row],[branch_name]],Table3[branch_name],Table3[id_branch])</f>
        <v>BRCH003</v>
      </c>
      <c r="H595" t="s">
        <v>1215</v>
      </c>
      <c r="I595" t="str">
        <f>_xlfn.XLOOKUP(Table1[[#This Row],[city]],Table4[city],Table4[id_city])</f>
        <v>KOA0104</v>
      </c>
      <c r="J595" t="s">
        <v>1220</v>
      </c>
      <c r="K595" t="str">
        <f>_xlfn.XLOOKUP(Table1[[#This Row],[menu_name]],Table5[menu_name],Table5[id_menu])</f>
        <v>MENU004</v>
      </c>
      <c r="L595" t="s">
        <v>1226</v>
      </c>
      <c r="M595" t="str">
        <f>_xlfn.XLOOKUP(Table1[[#This Row],[category]],Table6[category],Table6[id_category])</f>
        <v>KTG0207</v>
      </c>
      <c r="N595" t="s">
        <v>1235</v>
      </c>
      <c r="O595">
        <v>5</v>
      </c>
      <c r="P595">
        <v>28000</v>
      </c>
      <c r="Q595">
        <v>20</v>
      </c>
      <c r="R595">
        <v>3</v>
      </c>
      <c r="S595" t="str">
        <f>_xlfn.XLOOKUP(Table1[[#This Row],[method]],Table7[method],Table7[id_method])</f>
        <v>PAY0710</v>
      </c>
      <c r="T595" t="s">
        <v>1237</v>
      </c>
      <c r="U595">
        <v>112000</v>
      </c>
    </row>
    <row r="596" spans="1:21" x14ac:dyDescent="0.25">
      <c r="A596" t="s">
        <v>608</v>
      </c>
      <c r="B596" t="str">
        <f>_xlfn.XLOOKUP(Table1[[#This Row],[date]],Table8[date],Table8[id_date])</f>
        <v>TGL0822</v>
      </c>
      <c r="C596" s="1">
        <v>45709</v>
      </c>
      <c r="D596" s="1" t="str">
        <f>_xlfn.XLOOKUP(Table1[[#This Row],[customer_name]],Table11[customer_name],Table11[id_cust])</f>
        <v>CNA0219</v>
      </c>
      <c r="E596" t="s">
        <v>1108</v>
      </c>
      <c r="F596">
        <v>23</v>
      </c>
      <c r="G596" t="str">
        <f>_xlfn.XLOOKUP(Table1[[#This Row],[branch_name]],Table3[branch_name],Table3[id_branch])</f>
        <v>BRCH003</v>
      </c>
      <c r="H596" t="s">
        <v>1215</v>
      </c>
      <c r="I596" t="str">
        <f>_xlfn.XLOOKUP(Table1[[#This Row],[city]],Table4[city],Table4[id_city])</f>
        <v>KOA0104</v>
      </c>
      <c r="J596" t="s">
        <v>1220</v>
      </c>
      <c r="K596" t="str">
        <f>_xlfn.XLOOKUP(Table1[[#This Row],[menu_name]],Table5[menu_name],Table5[id_menu])</f>
        <v>MENU006</v>
      </c>
      <c r="L596" t="s">
        <v>1228</v>
      </c>
      <c r="M596" t="str">
        <f>_xlfn.XLOOKUP(Table1[[#This Row],[category]],Table6[category],Table6[id_category])</f>
        <v>KTG0206</v>
      </c>
      <c r="N596" t="s">
        <v>1234</v>
      </c>
      <c r="O596">
        <v>2</v>
      </c>
      <c r="P596">
        <v>32000</v>
      </c>
      <c r="Q596">
        <v>0</v>
      </c>
      <c r="R596">
        <v>3.3</v>
      </c>
      <c r="S596" t="str">
        <f>_xlfn.XLOOKUP(Table1[[#This Row],[method]],Table7[method],Table7[id_method])</f>
        <v>PAY0709</v>
      </c>
      <c r="T596" t="s">
        <v>1236</v>
      </c>
      <c r="U596">
        <v>64000</v>
      </c>
    </row>
    <row r="597" spans="1:21" x14ac:dyDescent="0.25">
      <c r="A597" t="s">
        <v>609</v>
      </c>
      <c r="B597" t="str">
        <f>_xlfn.XLOOKUP(Table1[[#This Row],[date]],Table8[date],Table8[id_date])</f>
        <v>TGL0823</v>
      </c>
      <c r="C597" s="1">
        <v>45710</v>
      </c>
      <c r="D597" s="1" t="str">
        <f>_xlfn.XLOOKUP(Table1[[#This Row],[customer_name]],Table11[customer_name],Table11[id_cust])</f>
        <v>CNA0696</v>
      </c>
      <c r="E597" t="s">
        <v>1199</v>
      </c>
      <c r="F597">
        <v>34</v>
      </c>
      <c r="G597" t="str">
        <f>_xlfn.XLOOKUP(Table1[[#This Row],[branch_name]],Table3[branch_name],Table3[id_branch])</f>
        <v>BRCH003</v>
      </c>
      <c r="H597" t="s">
        <v>1215</v>
      </c>
      <c r="I597" t="str">
        <f>_xlfn.XLOOKUP(Table1[[#This Row],[city]],Table4[city],Table4[id_city])</f>
        <v>KOA0104</v>
      </c>
      <c r="J597" t="s">
        <v>1220</v>
      </c>
      <c r="K597" t="str">
        <f>_xlfn.XLOOKUP(Table1[[#This Row],[menu_name]],Table5[menu_name],Table5[id_menu])</f>
        <v>MENU007</v>
      </c>
      <c r="L597" t="s">
        <v>1229</v>
      </c>
      <c r="M597" t="str">
        <f>_xlfn.XLOOKUP(Table1[[#This Row],[category]],Table6[category],Table6[id_category])</f>
        <v>KTG0207</v>
      </c>
      <c r="N597" t="s">
        <v>1235</v>
      </c>
      <c r="O597">
        <v>5</v>
      </c>
      <c r="P597">
        <v>27000</v>
      </c>
      <c r="Q597">
        <v>0</v>
      </c>
      <c r="R597">
        <v>2.2999999999999998</v>
      </c>
      <c r="S597" t="str">
        <f>_xlfn.XLOOKUP(Table1[[#This Row],[method]],Table7[method],Table7[id_method])</f>
        <v>PAY0710</v>
      </c>
      <c r="T597" t="s">
        <v>1237</v>
      </c>
      <c r="U597">
        <v>135000</v>
      </c>
    </row>
    <row r="598" spans="1:21" x14ac:dyDescent="0.25">
      <c r="A598" t="s">
        <v>610</v>
      </c>
      <c r="B598" t="str">
        <f>_xlfn.XLOOKUP(Table1[[#This Row],[date]],Table8[date],Table8[id_date])</f>
        <v>TGL0824</v>
      </c>
      <c r="C598" s="1">
        <v>45711</v>
      </c>
      <c r="D598" s="1" t="str">
        <f>_xlfn.XLOOKUP(Table1[[#This Row],[customer_name]],Table11[customer_name],Table11[id_cust])</f>
        <v>CNA0124</v>
      </c>
      <c r="E598" t="s">
        <v>1037</v>
      </c>
      <c r="F598">
        <v>33</v>
      </c>
      <c r="G598" t="str">
        <f>_xlfn.XLOOKUP(Table1[[#This Row],[branch_name]],Table3[branch_name],Table3[id_branch])</f>
        <v>BRCH003</v>
      </c>
      <c r="H598" t="s">
        <v>1215</v>
      </c>
      <c r="I598" t="str">
        <f>_xlfn.XLOOKUP(Table1[[#This Row],[city]],Table4[city],Table4[id_city])</f>
        <v>KOA0104</v>
      </c>
      <c r="J598" t="s">
        <v>1220</v>
      </c>
      <c r="K598" t="str">
        <f>_xlfn.XLOOKUP(Table1[[#This Row],[menu_name]],Table5[menu_name],Table5[id_menu])</f>
        <v>MENU006</v>
      </c>
      <c r="L598" t="s">
        <v>1228</v>
      </c>
      <c r="M598" t="str">
        <f>_xlfn.XLOOKUP(Table1[[#This Row],[category]],Table6[category],Table6[id_category])</f>
        <v>KTG0206</v>
      </c>
      <c r="N598" t="s">
        <v>1234</v>
      </c>
      <c r="O598">
        <v>1</v>
      </c>
      <c r="P598">
        <v>32000</v>
      </c>
      <c r="Q598">
        <v>0</v>
      </c>
      <c r="R598">
        <v>1.8</v>
      </c>
      <c r="S598" t="str">
        <f>_xlfn.XLOOKUP(Table1[[#This Row],[method]],Table7[method],Table7[id_method])</f>
        <v>PAY0710</v>
      </c>
      <c r="T598" t="s">
        <v>1237</v>
      </c>
      <c r="U598">
        <v>32000</v>
      </c>
    </row>
    <row r="599" spans="1:21" x14ac:dyDescent="0.25">
      <c r="A599" t="s">
        <v>611</v>
      </c>
      <c r="B599" t="str">
        <f>_xlfn.XLOOKUP(Table1[[#This Row],[date]],Table8[date],Table8[id_date])</f>
        <v>TGL0824</v>
      </c>
      <c r="C599" s="1">
        <v>45711</v>
      </c>
      <c r="D599" s="1" t="str">
        <f>_xlfn.XLOOKUP(Table1[[#This Row],[customer_name]],Table11[customer_name],Table11[id_cust])</f>
        <v>CNA0201</v>
      </c>
      <c r="E599" t="s">
        <v>1096</v>
      </c>
      <c r="F599">
        <v>23</v>
      </c>
      <c r="G599" t="str">
        <f>_xlfn.XLOOKUP(Table1[[#This Row],[branch_name]],Table3[branch_name],Table3[id_branch])</f>
        <v>BRCH001</v>
      </c>
      <c r="H599" t="s">
        <v>1213</v>
      </c>
      <c r="I599" t="str">
        <f>_xlfn.XLOOKUP(Table1[[#This Row],[city]],Table4[city],Table4[id_city])</f>
        <v>KOA0102</v>
      </c>
      <c r="J599" t="s">
        <v>1218</v>
      </c>
      <c r="K599" t="str">
        <f>_xlfn.XLOOKUP(Table1[[#This Row],[menu_name]],Table5[menu_name],Table5[id_menu])</f>
        <v>MENU006</v>
      </c>
      <c r="L599" t="s">
        <v>1228</v>
      </c>
      <c r="M599" t="str">
        <f>_xlfn.XLOOKUP(Table1[[#This Row],[category]],Table6[category],Table6[id_category])</f>
        <v>KTG0206</v>
      </c>
      <c r="N599" t="s">
        <v>1234</v>
      </c>
      <c r="O599">
        <v>2</v>
      </c>
      <c r="P599">
        <v>32000</v>
      </c>
      <c r="Q599">
        <v>20</v>
      </c>
      <c r="R599">
        <v>4.8</v>
      </c>
      <c r="S599" t="str">
        <f>_xlfn.XLOOKUP(Table1[[#This Row],[method]],Table7[method],Table7[id_method])</f>
        <v>PAY0712</v>
      </c>
      <c r="T599" t="s">
        <v>1239</v>
      </c>
      <c r="U599">
        <v>51200</v>
      </c>
    </row>
    <row r="600" spans="1:21" x14ac:dyDescent="0.25">
      <c r="A600" t="s">
        <v>612</v>
      </c>
      <c r="B600" t="str">
        <f>_xlfn.XLOOKUP(Table1[[#This Row],[date]],Table8[date],Table8[id_date])</f>
        <v>TGL0824</v>
      </c>
      <c r="C600" s="1">
        <v>45711</v>
      </c>
      <c r="D600" s="1" t="str">
        <f>_xlfn.XLOOKUP(Table1[[#This Row],[customer_name]],Table11[customer_name],Table11[id_cust])</f>
        <v>CNA0224</v>
      </c>
      <c r="E600" t="s">
        <v>1111</v>
      </c>
      <c r="F600">
        <v>49</v>
      </c>
      <c r="G600" t="str">
        <f>_xlfn.XLOOKUP(Table1[[#This Row],[branch_name]],Table3[branch_name],Table3[id_branch])</f>
        <v>BRCH003</v>
      </c>
      <c r="H600" t="s">
        <v>1215</v>
      </c>
      <c r="I600" t="str">
        <f>_xlfn.XLOOKUP(Table1[[#This Row],[city]],Table4[city],Table4[id_city])</f>
        <v>KOA0104</v>
      </c>
      <c r="J600" t="s">
        <v>1220</v>
      </c>
      <c r="K600" t="str">
        <f>_xlfn.XLOOKUP(Table1[[#This Row],[menu_name]],Table5[menu_name],Table5[id_menu])</f>
        <v>MENU010</v>
      </c>
      <c r="L600" t="s">
        <v>1232</v>
      </c>
      <c r="M600" t="str">
        <f>_xlfn.XLOOKUP(Table1[[#This Row],[category]],Table6[category],Table6[id_category])</f>
        <v>KTG0205</v>
      </c>
      <c r="N600" t="s">
        <v>1233</v>
      </c>
      <c r="O600">
        <v>2</v>
      </c>
      <c r="P600">
        <v>18000</v>
      </c>
      <c r="Q600">
        <v>0</v>
      </c>
      <c r="R600">
        <v>4.5</v>
      </c>
      <c r="S600" t="str">
        <f>_xlfn.XLOOKUP(Table1[[#This Row],[method]],Table7[method],Table7[id_method])</f>
        <v>PAY0712</v>
      </c>
      <c r="T600" t="s">
        <v>1239</v>
      </c>
      <c r="U600">
        <v>36000</v>
      </c>
    </row>
    <row r="601" spans="1:21" x14ac:dyDescent="0.25">
      <c r="A601" t="s">
        <v>613</v>
      </c>
      <c r="B601" t="str">
        <f>_xlfn.XLOOKUP(Table1[[#This Row],[date]],Table8[date],Table8[id_date])</f>
        <v>TGL0824</v>
      </c>
      <c r="C601" s="1">
        <v>45711</v>
      </c>
      <c r="D601" s="1" t="str">
        <f>_xlfn.XLOOKUP(Table1[[#This Row],[customer_name]],Table11[customer_name],Table11[id_cust])</f>
        <v>CNA0426</v>
      </c>
      <c r="E601" t="s">
        <v>1178</v>
      </c>
      <c r="F601">
        <v>38</v>
      </c>
      <c r="G601" t="str">
        <f>_xlfn.XLOOKUP(Table1[[#This Row],[branch_name]],Table3[branch_name],Table3[id_branch])</f>
        <v>BRCH003</v>
      </c>
      <c r="H601" t="s">
        <v>1215</v>
      </c>
      <c r="I601" t="str">
        <f>_xlfn.XLOOKUP(Table1[[#This Row],[city]],Table4[city],Table4[id_city])</f>
        <v>KOA0104</v>
      </c>
      <c r="J601" t="s">
        <v>1220</v>
      </c>
      <c r="K601" t="str">
        <f>_xlfn.XLOOKUP(Table1[[#This Row],[menu_name]],Table5[menu_name],Table5[id_menu])</f>
        <v>MENU003</v>
      </c>
      <c r="L601" t="s">
        <v>1225</v>
      </c>
      <c r="M601" t="str">
        <f>_xlfn.XLOOKUP(Table1[[#This Row],[category]],Table6[category],Table6[id_category])</f>
        <v>KTG0205</v>
      </c>
      <c r="N601" t="s">
        <v>1233</v>
      </c>
      <c r="O601">
        <v>5</v>
      </c>
      <c r="P601">
        <v>22000</v>
      </c>
      <c r="Q601">
        <v>5</v>
      </c>
      <c r="R601">
        <v>1.3</v>
      </c>
      <c r="S601" t="str">
        <f>_xlfn.XLOOKUP(Table1[[#This Row],[method]],Table7[method],Table7[id_method])</f>
        <v>PAY0709</v>
      </c>
      <c r="T601" t="s">
        <v>1236</v>
      </c>
      <c r="U601">
        <v>104500</v>
      </c>
    </row>
    <row r="602" spans="1:21" x14ac:dyDescent="0.25">
      <c r="A602" t="s">
        <v>614</v>
      </c>
      <c r="B602" t="str">
        <f>_xlfn.XLOOKUP(Table1[[#This Row],[date]],Table8[date],Table8[id_date])</f>
        <v>TGL0825</v>
      </c>
      <c r="C602" s="1">
        <v>45713</v>
      </c>
      <c r="D602" s="1" t="str">
        <f>_xlfn.XLOOKUP(Table1[[#This Row],[customer_name]],Table11[customer_name],Table11[id_cust])</f>
        <v>CNA0411</v>
      </c>
      <c r="E602" t="s">
        <v>1175</v>
      </c>
      <c r="F602">
        <v>52</v>
      </c>
      <c r="G602" t="str">
        <f>_xlfn.XLOOKUP(Table1[[#This Row],[branch_name]],Table3[branch_name],Table3[id_branch])</f>
        <v>BRCH003</v>
      </c>
      <c r="H602" t="s">
        <v>1215</v>
      </c>
      <c r="I602" t="str">
        <f>_xlfn.XLOOKUP(Table1[[#This Row],[city]],Table4[city],Table4[id_city])</f>
        <v>KOA0104</v>
      </c>
      <c r="J602" t="s">
        <v>1220</v>
      </c>
      <c r="K602" t="str">
        <f>_xlfn.XLOOKUP(Table1[[#This Row],[menu_name]],Table5[menu_name],Table5[id_menu])</f>
        <v>MENU008</v>
      </c>
      <c r="L602" t="s">
        <v>1230</v>
      </c>
      <c r="M602" t="str">
        <f>_xlfn.XLOOKUP(Table1[[#This Row],[category]],Table6[category],Table6[id_category])</f>
        <v>KTG0205</v>
      </c>
      <c r="N602" t="s">
        <v>1233</v>
      </c>
      <c r="O602">
        <v>4</v>
      </c>
      <c r="P602">
        <v>20000</v>
      </c>
      <c r="Q602">
        <v>10</v>
      </c>
      <c r="R602">
        <v>2.8</v>
      </c>
      <c r="S602" t="str">
        <f>_xlfn.XLOOKUP(Table1[[#This Row],[method]],Table7[method],Table7[id_method])</f>
        <v>PAY0712</v>
      </c>
      <c r="T602" t="s">
        <v>1239</v>
      </c>
      <c r="U602">
        <v>72000</v>
      </c>
    </row>
    <row r="603" spans="1:21" x14ac:dyDescent="0.25">
      <c r="A603" t="s">
        <v>615</v>
      </c>
      <c r="B603" t="str">
        <f>_xlfn.XLOOKUP(Table1[[#This Row],[date]],Table8[date],Table8[id_date])</f>
        <v>TGL0825</v>
      </c>
      <c r="C603" s="1">
        <v>45713</v>
      </c>
      <c r="D603" s="1" t="str">
        <f>_xlfn.XLOOKUP(Table1[[#This Row],[customer_name]],Table11[customer_name],Table11[id_cust])</f>
        <v>CNA0263</v>
      </c>
      <c r="E603" t="s">
        <v>1131</v>
      </c>
      <c r="F603">
        <v>36</v>
      </c>
      <c r="G603" t="str">
        <f>_xlfn.XLOOKUP(Table1[[#This Row],[branch_name]],Table3[branch_name],Table3[id_branch])</f>
        <v>BRCH001</v>
      </c>
      <c r="H603" t="s">
        <v>1213</v>
      </c>
      <c r="I603" t="str">
        <f>_xlfn.XLOOKUP(Table1[[#This Row],[city]],Table4[city],Table4[id_city])</f>
        <v>KOA0102</v>
      </c>
      <c r="J603" t="s">
        <v>1218</v>
      </c>
      <c r="K603" t="str">
        <f>_xlfn.XLOOKUP(Table1[[#This Row],[menu_name]],Table5[menu_name],Table5[id_menu])</f>
        <v>MENU004</v>
      </c>
      <c r="L603" t="s">
        <v>1226</v>
      </c>
      <c r="M603" t="str">
        <f>_xlfn.XLOOKUP(Table1[[#This Row],[category]],Table6[category],Table6[id_category])</f>
        <v>KTG0207</v>
      </c>
      <c r="N603" t="s">
        <v>1235</v>
      </c>
      <c r="O603">
        <v>2</v>
      </c>
      <c r="P603">
        <v>28000</v>
      </c>
      <c r="Q603">
        <v>20</v>
      </c>
      <c r="R603">
        <v>1.3</v>
      </c>
      <c r="S603" t="str">
        <f>_xlfn.XLOOKUP(Table1[[#This Row],[method]],Table7[method],Table7[id_method])</f>
        <v>PAY0709</v>
      </c>
      <c r="T603" t="s">
        <v>1236</v>
      </c>
      <c r="U603">
        <v>44800</v>
      </c>
    </row>
    <row r="604" spans="1:21" x14ac:dyDescent="0.25">
      <c r="A604" t="s">
        <v>616</v>
      </c>
      <c r="B604" t="str">
        <f>_xlfn.XLOOKUP(Table1[[#This Row],[date]],Table8[date],Table8[id_date])</f>
        <v>TGL0825</v>
      </c>
      <c r="C604" s="1">
        <v>45713</v>
      </c>
      <c r="D604" s="1" t="str">
        <f>_xlfn.XLOOKUP(Table1[[#This Row],[customer_name]],Table11[customer_name],Table11[id_cust])</f>
        <v>CNA0265</v>
      </c>
      <c r="E604" t="s">
        <v>1132</v>
      </c>
      <c r="F604">
        <v>42</v>
      </c>
      <c r="G604" t="str">
        <f>_xlfn.XLOOKUP(Table1[[#This Row],[branch_name]],Table3[branch_name],Table3[id_branch])</f>
        <v>BRCH004</v>
      </c>
      <c r="H604" t="s">
        <v>1216</v>
      </c>
      <c r="I604" t="str">
        <f>_xlfn.XLOOKUP(Table1[[#This Row],[city]],Table4[city],Table4[id_city])</f>
        <v>KOA0105</v>
      </c>
      <c r="J604" t="s">
        <v>1221</v>
      </c>
      <c r="K604" t="str">
        <f>_xlfn.XLOOKUP(Table1[[#This Row],[menu_name]],Table5[menu_name],Table5[id_menu])</f>
        <v>MENU008</v>
      </c>
      <c r="L604" t="s">
        <v>1230</v>
      </c>
      <c r="M604" t="str">
        <f>_xlfn.XLOOKUP(Table1[[#This Row],[category]],Table6[category],Table6[id_category])</f>
        <v>KTG0205</v>
      </c>
      <c r="N604" t="s">
        <v>1233</v>
      </c>
      <c r="O604">
        <v>4</v>
      </c>
      <c r="P604">
        <v>20000</v>
      </c>
      <c r="Q604">
        <v>15</v>
      </c>
      <c r="R604">
        <v>2.4</v>
      </c>
      <c r="S604" t="str">
        <f>_xlfn.XLOOKUP(Table1[[#This Row],[method]],Table7[method],Table7[id_method])</f>
        <v>PAY0710</v>
      </c>
      <c r="T604" t="s">
        <v>1237</v>
      </c>
      <c r="U604">
        <v>68000</v>
      </c>
    </row>
    <row r="605" spans="1:21" x14ac:dyDescent="0.25">
      <c r="A605" t="s">
        <v>617</v>
      </c>
      <c r="B605" t="str">
        <f>_xlfn.XLOOKUP(Table1[[#This Row],[date]],Table8[date],Table8[id_date])</f>
        <v>TGL0825</v>
      </c>
      <c r="C605" s="1">
        <v>45713</v>
      </c>
      <c r="D605" s="1" t="str">
        <f>_xlfn.XLOOKUP(Table1[[#This Row],[customer_name]],Table11[customer_name],Table11[id_cust])</f>
        <v>CNA0202</v>
      </c>
      <c r="E605" t="s">
        <v>1097</v>
      </c>
      <c r="F605">
        <v>53</v>
      </c>
      <c r="G605" t="str">
        <f>_xlfn.XLOOKUP(Table1[[#This Row],[branch_name]],Table3[branch_name],Table3[id_branch])</f>
        <v>BRCH004</v>
      </c>
      <c r="H605" t="s">
        <v>1216</v>
      </c>
      <c r="I605" t="str">
        <f>_xlfn.XLOOKUP(Table1[[#This Row],[city]],Table4[city],Table4[id_city])</f>
        <v>KOA0105</v>
      </c>
      <c r="J605" t="s">
        <v>1221</v>
      </c>
      <c r="K605" t="str">
        <f>_xlfn.XLOOKUP(Table1[[#This Row],[menu_name]],Table5[menu_name],Table5[id_menu])</f>
        <v>MENU003</v>
      </c>
      <c r="L605" t="s">
        <v>1225</v>
      </c>
      <c r="M605" t="str">
        <f>_xlfn.XLOOKUP(Table1[[#This Row],[category]],Table6[category],Table6[id_category])</f>
        <v>KTG0205</v>
      </c>
      <c r="N605" t="s">
        <v>1233</v>
      </c>
      <c r="O605">
        <v>2</v>
      </c>
      <c r="P605">
        <v>22000</v>
      </c>
      <c r="Q605">
        <v>10</v>
      </c>
      <c r="R605">
        <v>3</v>
      </c>
      <c r="S605" t="str">
        <f>_xlfn.XLOOKUP(Table1[[#This Row],[method]],Table7[method],Table7[id_method])</f>
        <v>PAY0711</v>
      </c>
      <c r="T605" t="s">
        <v>1238</v>
      </c>
      <c r="U605">
        <v>39600</v>
      </c>
    </row>
    <row r="606" spans="1:21" x14ac:dyDescent="0.25">
      <c r="A606" t="s">
        <v>618</v>
      </c>
      <c r="B606" t="str">
        <f>_xlfn.XLOOKUP(Table1[[#This Row],[date]],Table8[date],Table8[id_date])</f>
        <v>TGL0826</v>
      </c>
      <c r="C606" s="1">
        <v>45715</v>
      </c>
      <c r="D606" s="1" t="str">
        <f>_xlfn.XLOOKUP(Table1[[#This Row],[customer_name]],Table11[customer_name],Table11[id_cust])</f>
        <v>CNA0130</v>
      </c>
      <c r="E606" t="s">
        <v>1042</v>
      </c>
      <c r="F606">
        <v>33</v>
      </c>
      <c r="G606" t="str">
        <f>_xlfn.XLOOKUP(Table1[[#This Row],[branch_name]],Table3[branch_name],Table3[id_branch])</f>
        <v>BRCH003</v>
      </c>
      <c r="H606" t="s">
        <v>1215</v>
      </c>
      <c r="I606" t="str">
        <f>_xlfn.XLOOKUP(Table1[[#This Row],[city]],Table4[city],Table4[id_city])</f>
        <v>KOA0104</v>
      </c>
      <c r="J606" t="s">
        <v>1220</v>
      </c>
      <c r="K606" t="str">
        <f>_xlfn.XLOOKUP(Table1[[#This Row],[menu_name]],Table5[menu_name],Table5[id_menu])</f>
        <v>MENU006</v>
      </c>
      <c r="L606" t="s">
        <v>1228</v>
      </c>
      <c r="M606" t="str">
        <f>_xlfn.XLOOKUP(Table1[[#This Row],[category]],Table6[category],Table6[id_category])</f>
        <v>KTG0206</v>
      </c>
      <c r="N606" t="s">
        <v>1234</v>
      </c>
      <c r="O606">
        <v>3</v>
      </c>
      <c r="P606">
        <v>32000</v>
      </c>
      <c r="Q606">
        <v>0</v>
      </c>
      <c r="R606">
        <v>3.5</v>
      </c>
      <c r="S606" t="str">
        <f>_xlfn.XLOOKUP(Table1[[#This Row],[method]],Table7[method],Table7[id_method])</f>
        <v>PAY0710</v>
      </c>
      <c r="T606" t="s">
        <v>1237</v>
      </c>
      <c r="U606">
        <v>96000</v>
      </c>
    </row>
    <row r="607" spans="1:21" x14ac:dyDescent="0.25">
      <c r="A607" t="s">
        <v>619</v>
      </c>
      <c r="B607" t="str">
        <f>_xlfn.XLOOKUP(Table1[[#This Row],[date]],Table8[date],Table8[id_date])</f>
        <v>TGL0827</v>
      </c>
      <c r="C607" s="1">
        <v>45716</v>
      </c>
      <c r="D607" s="1" t="str">
        <f>_xlfn.XLOOKUP(Table1[[#This Row],[customer_name]],Table11[customer_name],Table11[id_cust])</f>
        <v>CNA0132</v>
      </c>
      <c r="E607" t="s">
        <v>1044</v>
      </c>
      <c r="F607">
        <v>40</v>
      </c>
      <c r="G607" t="str">
        <f>_xlfn.XLOOKUP(Table1[[#This Row],[branch_name]],Table3[branch_name],Table3[id_branch])</f>
        <v>BRCH005</v>
      </c>
      <c r="H607" t="s">
        <v>1217</v>
      </c>
      <c r="I607" t="str">
        <f>_xlfn.XLOOKUP(Table1[[#This Row],[city]],Table4[city],Table4[id_city])</f>
        <v>KOA0106</v>
      </c>
      <c r="J607" t="s">
        <v>1222</v>
      </c>
      <c r="K607" t="str">
        <f>_xlfn.XLOOKUP(Table1[[#This Row],[menu_name]],Table5[menu_name],Table5[id_menu])</f>
        <v>MENU001</v>
      </c>
      <c r="L607" t="s">
        <v>1223</v>
      </c>
      <c r="M607" t="str">
        <f>_xlfn.XLOOKUP(Table1[[#This Row],[category]],Table6[category],Table6[id_category])</f>
        <v>KTG0205</v>
      </c>
      <c r="N607" t="s">
        <v>1233</v>
      </c>
      <c r="O607">
        <v>5</v>
      </c>
      <c r="P607">
        <v>25000</v>
      </c>
      <c r="Q607">
        <v>20</v>
      </c>
      <c r="R607">
        <v>1.5</v>
      </c>
      <c r="S607" t="str">
        <f>_xlfn.XLOOKUP(Table1[[#This Row],[method]],Table7[method],Table7[id_method])</f>
        <v>PAY0709</v>
      </c>
      <c r="T607" t="s">
        <v>1236</v>
      </c>
      <c r="U607">
        <v>100000</v>
      </c>
    </row>
    <row r="608" spans="1:21" x14ac:dyDescent="0.25">
      <c r="A608" t="s">
        <v>620</v>
      </c>
      <c r="B608" t="str">
        <f>_xlfn.XLOOKUP(Table1[[#This Row],[date]],Table8[date],Table8[id_date])</f>
        <v>TGL0828</v>
      </c>
      <c r="C608" s="1">
        <v>45718</v>
      </c>
      <c r="D608" s="1" t="str">
        <f>_xlfn.XLOOKUP(Table1[[#This Row],[customer_name]],Table11[customer_name],Table11[id_cust])</f>
        <v>CNA0507</v>
      </c>
      <c r="E608" t="s">
        <v>1185</v>
      </c>
      <c r="F608">
        <v>24</v>
      </c>
      <c r="G608" t="str">
        <f>_xlfn.XLOOKUP(Table1[[#This Row],[branch_name]],Table3[branch_name],Table3[id_branch])</f>
        <v>BRCH003</v>
      </c>
      <c r="H608" t="s">
        <v>1215</v>
      </c>
      <c r="I608" t="str">
        <f>_xlfn.XLOOKUP(Table1[[#This Row],[city]],Table4[city],Table4[id_city])</f>
        <v>KOA0104</v>
      </c>
      <c r="J608" t="s">
        <v>1220</v>
      </c>
      <c r="K608" t="str">
        <f>_xlfn.XLOOKUP(Table1[[#This Row],[menu_name]],Table5[menu_name],Table5[id_menu])</f>
        <v>MENU008</v>
      </c>
      <c r="L608" t="s">
        <v>1230</v>
      </c>
      <c r="M608" t="str">
        <f>_xlfn.XLOOKUP(Table1[[#This Row],[category]],Table6[category],Table6[id_category])</f>
        <v>KTG0205</v>
      </c>
      <c r="N608" t="s">
        <v>1233</v>
      </c>
      <c r="O608">
        <v>5</v>
      </c>
      <c r="P608">
        <v>20000</v>
      </c>
      <c r="Q608">
        <v>0</v>
      </c>
      <c r="R608">
        <v>4</v>
      </c>
      <c r="S608" t="str">
        <f>_xlfn.XLOOKUP(Table1[[#This Row],[method]],Table7[method],Table7[id_method])</f>
        <v>PAY0709</v>
      </c>
      <c r="T608" t="s">
        <v>1236</v>
      </c>
      <c r="U608">
        <v>100000</v>
      </c>
    </row>
    <row r="609" spans="1:21" x14ac:dyDescent="0.25">
      <c r="A609" t="s">
        <v>621</v>
      </c>
      <c r="B609" t="str">
        <f>_xlfn.XLOOKUP(Table1[[#This Row],[date]],Table8[date],Table8[id_date])</f>
        <v>TGL0829</v>
      </c>
      <c r="C609" s="1">
        <v>45720</v>
      </c>
      <c r="D609" s="1" t="str">
        <f>_xlfn.XLOOKUP(Table1[[#This Row],[customer_name]],Table11[customer_name],Table11[id_cust])</f>
        <v>CNA0708</v>
      </c>
      <c r="E609" t="s">
        <v>1200</v>
      </c>
      <c r="F609">
        <v>24</v>
      </c>
      <c r="G609" t="str">
        <f>_xlfn.XLOOKUP(Table1[[#This Row],[branch_name]],Table3[branch_name],Table3[id_branch])</f>
        <v>BRCH001</v>
      </c>
      <c r="H609" t="s">
        <v>1213</v>
      </c>
      <c r="I609" t="str">
        <f>_xlfn.XLOOKUP(Table1[[#This Row],[city]],Table4[city],Table4[id_city])</f>
        <v>KOA0102</v>
      </c>
      <c r="J609" t="s">
        <v>1218</v>
      </c>
      <c r="K609" t="str">
        <f>_xlfn.XLOOKUP(Table1[[#This Row],[menu_name]],Table5[menu_name],Table5[id_menu])</f>
        <v>MENU007</v>
      </c>
      <c r="L609" t="s">
        <v>1229</v>
      </c>
      <c r="M609" t="str">
        <f>_xlfn.XLOOKUP(Table1[[#This Row],[category]],Table6[category],Table6[id_category])</f>
        <v>KTG0207</v>
      </c>
      <c r="N609" t="s">
        <v>1235</v>
      </c>
      <c r="O609">
        <v>5</v>
      </c>
      <c r="P609">
        <v>27000</v>
      </c>
      <c r="Q609">
        <v>0</v>
      </c>
      <c r="R609">
        <v>2.5</v>
      </c>
      <c r="S609" t="str">
        <f>_xlfn.XLOOKUP(Table1[[#This Row],[method]],Table7[method],Table7[id_method])</f>
        <v>PAY0711</v>
      </c>
      <c r="T609" t="s">
        <v>1238</v>
      </c>
      <c r="U609">
        <v>135000</v>
      </c>
    </row>
    <row r="610" spans="1:21" x14ac:dyDescent="0.25">
      <c r="A610" t="s">
        <v>622</v>
      </c>
      <c r="B610" t="str">
        <f>_xlfn.XLOOKUP(Table1[[#This Row],[date]],Table8[date],Table8[id_date])</f>
        <v>TGL0830</v>
      </c>
      <c r="C610" s="1">
        <v>45722</v>
      </c>
      <c r="D610" s="1" t="str">
        <f>_xlfn.XLOOKUP(Table1[[#This Row],[customer_name]],Table11[customer_name],Table11[id_cust])</f>
        <v>CNA0177</v>
      </c>
      <c r="E610" t="s">
        <v>1082</v>
      </c>
      <c r="F610">
        <v>38</v>
      </c>
      <c r="G610" t="str">
        <f>_xlfn.XLOOKUP(Table1[[#This Row],[branch_name]],Table3[branch_name],Table3[id_branch])</f>
        <v>BRCH004</v>
      </c>
      <c r="H610" t="s">
        <v>1216</v>
      </c>
      <c r="I610" t="str">
        <f>_xlfn.XLOOKUP(Table1[[#This Row],[city]],Table4[city],Table4[id_city])</f>
        <v>KOA0105</v>
      </c>
      <c r="J610" t="s">
        <v>1221</v>
      </c>
      <c r="K610" t="str">
        <f>_xlfn.XLOOKUP(Table1[[#This Row],[menu_name]],Table5[menu_name],Table5[id_menu])</f>
        <v>MENU009</v>
      </c>
      <c r="L610" t="s">
        <v>1231</v>
      </c>
      <c r="M610" t="str">
        <f>_xlfn.XLOOKUP(Table1[[#This Row],[category]],Table6[category],Table6[id_category])</f>
        <v>KTG0206</v>
      </c>
      <c r="N610" t="s">
        <v>1234</v>
      </c>
      <c r="O610">
        <v>4</v>
      </c>
      <c r="P610">
        <v>18000</v>
      </c>
      <c r="Q610">
        <v>15</v>
      </c>
      <c r="R610">
        <v>4.8</v>
      </c>
      <c r="S610" t="str">
        <f>_xlfn.XLOOKUP(Table1[[#This Row],[method]],Table7[method],Table7[id_method])</f>
        <v>PAY0711</v>
      </c>
      <c r="T610" t="s">
        <v>1238</v>
      </c>
      <c r="U610">
        <v>61200</v>
      </c>
    </row>
    <row r="611" spans="1:21" x14ac:dyDescent="0.25">
      <c r="A611" t="s">
        <v>623</v>
      </c>
      <c r="B611" t="str">
        <f>_xlfn.XLOOKUP(Table1[[#This Row],[date]],Table8[date],Table8[id_date])</f>
        <v>TGL0831</v>
      </c>
      <c r="C611" s="1">
        <v>45723</v>
      </c>
      <c r="D611" s="1" t="str">
        <f>_xlfn.XLOOKUP(Table1[[#This Row],[customer_name]],Table11[customer_name],Table11[id_cust])</f>
        <v>CNA0166</v>
      </c>
      <c r="E611" t="s">
        <v>1071</v>
      </c>
      <c r="F611">
        <v>48</v>
      </c>
      <c r="G611" t="str">
        <f>_xlfn.XLOOKUP(Table1[[#This Row],[branch_name]],Table3[branch_name],Table3[id_branch])</f>
        <v>BRCH003</v>
      </c>
      <c r="H611" t="s">
        <v>1215</v>
      </c>
      <c r="I611" t="str">
        <f>_xlfn.XLOOKUP(Table1[[#This Row],[city]],Table4[city],Table4[id_city])</f>
        <v>KOA0104</v>
      </c>
      <c r="J611" t="s">
        <v>1220</v>
      </c>
      <c r="K611" t="str">
        <f>_xlfn.XLOOKUP(Table1[[#This Row],[menu_name]],Table5[menu_name],Table5[id_menu])</f>
        <v>MENU008</v>
      </c>
      <c r="L611" t="s">
        <v>1230</v>
      </c>
      <c r="M611" t="str">
        <f>_xlfn.XLOOKUP(Table1[[#This Row],[category]],Table6[category],Table6[id_category])</f>
        <v>KTG0205</v>
      </c>
      <c r="N611" t="s">
        <v>1233</v>
      </c>
      <c r="O611">
        <v>5</v>
      </c>
      <c r="P611">
        <v>20000</v>
      </c>
      <c r="Q611">
        <v>0</v>
      </c>
      <c r="R611">
        <v>3.5</v>
      </c>
      <c r="S611" t="str">
        <f>_xlfn.XLOOKUP(Table1[[#This Row],[method]],Table7[method],Table7[id_method])</f>
        <v>PAY0712</v>
      </c>
      <c r="T611" t="s">
        <v>1239</v>
      </c>
      <c r="U611">
        <v>100000</v>
      </c>
    </row>
    <row r="612" spans="1:21" x14ac:dyDescent="0.25">
      <c r="A612" t="s">
        <v>624</v>
      </c>
      <c r="B612" t="str">
        <f>_xlfn.XLOOKUP(Table1[[#This Row],[date]],Table8[date],Table8[id_date])</f>
        <v>TGL0832</v>
      </c>
      <c r="C612" s="1">
        <v>45726</v>
      </c>
      <c r="D612" s="1" t="str">
        <f>_xlfn.XLOOKUP(Table1[[#This Row],[customer_name]],Table11[customer_name],Table11[id_cust])</f>
        <v>CNA0136</v>
      </c>
      <c r="E612" t="s">
        <v>1047</v>
      </c>
      <c r="F612">
        <v>31</v>
      </c>
      <c r="G612" t="str">
        <f>_xlfn.XLOOKUP(Table1[[#This Row],[branch_name]],Table3[branch_name],Table3[id_branch])</f>
        <v>BRCH001</v>
      </c>
      <c r="H612" t="s">
        <v>1213</v>
      </c>
      <c r="I612" t="str">
        <f>_xlfn.XLOOKUP(Table1[[#This Row],[city]],Table4[city],Table4[id_city])</f>
        <v>KOA0102</v>
      </c>
      <c r="J612" t="s">
        <v>1218</v>
      </c>
      <c r="K612" t="str">
        <f>_xlfn.XLOOKUP(Table1[[#This Row],[menu_name]],Table5[menu_name],Table5[id_menu])</f>
        <v>MENU001</v>
      </c>
      <c r="L612" t="s">
        <v>1223</v>
      </c>
      <c r="M612" t="str">
        <f>_xlfn.XLOOKUP(Table1[[#This Row],[category]],Table6[category],Table6[id_category])</f>
        <v>KTG0205</v>
      </c>
      <c r="N612" t="s">
        <v>1233</v>
      </c>
      <c r="O612">
        <v>2</v>
      </c>
      <c r="P612">
        <v>25000</v>
      </c>
      <c r="Q612">
        <v>15</v>
      </c>
      <c r="R612">
        <v>1.2</v>
      </c>
      <c r="S612" t="str">
        <f>_xlfn.XLOOKUP(Table1[[#This Row],[method]],Table7[method],Table7[id_method])</f>
        <v>PAY0711</v>
      </c>
      <c r="T612" t="s">
        <v>1238</v>
      </c>
      <c r="U612">
        <v>42500</v>
      </c>
    </row>
    <row r="613" spans="1:21" x14ac:dyDescent="0.25">
      <c r="A613" t="s">
        <v>625</v>
      </c>
      <c r="B613" t="str">
        <f>_xlfn.XLOOKUP(Table1[[#This Row],[date]],Table8[date],Table8[id_date])</f>
        <v>TGL0832</v>
      </c>
      <c r="C613" s="1">
        <v>45726</v>
      </c>
      <c r="D613" s="1" t="str">
        <f>_xlfn.XLOOKUP(Table1[[#This Row],[customer_name]],Table11[customer_name],Table11[id_cust])</f>
        <v>CNA0157</v>
      </c>
      <c r="E613" t="s">
        <v>1065</v>
      </c>
      <c r="F613">
        <v>29</v>
      </c>
      <c r="G613" t="str">
        <f>_xlfn.XLOOKUP(Table1[[#This Row],[branch_name]],Table3[branch_name],Table3[id_branch])</f>
        <v>BRCH002</v>
      </c>
      <c r="H613" t="s">
        <v>1214</v>
      </c>
      <c r="I613" t="str">
        <f>_xlfn.XLOOKUP(Table1[[#This Row],[city]],Table4[city],Table4[id_city])</f>
        <v>KOA0103</v>
      </c>
      <c r="J613" t="s">
        <v>1219</v>
      </c>
      <c r="K613" t="str">
        <f>_xlfn.XLOOKUP(Table1[[#This Row],[menu_name]],Table5[menu_name],Table5[id_menu])</f>
        <v>MENU006</v>
      </c>
      <c r="L613" t="s">
        <v>1228</v>
      </c>
      <c r="M613" t="str">
        <f>_xlfn.XLOOKUP(Table1[[#This Row],[category]],Table6[category],Table6[id_category])</f>
        <v>KTG0206</v>
      </c>
      <c r="N613" t="s">
        <v>1234</v>
      </c>
      <c r="O613">
        <v>4</v>
      </c>
      <c r="P613">
        <v>32000</v>
      </c>
      <c r="Q613">
        <v>10</v>
      </c>
      <c r="R613">
        <v>2.9</v>
      </c>
      <c r="S613" t="str">
        <f>_xlfn.XLOOKUP(Table1[[#This Row],[method]],Table7[method],Table7[id_method])</f>
        <v>PAY0711</v>
      </c>
      <c r="T613" t="s">
        <v>1238</v>
      </c>
      <c r="U613">
        <v>115200</v>
      </c>
    </row>
    <row r="614" spans="1:21" x14ac:dyDescent="0.25">
      <c r="A614" t="s">
        <v>626</v>
      </c>
      <c r="B614" t="str">
        <f>_xlfn.XLOOKUP(Table1[[#This Row],[date]],Table8[date],Table8[id_date])</f>
        <v>TGL0832</v>
      </c>
      <c r="C614" s="1">
        <v>45726</v>
      </c>
      <c r="D614" s="1" t="str">
        <f>_xlfn.XLOOKUP(Table1[[#This Row],[customer_name]],Table11[customer_name],Table11[id_cust])</f>
        <v>CNA0133</v>
      </c>
      <c r="E614" t="s">
        <v>1045</v>
      </c>
      <c r="F614">
        <v>42</v>
      </c>
      <c r="G614" t="str">
        <f>_xlfn.XLOOKUP(Table1[[#This Row],[branch_name]],Table3[branch_name],Table3[id_branch])</f>
        <v>BRCH001</v>
      </c>
      <c r="H614" t="s">
        <v>1213</v>
      </c>
      <c r="I614" t="str">
        <f>_xlfn.XLOOKUP(Table1[[#This Row],[city]],Table4[city],Table4[id_city])</f>
        <v>KOA0102</v>
      </c>
      <c r="J614" t="s">
        <v>1218</v>
      </c>
      <c r="K614" t="str">
        <f>_xlfn.XLOOKUP(Table1[[#This Row],[menu_name]],Table5[menu_name],Table5[id_menu])</f>
        <v>MENU007</v>
      </c>
      <c r="L614" t="s">
        <v>1229</v>
      </c>
      <c r="M614" t="str">
        <f>_xlfn.XLOOKUP(Table1[[#This Row],[category]],Table6[category],Table6[id_category])</f>
        <v>KTG0207</v>
      </c>
      <c r="N614" t="s">
        <v>1235</v>
      </c>
      <c r="O614">
        <v>4</v>
      </c>
      <c r="P614">
        <v>27000</v>
      </c>
      <c r="Q614">
        <v>0</v>
      </c>
      <c r="R614">
        <v>3</v>
      </c>
      <c r="S614" t="str">
        <f>_xlfn.XLOOKUP(Table1[[#This Row],[method]],Table7[method],Table7[id_method])</f>
        <v>PAY0711</v>
      </c>
      <c r="T614" t="s">
        <v>1238</v>
      </c>
      <c r="U614">
        <v>108000</v>
      </c>
    </row>
    <row r="615" spans="1:21" x14ac:dyDescent="0.25">
      <c r="A615" t="s">
        <v>627</v>
      </c>
      <c r="B615" t="str">
        <f>_xlfn.XLOOKUP(Table1[[#This Row],[date]],Table8[date],Table8[id_date])</f>
        <v>TGL0832</v>
      </c>
      <c r="C615" s="1">
        <v>45726</v>
      </c>
      <c r="D615" s="1" t="str">
        <f>_xlfn.XLOOKUP(Table1[[#This Row],[customer_name]],Table11[customer_name],Table11[id_cust])</f>
        <v>CNA0174</v>
      </c>
      <c r="E615" t="s">
        <v>1079</v>
      </c>
      <c r="F615">
        <v>48</v>
      </c>
      <c r="G615" t="str">
        <f>_xlfn.XLOOKUP(Table1[[#This Row],[branch_name]],Table3[branch_name],Table3[id_branch])</f>
        <v>BRCH001</v>
      </c>
      <c r="H615" t="s">
        <v>1213</v>
      </c>
      <c r="I615" t="str">
        <f>_xlfn.XLOOKUP(Table1[[#This Row],[city]],Table4[city],Table4[id_city])</f>
        <v>KOA0102</v>
      </c>
      <c r="J615" t="s">
        <v>1218</v>
      </c>
      <c r="K615" t="str">
        <f>_xlfn.XLOOKUP(Table1[[#This Row],[menu_name]],Table5[menu_name],Table5[id_menu])</f>
        <v>MENU008</v>
      </c>
      <c r="L615" t="s">
        <v>1230</v>
      </c>
      <c r="M615" t="str">
        <f>_xlfn.XLOOKUP(Table1[[#This Row],[category]],Table6[category],Table6[id_category])</f>
        <v>KTG0205</v>
      </c>
      <c r="N615" t="s">
        <v>1233</v>
      </c>
      <c r="O615">
        <v>2</v>
      </c>
      <c r="P615">
        <v>20000</v>
      </c>
      <c r="Q615">
        <v>0</v>
      </c>
      <c r="R615">
        <v>2.2000000000000002</v>
      </c>
      <c r="S615" t="str">
        <f>_xlfn.XLOOKUP(Table1[[#This Row],[method]],Table7[method],Table7[id_method])</f>
        <v>PAY0711</v>
      </c>
      <c r="T615" t="s">
        <v>1238</v>
      </c>
      <c r="U615">
        <v>40000</v>
      </c>
    </row>
    <row r="616" spans="1:21" x14ac:dyDescent="0.25">
      <c r="A616" t="s">
        <v>628</v>
      </c>
      <c r="B616" t="str">
        <f>_xlfn.XLOOKUP(Table1[[#This Row],[date]],Table8[date],Table8[id_date])</f>
        <v>TGL0832</v>
      </c>
      <c r="C616" s="1">
        <v>45726</v>
      </c>
      <c r="D616" s="1" t="str">
        <f>_xlfn.XLOOKUP(Table1[[#This Row],[customer_name]],Table11[customer_name],Table11[id_cust])</f>
        <v>CNA0185</v>
      </c>
      <c r="E616" t="s">
        <v>1087</v>
      </c>
      <c r="F616">
        <v>22</v>
      </c>
      <c r="G616" t="str">
        <f>_xlfn.XLOOKUP(Table1[[#This Row],[branch_name]],Table3[branch_name],Table3[id_branch])</f>
        <v>BRCH003</v>
      </c>
      <c r="H616" t="s">
        <v>1215</v>
      </c>
      <c r="I616" t="str">
        <f>_xlfn.XLOOKUP(Table1[[#This Row],[city]],Table4[city],Table4[id_city])</f>
        <v>KOA0104</v>
      </c>
      <c r="J616" t="s">
        <v>1220</v>
      </c>
      <c r="K616" t="str">
        <f>_xlfn.XLOOKUP(Table1[[#This Row],[menu_name]],Table5[menu_name],Table5[id_menu])</f>
        <v>MENU008</v>
      </c>
      <c r="L616" t="s">
        <v>1230</v>
      </c>
      <c r="M616" t="str">
        <f>_xlfn.XLOOKUP(Table1[[#This Row],[category]],Table6[category],Table6[id_category])</f>
        <v>KTG0205</v>
      </c>
      <c r="N616" t="s">
        <v>1233</v>
      </c>
      <c r="O616">
        <v>5</v>
      </c>
      <c r="P616">
        <v>20000</v>
      </c>
      <c r="Q616">
        <v>0</v>
      </c>
      <c r="R616">
        <v>2.8</v>
      </c>
      <c r="S616" t="str">
        <f>_xlfn.XLOOKUP(Table1[[#This Row],[method]],Table7[method],Table7[id_method])</f>
        <v>PAY0710</v>
      </c>
      <c r="T616" t="s">
        <v>1237</v>
      </c>
      <c r="U616">
        <v>100000</v>
      </c>
    </row>
    <row r="617" spans="1:21" x14ac:dyDescent="0.25">
      <c r="A617" t="s">
        <v>629</v>
      </c>
      <c r="B617" t="str">
        <f>_xlfn.XLOOKUP(Table1[[#This Row],[date]],Table8[date],Table8[id_date])</f>
        <v>TGL0833</v>
      </c>
      <c r="C617" s="1">
        <v>45727</v>
      </c>
      <c r="D617" s="1" t="str">
        <f>_xlfn.XLOOKUP(Table1[[#This Row],[customer_name]],Table11[customer_name],Table11[id_cust])</f>
        <v>CNA0315</v>
      </c>
      <c r="E617" t="s">
        <v>1155</v>
      </c>
      <c r="F617">
        <v>51</v>
      </c>
      <c r="G617" t="str">
        <f>_xlfn.XLOOKUP(Table1[[#This Row],[branch_name]],Table3[branch_name],Table3[id_branch])</f>
        <v>BRCH005</v>
      </c>
      <c r="H617" t="s">
        <v>1217</v>
      </c>
      <c r="I617" t="str">
        <f>_xlfn.XLOOKUP(Table1[[#This Row],[city]],Table4[city],Table4[id_city])</f>
        <v>KOA0106</v>
      </c>
      <c r="J617" t="s">
        <v>1222</v>
      </c>
      <c r="K617" t="str">
        <f>_xlfn.XLOOKUP(Table1[[#This Row],[menu_name]],Table5[menu_name],Table5[id_menu])</f>
        <v>MENU009</v>
      </c>
      <c r="L617" t="s">
        <v>1231</v>
      </c>
      <c r="M617" t="str">
        <f>_xlfn.XLOOKUP(Table1[[#This Row],[category]],Table6[category],Table6[id_category])</f>
        <v>KTG0206</v>
      </c>
      <c r="N617" t="s">
        <v>1234</v>
      </c>
      <c r="O617">
        <v>5</v>
      </c>
      <c r="P617">
        <v>18000</v>
      </c>
      <c r="Q617">
        <v>10</v>
      </c>
      <c r="R617">
        <v>1.8</v>
      </c>
      <c r="S617" t="str">
        <f>_xlfn.XLOOKUP(Table1[[#This Row],[method]],Table7[method],Table7[id_method])</f>
        <v>PAY0711</v>
      </c>
      <c r="T617" t="s">
        <v>1238</v>
      </c>
      <c r="U617">
        <v>81000</v>
      </c>
    </row>
    <row r="618" spans="1:21" x14ac:dyDescent="0.25">
      <c r="A618" t="s">
        <v>630</v>
      </c>
      <c r="B618" t="str">
        <f>_xlfn.XLOOKUP(Table1[[#This Row],[date]],Table8[date],Table8[id_date])</f>
        <v>TGL0834</v>
      </c>
      <c r="C618" s="1">
        <v>45728</v>
      </c>
      <c r="D618" s="1" t="str">
        <f>_xlfn.XLOOKUP(Table1[[#This Row],[customer_name]],Table11[customer_name],Table11[id_cust])</f>
        <v>CNA0211</v>
      </c>
      <c r="E618" t="s">
        <v>1103</v>
      </c>
      <c r="F618">
        <v>49</v>
      </c>
      <c r="G618" t="str">
        <f>_xlfn.XLOOKUP(Table1[[#This Row],[branch_name]],Table3[branch_name],Table3[id_branch])</f>
        <v>BRCH003</v>
      </c>
      <c r="H618" t="s">
        <v>1215</v>
      </c>
      <c r="I618" t="str">
        <f>_xlfn.XLOOKUP(Table1[[#This Row],[city]],Table4[city],Table4[id_city])</f>
        <v>KOA0104</v>
      </c>
      <c r="J618" t="s">
        <v>1220</v>
      </c>
      <c r="K618" t="str">
        <f>_xlfn.XLOOKUP(Table1[[#This Row],[menu_name]],Table5[menu_name],Table5[id_menu])</f>
        <v>MENU009</v>
      </c>
      <c r="L618" t="s">
        <v>1231</v>
      </c>
      <c r="M618" t="str">
        <f>_xlfn.XLOOKUP(Table1[[#This Row],[category]],Table6[category],Table6[id_category])</f>
        <v>KTG0206</v>
      </c>
      <c r="N618" t="s">
        <v>1234</v>
      </c>
      <c r="O618">
        <v>2</v>
      </c>
      <c r="P618">
        <v>18000</v>
      </c>
      <c r="Q618">
        <v>5</v>
      </c>
      <c r="R618">
        <v>2</v>
      </c>
      <c r="S618" t="str">
        <f>_xlfn.XLOOKUP(Table1[[#This Row],[method]],Table7[method],Table7[id_method])</f>
        <v>PAY0711</v>
      </c>
      <c r="T618" t="s">
        <v>1238</v>
      </c>
      <c r="U618">
        <v>34200</v>
      </c>
    </row>
    <row r="619" spans="1:21" x14ac:dyDescent="0.25">
      <c r="A619" t="s">
        <v>631</v>
      </c>
      <c r="B619" t="str">
        <f>_xlfn.XLOOKUP(Table1[[#This Row],[date]],Table8[date],Table8[id_date])</f>
        <v>TGL0834</v>
      </c>
      <c r="C619" s="1">
        <v>45728</v>
      </c>
      <c r="D619" s="1" t="str">
        <f>_xlfn.XLOOKUP(Table1[[#This Row],[customer_name]],Table11[customer_name],Table11[id_cust])</f>
        <v>CNA0166</v>
      </c>
      <c r="E619" t="s">
        <v>1071</v>
      </c>
      <c r="F619">
        <v>48</v>
      </c>
      <c r="G619" t="str">
        <f>_xlfn.XLOOKUP(Table1[[#This Row],[branch_name]],Table3[branch_name],Table3[id_branch])</f>
        <v>BRCH004</v>
      </c>
      <c r="H619" t="s">
        <v>1216</v>
      </c>
      <c r="I619" t="str">
        <f>_xlfn.XLOOKUP(Table1[[#This Row],[city]],Table4[city],Table4[id_city])</f>
        <v>KOA0105</v>
      </c>
      <c r="J619" t="s">
        <v>1221</v>
      </c>
      <c r="K619" t="str">
        <f>_xlfn.XLOOKUP(Table1[[#This Row],[menu_name]],Table5[menu_name],Table5[id_menu])</f>
        <v>MENU006</v>
      </c>
      <c r="L619" t="s">
        <v>1228</v>
      </c>
      <c r="M619" t="str">
        <f>_xlfn.XLOOKUP(Table1[[#This Row],[category]],Table6[category],Table6[id_category])</f>
        <v>KTG0206</v>
      </c>
      <c r="N619" t="s">
        <v>1234</v>
      </c>
      <c r="O619">
        <v>4</v>
      </c>
      <c r="P619">
        <v>32000</v>
      </c>
      <c r="Q619">
        <v>0</v>
      </c>
      <c r="R619">
        <v>2.8</v>
      </c>
      <c r="S619" t="str">
        <f>_xlfn.XLOOKUP(Table1[[#This Row],[method]],Table7[method],Table7[id_method])</f>
        <v>PAY0709</v>
      </c>
      <c r="T619" t="s">
        <v>1236</v>
      </c>
      <c r="U619">
        <v>128000</v>
      </c>
    </row>
    <row r="620" spans="1:21" x14ac:dyDescent="0.25">
      <c r="A620" t="s">
        <v>632</v>
      </c>
      <c r="B620" t="str">
        <f>_xlfn.XLOOKUP(Table1[[#This Row],[date]],Table8[date],Table8[id_date])</f>
        <v>TGL0835</v>
      </c>
      <c r="C620" s="1">
        <v>45729</v>
      </c>
      <c r="D620" s="1" t="str">
        <f>_xlfn.XLOOKUP(Table1[[#This Row],[customer_name]],Table11[customer_name],Table11[id_cust])</f>
        <v>CNA0287</v>
      </c>
      <c r="E620" t="s">
        <v>1142</v>
      </c>
      <c r="F620">
        <v>31</v>
      </c>
      <c r="G620" t="str">
        <f>_xlfn.XLOOKUP(Table1[[#This Row],[branch_name]],Table3[branch_name],Table3[id_branch])</f>
        <v>BRCH002</v>
      </c>
      <c r="H620" t="s">
        <v>1214</v>
      </c>
      <c r="I620" t="str">
        <f>_xlfn.XLOOKUP(Table1[[#This Row],[city]],Table4[city],Table4[id_city])</f>
        <v>KOA0103</v>
      </c>
      <c r="J620" t="s">
        <v>1219</v>
      </c>
      <c r="K620" t="str">
        <f>_xlfn.XLOOKUP(Table1[[#This Row],[menu_name]],Table5[menu_name],Table5[id_menu])</f>
        <v>MENU005</v>
      </c>
      <c r="L620" t="s">
        <v>1227</v>
      </c>
      <c r="M620" t="str">
        <f>_xlfn.XLOOKUP(Table1[[#This Row],[category]],Table6[category],Table6[id_category])</f>
        <v>KTG0206</v>
      </c>
      <c r="N620" t="s">
        <v>1234</v>
      </c>
      <c r="O620">
        <v>2</v>
      </c>
      <c r="P620">
        <v>23000</v>
      </c>
      <c r="Q620">
        <v>10</v>
      </c>
      <c r="R620">
        <v>1.7</v>
      </c>
      <c r="S620" t="str">
        <f>_xlfn.XLOOKUP(Table1[[#This Row],[method]],Table7[method],Table7[id_method])</f>
        <v>PAY0710</v>
      </c>
      <c r="T620" t="s">
        <v>1237</v>
      </c>
      <c r="U620">
        <v>41400</v>
      </c>
    </row>
    <row r="621" spans="1:21" x14ac:dyDescent="0.25">
      <c r="A621" t="s">
        <v>633</v>
      </c>
      <c r="B621" t="str">
        <f>_xlfn.XLOOKUP(Table1[[#This Row],[date]],Table8[date],Table8[id_date])</f>
        <v>TGL0835</v>
      </c>
      <c r="C621" s="1">
        <v>45729</v>
      </c>
      <c r="D621" s="1" t="str">
        <f>_xlfn.XLOOKUP(Table1[[#This Row],[customer_name]],Table11[customer_name],Table11[id_cust])</f>
        <v>CNA0204</v>
      </c>
      <c r="E621" t="s">
        <v>1099</v>
      </c>
      <c r="F621">
        <v>40</v>
      </c>
      <c r="G621" t="str">
        <f>_xlfn.XLOOKUP(Table1[[#This Row],[branch_name]],Table3[branch_name],Table3[id_branch])</f>
        <v>BRCH004</v>
      </c>
      <c r="H621" t="s">
        <v>1216</v>
      </c>
      <c r="I621" t="str">
        <f>_xlfn.XLOOKUP(Table1[[#This Row],[city]],Table4[city],Table4[id_city])</f>
        <v>KOA0105</v>
      </c>
      <c r="J621" t="s">
        <v>1221</v>
      </c>
      <c r="K621" t="str">
        <f>_xlfn.XLOOKUP(Table1[[#This Row],[menu_name]],Table5[menu_name],Table5[id_menu])</f>
        <v>MENU008</v>
      </c>
      <c r="L621" t="s">
        <v>1230</v>
      </c>
      <c r="M621" t="str">
        <f>_xlfn.XLOOKUP(Table1[[#This Row],[category]],Table6[category],Table6[id_category])</f>
        <v>KTG0205</v>
      </c>
      <c r="N621" t="s">
        <v>1233</v>
      </c>
      <c r="O621">
        <v>4</v>
      </c>
      <c r="P621">
        <v>20000</v>
      </c>
      <c r="Q621">
        <v>20</v>
      </c>
      <c r="R621">
        <v>1.4</v>
      </c>
      <c r="S621" t="str">
        <f>_xlfn.XLOOKUP(Table1[[#This Row],[method]],Table7[method],Table7[id_method])</f>
        <v>PAY0712</v>
      </c>
      <c r="T621" t="s">
        <v>1239</v>
      </c>
      <c r="U621">
        <v>64000</v>
      </c>
    </row>
    <row r="622" spans="1:21" x14ac:dyDescent="0.25">
      <c r="A622" t="s">
        <v>634</v>
      </c>
      <c r="B622" t="str">
        <f>_xlfn.XLOOKUP(Table1[[#This Row],[date]],Table8[date],Table8[id_date])</f>
        <v>TGL0836</v>
      </c>
      <c r="C622" s="1">
        <v>45732</v>
      </c>
      <c r="D622" s="1" t="str">
        <f>_xlfn.XLOOKUP(Table1[[#This Row],[customer_name]],Table11[customer_name],Table11[id_cust])</f>
        <v>CNA0183</v>
      </c>
      <c r="E622" t="s">
        <v>1085</v>
      </c>
      <c r="F622">
        <v>54</v>
      </c>
      <c r="G622" t="str">
        <f>_xlfn.XLOOKUP(Table1[[#This Row],[branch_name]],Table3[branch_name],Table3[id_branch])</f>
        <v>BRCH002</v>
      </c>
      <c r="H622" t="s">
        <v>1214</v>
      </c>
      <c r="I622" t="str">
        <f>_xlfn.XLOOKUP(Table1[[#This Row],[city]],Table4[city],Table4[id_city])</f>
        <v>KOA0103</v>
      </c>
      <c r="J622" t="s">
        <v>1219</v>
      </c>
      <c r="K622" t="str">
        <f>_xlfn.XLOOKUP(Table1[[#This Row],[menu_name]],Table5[menu_name],Table5[id_menu])</f>
        <v>MENU006</v>
      </c>
      <c r="L622" t="s">
        <v>1228</v>
      </c>
      <c r="M622" t="str">
        <f>_xlfn.XLOOKUP(Table1[[#This Row],[category]],Table6[category],Table6[id_category])</f>
        <v>KTG0206</v>
      </c>
      <c r="N622" t="s">
        <v>1234</v>
      </c>
      <c r="O622">
        <v>2</v>
      </c>
      <c r="P622">
        <v>32000</v>
      </c>
      <c r="Q622">
        <v>15</v>
      </c>
      <c r="R622">
        <v>3.6</v>
      </c>
      <c r="S622" t="str">
        <f>_xlfn.XLOOKUP(Table1[[#This Row],[method]],Table7[method],Table7[id_method])</f>
        <v>PAY0711</v>
      </c>
      <c r="T622" t="s">
        <v>1238</v>
      </c>
      <c r="U622">
        <v>54400</v>
      </c>
    </row>
    <row r="623" spans="1:21" x14ac:dyDescent="0.25">
      <c r="A623" t="s">
        <v>635</v>
      </c>
      <c r="B623" t="str">
        <f>_xlfn.XLOOKUP(Table1[[#This Row],[date]],Table8[date],Table8[id_date])</f>
        <v>TGL0836</v>
      </c>
      <c r="C623" s="1">
        <v>45732</v>
      </c>
      <c r="D623" s="1" t="str">
        <f>_xlfn.XLOOKUP(Table1[[#This Row],[customer_name]],Table11[customer_name],Table11[id_cust])</f>
        <v>CNA0154</v>
      </c>
      <c r="E623" t="s">
        <v>1063</v>
      </c>
      <c r="F623">
        <v>44</v>
      </c>
      <c r="G623" t="str">
        <f>_xlfn.XLOOKUP(Table1[[#This Row],[branch_name]],Table3[branch_name],Table3[id_branch])</f>
        <v>BRCH004</v>
      </c>
      <c r="H623" t="s">
        <v>1216</v>
      </c>
      <c r="I623" t="str">
        <f>_xlfn.XLOOKUP(Table1[[#This Row],[city]],Table4[city],Table4[id_city])</f>
        <v>KOA0105</v>
      </c>
      <c r="J623" t="s">
        <v>1221</v>
      </c>
      <c r="K623" t="str">
        <f>_xlfn.XLOOKUP(Table1[[#This Row],[menu_name]],Table5[menu_name],Table5[id_menu])</f>
        <v>MENU010</v>
      </c>
      <c r="L623" t="s">
        <v>1232</v>
      </c>
      <c r="M623" t="str">
        <f>_xlfn.XLOOKUP(Table1[[#This Row],[category]],Table6[category],Table6[id_category])</f>
        <v>KTG0205</v>
      </c>
      <c r="N623" t="s">
        <v>1233</v>
      </c>
      <c r="O623">
        <v>3</v>
      </c>
      <c r="P623">
        <v>18000</v>
      </c>
      <c r="Q623">
        <v>0</v>
      </c>
      <c r="R623">
        <v>4.2</v>
      </c>
      <c r="S623" t="str">
        <f>_xlfn.XLOOKUP(Table1[[#This Row],[method]],Table7[method],Table7[id_method])</f>
        <v>PAY0711</v>
      </c>
      <c r="T623" t="s">
        <v>1238</v>
      </c>
      <c r="U623">
        <v>54000</v>
      </c>
    </row>
    <row r="624" spans="1:21" x14ac:dyDescent="0.25">
      <c r="A624" t="s">
        <v>636</v>
      </c>
      <c r="B624" t="str">
        <f>_xlfn.XLOOKUP(Table1[[#This Row],[date]],Table8[date],Table8[id_date])</f>
        <v>TGL0836</v>
      </c>
      <c r="C624" s="1">
        <v>45732</v>
      </c>
      <c r="D624" s="1" t="str">
        <f>_xlfn.XLOOKUP(Table1[[#This Row],[customer_name]],Table11[customer_name],Table11[id_cust])</f>
        <v>CNA0166</v>
      </c>
      <c r="E624" t="s">
        <v>1071</v>
      </c>
      <c r="F624">
        <v>48</v>
      </c>
      <c r="G624" t="str">
        <f>_xlfn.XLOOKUP(Table1[[#This Row],[branch_name]],Table3[branch_name],Table3[id_branch])</f>
        <v>BRCH002</v>
      </c>
      <c r="H624" t="s">
        <v>1214</v>
      </c>
      <c r="I624" t="str">
        <f>_xlfn.XLOOKUP(Table1[[#This Row],[city]],Table4[city],Table4[id_city])</f>
        <v>KOA0103</v>
      </c>
      <c r="J624" t="s">
        <v>1219</v>
      </c>
      <c r="K624" t="str">
        <f>_xlfn.XLOOKUP(Table1[[#This Row],[menu_name]],Table5[menu_name],Table5[id_menu])</f>
        <v>MENU010</v>
      </c>
      <c r="L624" t="s">
        <v>1232</v>
      </c>
      <c r="M624" t="str">
        <f>_xlfn.XLOOKUP(Table1[[#This Row],[category]],Table6[category],Table6[id_category])</f>
        <v>KTG0205</v>
      </c>
      <c r="N624" t="s">
        <v>1233</v>
      </c>
      <c r="O624">
        <v>3</v>
      </c>
      <c r="P624">
        <v>18000</v>
      </c>
      <c r="Q624">
        <v>0</v>
      </c>
      <c r="R624">
        <v>3.3</v>
      </c>
      <c r="S624" t="str">
        <f>_xlfn.XLOOKUP(Table1[[#This Row],[method]],Table7[method],Table7[id_method])</f>
        <v>PAY0711</v>
      </c>
      <c r="T624" t="s">
        <v>1238</v>
      </c>
      <c r="U624">
        <v>54000</v>
      </c>
    </row>
    <row r="625" spans="1:21" x14ac:dyDescent="0.25">
      <c r="A625" t="s">
        <v>637</v>
      </c>
      <c r="B625" t="str">
        <f>_xlfn.XLOOKUP(Table1[[#This Row],[date]],Table8[date],Table8[id_date])</f>
        <v>TGL0837</v>
      </c>
      <c r="C625" s="1">
        <v>45733</v>
      </c>
      <c r="D625" s="1" t="str">
        <f>_xlfn.XLOOKUP(Table1[[#This Row],[customer_name]],Table11[customer_name],Table11[id_cust])</f>
        <v>CNA0130</v>
      </c>
      <c r="E625" t="s">
        <v>1042</v>
      </c>
      <c r="F625">
        <v>33</v>
      </c>
      <c r="G625" t="str">
        <f>_xlfn.XLOOKUP(Table1[[#This Row],[branch_name]],Table3[branch_name],Table3[id_branch])</f>
        <v>BRCH001</v>
      </c>
      <c r="H625" t="s">
        <v>1213</v>
      </c>
      <c r="I625" t="str">
        <f>_xlfn.XLOOKUP(Table1[[#This Row],[city]],Table4[city],Table4[id_city])</f>
        <v>KOA0102</v>
      </c>
      <c r="J625" t="s">
        <v>1218</v>
      </c>
      <c r="K625" t="str">
        <f>_xlfn.XLOOKUP(Table1[[#This Row],[menu_name]],Table5[menu_name],Table5[id_menu])</f>
        <v>MENU002</v>
      </c>
      <c r="L625" t="s">
        <v>1224</v>
      </c>
      <c r="M625" t="str">
        <f>_xlfn.XLOOKUP(Table1[[#This Row],[category]],Table6[category],Table6[id_category])</f>
        <v>KTG0206</v>
      </c>
      <c r="N625" t="s">
        <v>1234</v>
      </c>
      <c r="O625">
        <v>3</v>
      </c>
      <c r="P625">
        <v>30000</v>
      </c>
      <c r="Q625">
        <v>0</v>
      </c>
      <c r="R625">
        <v>1.2</v>
      </c>
      <c r="S625" t="str">
        <f>_xlfn.XLOOKUP(Table1[[#This Row],[method]],Table7[method],Table7[id_method])</f>
        <v>PAY0710</v>
      </c>
      <c r="T625" t="s">
        <v>1237</v>
      </c>
      <c r="U625">
        <v>90000</v>
      </c>
    </row>
    <row r="626" spans="1:21" x14ac:dyDescent="0.25">
      <c r="A626" t="s">
        <v>638</v>
      </c>
      <c r="B626" t="str">
        <f>_xlfn.XLOOKUP(Table1[[#This Row],[date]],Table8[date],Table8[id_date])</f>
        <v>TGL0838</v>
      </c>
      <c r="C626" s="1">
        <v>45734</v>
      </c>
      <c r="D626" s="1" t="str">
        <f>_xlfn.XLOOKUP(Table1[[#This Row],[customer_name]],Table11[customer_name],Table11[id_cust])</f>
        <v>CNA0247</v>
      </c>
      <c r="E626" t="s">
        <v>1126</v>
      </c>
      <c r="F626">
        <v>19</v>
      </c>
      <c r="G626" t="str">
        <f>_xlfn.XLOOKUP(Table1[[#This Row],[branch_name]],Table3[branch_name],Table3[id_branch])</f>
        <v>BRCH003</v>
      </c>
      <c r="H626" t="s">
        <v>1215</v>
      </c>
      <c r="I626" t="str">
        <f>_xlfn.XLOOKUP(Table1[[#This Row],[city]],Table4[city],Table4[id_city])</f>
        <v>KOA0104</v>
      </c>
      <c r="J626" t="s">
        <v>1220</v>
      </c>
      <c r="K626" t="str">
        <f>_xlfn.XLOOKUP(Table1[[#This Row],[menu_name]],Table5[menu_name],Table5[id_menu])</f>
        <v>MENU007</v>
      </c>
      <c r="L626" t="s">
        <v>1229</v>
      </c>
      <c r="M626" t="str">
        <f>_xlfn.XLOOKUP(Table1[[#This Row],[category]],Table6[category],Table6[id_category])</f>
        <v>KTG0207</v>
      </c>
      <c r="N626" t="s">
        <v>1235</v>
      </c>
      <c r="O626">
        <v>4</v>
      </c>
      <c r="P626">
        <v>27000</v>
      </c>
      <c r="Q626">
        <v>5</v>
      </c>
      <c r="R626">
        <v>2.2000000000000002</v>
      </c>
      <c r="S626" t="str">
        <f>_xlfn.XLOOKUP(Table1[[#This Row],[method]],Table7[method],Table7[id_method])</f>
        <v>PAY0709</v>
      </c>
      <c r="T626" t="s">
        <v>1236</v>
      </c>
      <c r="U626">
        <v>102600</v>
      </c>
    </row>
    <row r="627" spans="1:21" x14ac:dyDescent="0.25">
      <c r="A627" t="s">
        <v>639</v>
      </c>
      <c r="B627" t="str">
        <f>_xlfn.XLOOKUP(Table1[[#This Row],[date]],Table8[date],Table8[id_date])</f>
        <v>TGL0838</v>
      </c>
      <c r="C627" s="1">
        <v>45734</v>
      </c>
      <c r="D627" s="1" t="str">
        <f>_xlfn.XLOOKUP(Table1[[#This Row],[customer_name]],Table11[customer_name],Table11[id_cust])</f>
        <v>CNA0185</v>
      </c>
      <c r="E627" t="s">
        <v>1087</v>
      </c>
      <c r="F627">
        <v>22</v>
      </c>
      <c r="G627" t="str">
        <f>_xlfn.XLOOKUP(Table1[[#This Row],[branch_name]],Table3[branch_name],Table3[id_branch])</f>
        <v>BRCH004</v>
      </c>
      <c r="H627" t="s">
        <v>1216</v>
      </c>
      <c r="I627" t="str">
        <f>_xlfn.XLOOKUP(Table1[[#This Row],[city]],Table4[city],Table4[id_city])</f>
        <v>KOA0105</v>
      </c>
      <c r="J627" t="s">
        <v>1221</v>
      </c>
      <c r="K627" t="str">
        <f>_xlfn.XLOOKUP(Table1[[#This Row],[menu_name]],Table5[menu_name],Table5[id_menu])</f>
        <v>MENU004</v>
      </c>
      <c r="L627" t="s">
        <v>1226</v>
      </c>
      <c r="M627" t="str">
        <f>_xlfn.XLOOKUP(Table1[[#This Row],[category]],Table6[category],Table6[id_category])</f>
        <v>KTG0207</v>
      </c>
      <c r="N627" t="s">
        <v>1235</v>
      </c>
      <c r="O627">
        <v>4</v>
      </c>
      <c r="P627">
        <v>28000</v>
      </c>
      <c r="Q627">
        <v>15</v>
      </c>
      <c r="R627">
        <v>2.1</v>
      </c>
      <c r="S627" t="str">
        <f>_xlfn.XLOOKUP(Table1[[#This Row],[method]],Table7[method],Table7[id_method])</f>
        <v>PAY0712</v>
      </c>
      <c r="T627" t="s">
        <v>1239</v>
      </c>
      <c r="U627">
        <v>95200</v>
      </c>
    </row>
    <row r="628" spans="1:21" x14ac:dyDescent="0.25">
      <c r="A628" t="s">
        <v>640</v>
      </c>
      <c r="B628" t="str">
        <f>_xlfn.XLOOKUP(Table1[[#This Row],[date]],Table8[date],Table8[id_date])</f>
        <v>TGL0839</v>
      </c>
      <c r="C628" s="1">
        <v>45735</v>
      </c>
      <c r="D628" s="1" t="str">
        <f>_xlfn.XLOOKUP(Table1[[#This Row],[customer_name]],Table11[customer_name],Table11[id_cust])</f>
        <v>CNA0727</v>
      </c>
      <c r="E628" t="s">
        <v>1201</v>
      </c>
      <c r="F628">
        <v>49</v>
      </c>
      <c r="G628" t="str">
        <f>_xlfn.XLOOKUP(Table1[[#This Row],[branch_name]],Table3[branch_name],Table3[id_branch])</f>
        <v>BRCH004</v>
      </c>
      <c r="H628" t="s">
        <v>1216</v>
      </c>
      <c r="I628" t="str">
        <f>_xlfn.XLOOKUP(Table1[[#This Row],[city]],Table4[city],Table4[id_city])</f>
        <v>KOA0105</v>
      </c>
      <c r="J628" t="s">
        <v>1221</v>
      </c>
      <c r="K628" t="str">
        <f>_xlfn.XLOOKUP(Table1[[#This Row],[menu_name]],Table5[menu_name],Table5[id_menu])</f>
        <v>MENU004</v>
      </c>
      <c r="L628" t="s">
        <v>1226</v>
      </c>
      <c r="M628" t="str">
        <f>_xlfn.XLOOKUP(Table1[[#This Row],[category]],Table6[category],Table6[id_category])</f>
        <v>KTG0207</v>
      </c>
      <c r="N628" t="s">
        <v>1235</v>
      </c>
      <c r="O628">
        <v>4</v>
      </c>
      <c r="P628">
        <v>28000</v>
      </c>
      <c r="Q628">
        <v>15</v>
      </c>
      <c r="R628">
        <v>1.4</v>
      </c>
      <c r="S628" t="str">
        <f>_xlfn.XLOOKUP(Table1[[#This Row],[method]],Table7[method],Table7[id_method])</f>
        <v>PAY0709</v>
      </c>
      <c r="T628" t="s">
        <v>1236</v>
      </c>
      <c r="U628">
        <v>95200</v>
      </c>
    </row>
    <row r="629" spans="1:21" x14ac:dyDescent="0.25">
      <c r="A629" t="s">
        <v>641</v>
      </c>
      <c r="B629" t="str">
        <f>_xlfn.XLOOKUP(Table1[[#This Row],[date]],Table8[date],Table8[id_date])</f>
        <v>TGL0840</v>
      </c>
      <c r="C629" s="1">
        <v>45736</v>
      </c>
      <c r="D629" s="1" t="str">
        <f>_xlfn.XLOOKUP(Table1[[#This Row],[customer_name]],Table11[customer_name],Table11[id_cust])</f>
        <v>CNA0136</v>
      </c>
      <c r="E629" t="s">
        <v>1047</v>
      </c>
      <c r="F629">
        <v>31</v>
      </c>
      <c r="G629" t="str">
        <f>_xlfn.XLOOKUP(Table1[[#This Row],[branch_name]],Table3[branch_name],Table3[id_branch])</f>
        <v>BRCH003</v>
      </c>
      <c r="H629" t="s">
        <v>1215</v>
      </c>
      <c r="I629" t="str">
        <f>_xlfn.XLOOKUP(Table1[[#This Row],[city]],Table4[city],Table4[id_city])</f>
        <v>KOA0104</v>
      </c>
      <c r="J629" t="s">
        <v>1220</v>
      </c>
      <c r="K629" t="str">
        <f>_xlfn.XLOOKUP(Table1[[#This Row],[menu_name]],Table5[menu_name],Table5[id_menu])</f>
        <v>MENU002</v>
      </c>
      <c r="L629" t="s">
        <v>1224</v>
      </c>
      <c r="M629" t="str">
        <f>_xlfn.XLOOKUP(Table1[[#This Row],[category]],Table6[category],Table6[id_category])</f>
        <v>KTG0206</v>
      </c>
      <c r="N629" t="s">
        <v>1234</v>
      </c>
      <c r="O629">
        <v>3</v>
      </c>
      <c r="P629">
        <v>30000</v>
      </c>
      <c r="Q629">
        <v>20</v>
      </c>
      <c r="R629">
        <v>1</v>
      </c>
      <c r="S629" t="str">
        <f>_xlfn.XLOOKUP(Table1[[#This Row],[method]],Table7[method],Table7[id_method])</f>
        <v>PAY0710</v>
      </c>
      <c r="T629" t="s">
        <v>1237</v>
      </c>
      <c r="U629">
        <v>72000</v>
      </c>
    </row>
    <row r="630" spans="1:21" x14ac:dyDescent="0.25">
      <c r="A630" t="s">
        <v>642</v>
      </c>
      <c r="B630" t="str">
        <f>_xlfn.XLOOKUP(Table1[[#This Row],[date]],Table8[date],Table8[id_date])</f>
        <v>TGL0840</v>
      </c>
      <c r="C630" s="1">
        <v>45736</v>
      </c>
      <c r="D630" s="1" t="str">
        <f>_xlfn.XLOOKUP(Table1[[#This Row],[customer_name]],Table11[customer_name],Table11[id_cust])</f>
        <v>CNA0342</v>
      </c>
      <c r="E630" t="s">
        <v>1162</v>
      </c>
      <c r="F630">
        <v>35</v>
      </c>
      <c r="G630" t="str">
        <f>_xlfn.XLOOKUP(Table1[[#This Row],[branch_name]],Table3[branch_name],Table3[id_branch])</f>
        <v>BRCH001</v>
      </c>
      <c r="H630" t="s">
        <v>1213</v>
      </c>
      <c r="I630" t="str">
        <f>_xlfn.XLOOKUP(Table1[[#This Row],[city]],Table4[city],Table4[id_city])</f>
        <v>KOA0102</v>
      </c>
      <c r="J630" t="s">
        <v>1218</v>
      </c>
      <c r="K630" t="str">
        <f>_xlfn.XLOOKUP(Table1[[#This Row],[menu_name]],Table5[menu_name],Table5[id_menu])</f>
        <v>MENU008</v>
      </c>
      <c r="L630" t="s">
        <v>1230</v>
      </c>
      <c r="M630" t="str">
        <f>_xlfn.XLOOKUP(Table1[[#This Row],[category]],Table6[category],Table6[id_category])</f>
        <v>KTG0205</v>
      </c>
      <c r="N630" t="s">
        <v>1233</v>
      </c>
      <c r="O630">
        <v>2</v>
      </c>
      <c r="P630">
        <v>20000</v>
      </c>
      <c r="Q630">
        <v>20</v>
      </c>
      <c r="R630">
        <v>1.1000000000000001</v>
      </c>
      <c r="S630" t="str">
        <f>_xlfn.XLOOKUP(Table1[[#This Row],[method]],Table7[method],Table7[id_method])</f>
        <v>PAY0710</v>
      </c>
      <c r="T630" t="s">
        <v>1237</v>
      </c>
      <c r="U630">
        <v>32000</v>
      </c>
    </row>
    <row r="631" spans="1:21" x14ac:dyDescent="0.25">
      <c r="A631" t="s">
        <v>643</v>
      </c>
      <c r="B631" t="str">
        <f>_xlfn.XLOOKUP(Table1[[#This Row],[date]],Table8[date],Table8[id_date])</f>
        <v>TGL0841</v>
      </c>
      <c r="C631" s="1">
        <v>45737</v>
      </c>
      <c r="D631" s="1" t="str">
        <f>_xlfn.XLOOKUP(Table1[[#This Row],[customer_name]],Table11[customer_name],Table11[id_cust])</f>
        <v>CNA0215</v>
      </c>
      <c r="E631" t="s">
        <v>1106</v>
      </c>
      <c r="F631">
        <v>52</v>
      </c>
      <c r="G631" t="str">
        <f>_xlfn.XLOOKUP(Table1[[#This Row],[branch_name]],Table3[branch_name],Table3[id_branch])</f>
        <v>BRCH003</v>
      </c>
      <c r="H631" t="s">
        <v>1215</v>
      </c>
      <c r="I631" t="str">
        <f>_xlfn.XLOOKUP(Table1[[#This Row],[city]],Table4[city],Table4[id_city])</f>
        <v>KOA0104</v>
      </c>
      <c r="J631" t="s">
        <v>1220</v>
      </c>
      <c r="K631" t="str">
        <f>_xlfn.XLOOKUP(Table1[[#This Row],[menu_name]],Table5[menu_name],Table5[id_menu])</f>
        <v>MENU008</v>
      </c>
      <c r="L631" t="s">
        <v>1230</v>
      </c>
      <c r="M631" t="str">
        <f>_xlfn.XLOOKUP(Table1[[#This Row],[category]],Table6[category],Table6[id_category])</f>
        <v>KTG0205</v>
      </c>
      <c r="N631" t="s">
        <v>1233</v>
      </c>
      <c r="O631">
        <v>5</v>
      </c>
      <c r="P631">
        <v>20000</v>
      </c>
      <c r="Q631">
        <v>0</v>
      </c>
      <c r="R631">
        <v>1.9</v>
      </c>
      <c r="S631" t="str">
        <f>_xlfn.XLOOKUP(Table1[[#This Row],[method]],Table7[method],Table7[id_method])</f>
        <v>PAY0709</v>
      </c>
      <c r="T631" t="s">
        <v>1236</v>
      </c>
      <c r="U631">
        <v>100000</v>
      </c>
    </row>
    <row r="632" spans="1:21" x14ac:dyDescent="0.25">
      <c r="A632" t="s">
        <v>644</v>
      </c>
      <c r="B632" t="str">
        <f>_xlfn.XLOOKUP(Table1[[#This Row],[date]],Table8[date],Table8[id_date])</f>
        <v>TGL0841</v>
      </c>
      <c r="C632" s="1">
        <v>45737</v>
      </c>
      <c r="D632" s="1" t="str">
        <f>_xlfn.XLOOKUP(Table1[[#This Row],[customer_name]],Table11[customer_name],Table11[id_cust])</f>
        <v>CNA0357</v>
      </c>
      <c r="E632" t="s">
        <v>1166</v>
      </c>
      <c r="F632">
        <v>25</v>
      </c>
      <c r="G632" t="str">
        <f>_xlfn.XLOOKUP(Table1[[#This Row],[branch_name]],Table3[branch_name],Table3[id_branch])</f>
        <v>BRCH003</v>
      </c>
      <c r="H632" t="s">
        <v>1215</v>
      </c>
      <c r="I632" t="str">
        <f>_xlfn.XLOOKUP(Table1[[#This Row],[city]],Table4[city],Table4[id_city])</f>
        <v>KOA0104</v>
      </c>
      <c r="J632" t="s">
        <v>1220</v>
      </c>
      <c r="K632" t="str">
        <f>_xlfn.XLOOKUP(Table1[[#This Row],[menu_name]],Table5[menu_name],Table5[id_menu])</f>
        <v>MENU007</v>
      </c>
      <c r="L632" t="s">
        <v>1229</v>
      </c>
      <c r="M632" t="str">
        <f>_xlfn.XLOOKUP(Table1[[#This Row],[category]],Table6[category],Table6[id_category])</f>
        <v>KTG0207</v>
      </c>
      <c r="N632" t="s">
        <v>1235</v>
      </c>
      <c r="O632">
        <v>3</v>
      </c>
      <c r="P632">
        <v>27000</v>
      </c>
      <c r="Q632">
        <v>15</v>
      </c>
      <c r="R632">
        <v>4</v>
      </c>
      <c r="S632" t="str">
        <f>_xlfn.XLOOKUP(Table1[[#This Row],[method]],Table7[method],Table7[id_method])</f>
        <v>PAY0710</v>
      </c>
      <c r="T632" t="s">
        <v>1237</v>
      </c>
      <c r="U632">
        <v>68850</v>
      </c>
    </row>
    <row r="633" spans="1:21" x14ac:dyDescent="0.25">
      <c r="A633" t="s">
        <v>645</v>
      </c>
      <c r="B633" t="str">
        <f>_xlfn.XLOOKUP(Table1[[#This Row],[date]],Table8[date],Table8[id_date])</f>
        <v>TGL0842</v>
      </c>
      <c r="C633" s="1">
        <v>45738</v>
      </c>
      <c r="D633" s="1" t="str">
        <f>_xlfn.XLOOKUP(Table1[[#This Row],[customer_name]],Table11[customer_name],Table11[id_cust])</f>
        <v>CNA0177</v>
      </c>
      <c r="E633" t="s">
        <v>1082</v>
      </c>
      <c r="F633">
        <v>38</v>
      </c>
      <c r="G633" t="str">
        <f>_xlfn.XLOOKUP(Table1[[#This Row],[branch_name]],Table3[branch_name],Table3[id_branch])</f>
        <v>BRCH004</v>
      </c>
      <c r="H633" t="s">
        <v>1216</v>
      </c>
      <c r="I633" t="str">
        <f>_xlfn.XLOOKUP(Table1[[#This Row],[city]],Table4[city],Table4[id_city])</f>
        <v>KOA0105</v>
      </c>
      <c r="J633" t="s">
        <v>1221</v>
      </c>
      <c r="K633" t="str">
        <f>_xlfn.XLOOKUP(Table1[[#This Row],[menu_name]],Table5[menu_name],Table5[id_menu])</f>
        <v>MENU001</v>
      </c>
      <c r="L633" t="s">
        <v>1223</v>
      </c>
      <c r="M633" t="str">
        <f>_xlfn.XLOOKUP(Table1[[#This Row],[category]],Table6[category],Table6[id_category])</f>
        <v>KTG0205</v>
      </c>
      <c r="N633" t="s">
        <v>1233</v>
      </c>
      <c r="O633">
        <v>1</v>
      </c>
      <c r="P633">
        <v>25000</v>
      </c>
      <c r="Q633">
        <v>0</v>
      </c>
      <c r="R633">
        <v>4.2</v>
      </c>
      <c r="S633" t="str">
        <f>_xlfn.XLOOKUP(Table1[[#This Row],[method]],Table7[method],Table7[id_method])</f>
        <v>PAY0709</v>
      </c>
      <c r="T633" t="s">
        <v>1236</v>
      </c>
      <c r="U633">
        <v>25000</v>
      </c>
    </row>
    <row r="634" spans="1:21" x14ac:dyDescent="0.25">
      <c r="A634" t="s">
        <v>646</v>
      </c>
      <c r="B634" t="str">
        <f>_xlfn.XLOOKUP(Table1[[#This Row],[date]],Table8[date],Table8[id_date])</f>
        <v>TGL0842</v>
      </c>
      <c r="C634" s="1">
        <v>45738</v>
      </c>
      <c r="D634" s="1" t="str">
        <f>_xlfn.XLOOKUP(Table1[[#This Row],[customer_name]],Table11[customer_name],Table11[id_cust])</f>
        <v>CNA0185</v>
      </c>
      <c r="E634" t="s">
        <v>1087</v>
      </c>
      <c r="F634">
        <v>22</v>
      </c>
      <c r="G634" t="str">
        <f>_xlfn.XLOOKUP(Table1[[#This Row],[branch_name]],Table3[branch_name],Table3[id_branch])</f>
        <v>BRCH004</v>
      </c>
      <c r="H634" t="s">
        <v>1216</v>
      </c>
      <c r="I634" t="str">
        <f>_xlfn.XLOOKUP(Table1[[#This Row],[city]],Table4[city],Table4[id_city])</f>
        <v>KOA0105</v>
      </c>
      <c r="J634" t="s">
        <v>1221</v>
      </c>
      <c r="K634" t="str">
        <f>_xlfn.XLOOKUP(Table1[[#This Row],[menu_name]],Table5[menu_name],Table5[id_menu])</f>
        <v>MENU008</v>
      </c>
      <c r="L634" t="s">
        <v>1230</v>
      </c>
      <c r="M634" t="str">
        <f>_xlfn.XLOOKUP(Table1[[#This Row],[category]],Table6[category],Table6[id_category])</f>
        <v>KTG0205</v>
      </c>
      <c r="N634" t="s">
        <v>1233</v>
      </c>
      <c r="O634">
        <v>1</v>
      </c>
      <c r="P634">
        <v>20000</v>
      </c>
      <c r="Q634">
        <v>0</v>
      </c>
      <c r="R634">
        <v>2.8</v>
      </c>
      <c r="S634" t="str">
        <f>_xlfn.XLOOKUP(Table1[[#This Row],[method]],Table7[method],Table7[id_method])</f>
        <v>PAY0709</v>
      </c>
      <c r="T634" t="s">
        <v>1236</v>
      </c>
      <c r="U634">
        <v>20000</v>
      </c>
    </row>
    <row r="635" spans="1:21" x14ac:dyDescent="0.25">
      <c r="A635" t="s">
        <v>647</v>
      </c>
      <c r="B635" t="str">
        <f>_xlfn.XLOOKUP(Table1[[#This Row],[date]],Table8[date],Table8[id_date])</f>
        <v>TGL0843</v>
      </c>
      <c r="C635" s="1">
        <v>45739</v>
      </c>
      <c r="D635" s="1" t="str">
        <f>_xlfn.XLOOKUP(Table1[[#This Row],[customer_name]],Table11[customer_name],Table11[id_cust])</f>
        <v>CNA0115</v>
      </c>
      <c r="E635" t="s">
        <v>1028</v>
      </c>
      <c r="F635">
        <v>46</v>
      </c>
      <c r="G635" t="str">
        <f>_xlfn.XLOOKUP(Table1[[#This Row],[branch_name]],Table3[branch_name],Table3[id_branch])</f>
        <v>BRCH002</v>
      </c>
      <c r="H635" t="s">
        <v>1214</v>
      </c>
      <c r="I635" t="str">
        <f>_xlfn.XLOOKUP(Table1[[#This Row],[city]],Table4[city],Table4[id_city])</f>
        <v>KOA0103</v>
      </c>
      <c r="J635" t="s">
        <v>1219</v>
      </c>
      <c r="K635" t="str">
        <f>_xlfn.XLOOKUP(Table1[[#This Row],[menu_name]],Table5[menu_name],Table5[id_menu])</f>
        <v>MENU001</v>
      </c>
      <c r="L635" t="s">
        <v>1223</v>
      </c>
      <c r="M635" t="str">
        <f>_xlfn.XLOOKUP(Table1[[#This Row],[category]],Table6[category],Table6[id_category])</f>
        <v>KTG0205</v>
      </c>
      <c r="N635" t="s">
        <v>1233</v>
      </c>
      <c r="O635">
        <v>3</v>
      </c>
      <c r="P635">
        <v>25000</v>
      </c>
      <c r="Q635">
        <v>0</v>
      </c>
      <c r="R635">
        <v>4.2</v>
      </c>
      <c r="S635" t="str">
        <f>_xlfn.XLOOKUP(Table1[[#This Row],[method]],Table7[method],Table7[id_method])</f>
        <v>PAY0711</v>
      </c>
      <c r="T635" t="s">
        <v>1238</v>
      </c>
      <c r="U635">
        <v>75000</v>
      </c>
    </row>
    <row r="636" spans="1:21" x14ac:dyDescent="0.25">
      <c r="A636" t="s">
        <v>648</v>
      </c>
      <c r="B636" t="str">
        <f>_xlfn.XLOOKUP(Table1[[#This Row],[date]],Table8[date],Table8[id_date])</f>
        <v>TGL0844</v>
      </c>
      <c r="C636" s="1">
        <v>45740</v>
      </c>
      <c r="D636" s="1" t="str">
        <f>_xlfn.XLOOKUP(Table1[[#This Row],[customer_name]],Table11[customer_name],Table11[id_cust])</f>
        <v>CNA0152</v>
      </c>
      <c r="E636" t="s">
        <v>1061</v>
      </c>
      <c r="F636">
        <v>49</v>
      </c>
      <c r="G636" t="str">
        <f>_xlfn.XLOOKUP(Table1[[#This Row],[branch_name]],Table3[branch_name],Table3[id_branch])</f>
        <v>BRCH005</v>
      </c>
      <c r="H636" t="s">
        <v>1217</v>
      </c>
      <c r="I636" t="str">
        <f>_xlfn.XLOOKUP(Table1[[#This Row],[city]],Table4[city],Table4[id_city])</f>
        <v>KOA0106</v>
      </c>
      <c r="J636" t="s">
        <v>1222</v>
      </c>
      <c r="K636" t="str">
        <f>_xlfn.XLOOKUP(Table1[[#This Row],[menu_name]],Table5[menu_name],Table5[id_menu])</f>
        <v>MENU010</v>
      </c>
      <c r="L636" t="s">
        <v>1232</v>
      </c>
      <c r="M636" t="str">
        <f>_xlfn.XLOOKUP(Table1[[#This Row],[category]],Table6[category],Table6[id_category])</f>
        <v>KTG0205</v>
      </c>
      <c r="N636" t="s">
        <v>1233</v>
      </c>
      <c r="O636">
        <v>4</v>
      </c>
      <c r="P636">
        <v>18000</v>
      </c>
      <c r="Q636">
        <v>0</v>
      </c>
      <c r="R636">
        <v>1.7</v>
      </c>
      <c r="S636" t="str">
        <f>_xlfn.XLOOKUP(Table1[[#This Row],[method]],Table7[method],Table7[id_method])</f>
        <v>PAY0709</v>
      </c>
      <c r="T636" t="s">
        <v>1236</v>
      </c>
      <c r="U636">
        <v>72000</v>
      </c>
    </row>
    <row r="637" spans="1:21" x14ac:dyDescent="0.25">
      <c r="A637" t="s">
        <v>649</v>
      </c>
      <c r="B637" t="str">
        <f>_xlfn.XLOOKUP(Table1[[#This Row],[date]],Table8[date],Table8[id_date])</f>
        <v>TGL0845</v>
      </c>
      <c r="C637" s="1">
        <v>45741</v>
      </c>
      <c r="D637" s="1" t="str">
        <f>_xlfn.XLOOKUP(Table1[[#This Row],[customer_name]],Table11[customer_name],Table11[id_cust])</f>
        <v>CNA0128</v>
      </c>
      <c r="E637" t="s">
        <v>1040</v>
      </c>
      <c r="F637">
        <v>36</v>
      </c>
      <c r="G637" t="str">
        <f>_xlfn.XLOOKUP(Table1[[#This Row],[branch_name]],Table3[branch_name],Table3[id_branch])</f>
        <v>BRCH005</v>
      </c>
      <c r="H637" t="s">
        <v>1217</v>
      </c>
      <c r="I637" t="str">
        <f>_xlfn.XLOOKUP(Table1[[#This Row],[city]],Table4[city],Table4[id_city])</f>
        <v>KOA0106</v>
      </c>
      <c r="J637" t="s">
        <v>1222</v>
      </c>
      <c r="K637" t="str">
        <f>_xlfn.XLOOKUP(Table1[[#This Row],[menu_name]],Table5[menu_name],Table5[id_menu])</f>
        <v>MENU001</v>
      </c>
      <c r="L637" t="s">
        <v>1223</v>
      </c>
      <c r="M637" t="str">
        <f>_xlfn.XLOOKUP(Table1[[#This Row],[category]],Table6[category],Table6[id_category])</f>
        <v>KTG0205</v>
      </c>
      <c r="N637" t="s">
        <v>1233</v>
      </c>
      <c r="O637">
        <v>3</v>
      </c>
      <c r="P637">
        <v>25000</v>
      </c>
      <c r="Q637">
        <v>10</v>
      </c>
      <c r="R637">
        <v>3</v>
      </c>
      <c r="S637" t="str">
        <f>_xlfn.XLOOKUP(Table1[[#This Row],[method]],Table7[method],Table7[id_method])</f>
        <v>PAY0710</v>
      </c>
      <c r="T637" t="s">
        <v>1237</v>
      </c>
      <c r="U637">
        <v>67500</v>
      </c>
    </row>
    <row r="638" spans="1:21" x14ac:dyDescent="0.25">
      <c r="A638" t="s">
        <v>650</v>
      </c>
      <c r="B638" t="str">
        <f>_xlfn.XLOOKUP(Table1[[#This Row],[date]],Table8[date],Table8[id_date])</f>
        <v>TGL0845</v>
      </c>
      <c r="C638" s="1">
        <v>45741</v>
      </c>
      <c r="D638" s="1" t="str">
        <f>_xlfn.XLOOKUP(Table1[[#This Row],[customer_name]],Table11[customer_name],Table11[id_cust])</f>
        <v>CNA0168</v>
      </c>
      <c r="E638" t="s">
        <v>1073</v>
      </c>
      <c r="F638">
        <v>37</v>
      </c>
      <c r="G638" t="str">
        <f>_xlfn.XLOOKUP(Table1[[#This Row],[branch_name]],Table3[branch_name],Table3[id_branch])</f>
        <v>BRCH002</v>
      </c>
      <c r="H638" t="s">
        <v>1214</v>
      </c>
      <c r="I638" t="str">
        <f>_xlfn.XLOOKUP(Table1[[#This Row],[city]],Table4[city],Table4[id_city])</f>
        <v>KOA0103</v>
      </c>
      <c r="J638" t="s">
        <v>1219</v>
      </c>
      <c r="K638" t="str">
        <f>_xlfn.XLOOKUP(Table1[[#This Row],[menu_name]],Table5[menu_name],Table5[id_menu])</f>
        <v>MENU010</v>
      </c>
      <c r="L638" t="s">
        <v>1232</v>
      </c>
      <c r="M638" t="str">
        <f>_xlfn.XLOOKUP(Table1[[#This Row],[category]],Table6[category],Table6[id_category])</f>
        <v>KTG0205</v>
      </c>
      <c r="N638" t="s">
        <v>1233</v>
      </c>
      <c r="O638">
        <v>5</v>
      </c>
      <c r="P638">
        <v>18000</v>
      </c>
      <c r="Q638">
        <v>10</v>
      </c>
      <c r="R638">
        <v>4.5</v>
      </c>
      <c r="S638" t="str">
        <f>_xlfn.XLOOKUP(Table1[[#This Row],[method]],Table7[method],Table7[id_method])</f>
        <v>PAY0709</v>
      </c>
      <c r="T638" t="s">
        <v>1236</v>
      </c>
      <c r="U638">
        <v>81000</v>
      </c>
    </row>
    <row r="639" spans="1:21" x14ac:dyDescent="0.25">
      <c r="A639" t="s">
        <v>651</v>
      </c>
      <c r="B639" t="str">
        <f>_xlfn.XLOOKUP(Table1[[#This Row],[date]],Table8[date],Table8[id_date])</f>
        <v>TGL0846</v>
      </c>
      <c r="C639" s="1">
        <v>45742</v>
      </c>
      <c r="D639" s="1" t="str">
        <f>_xlfn.XLOOKUP(Table1[[#This Row],[customer_name]],Table11[customer_name],Table11[id_cust])</f>
        <v>CNA0284</v>
      </c>
      <c r="E639" t="s">
        <v>1141</v>
      </c>
      <c r="F639">
        <v>21</v>
      </c>
      <c r="G639" t="str">
        <f>_xlfn.XLOOKUP(Table1[[#This Row],[branch_name]],Table3[branch_name],Table3[id_branch])</f>
        <v>BRCH002</v>
      </c>
      <c r="H639" t="s">
        <v>1214</v>
      </c>
      <c r="I639" t="str">
        <f>_xlfn.XLOOKUP(Table1[[#This Row],[city]],Table4[city],Table4[id_city])</f>
        <v>KOA0103</v>
      </c>
      <c r="J639" t="s">
        <v>1219</v>
      </c>
      <c r="K639" t="str">
        <f>_xlfn.XLOOKUP(Table1[[#This Row],[menu_name]],Table5[menu_name],Table5[id_menu])</f>
        <v>MENU004</v>
      </c>
      <c r="L639" t="s">
        <v>1226</v>
      </c>
      <c r="M639" t="str">
        <f>_xlfn.XLOOKUP(Table1[[#This Row],[category]],Table6[category],Table6[id_category])</f>
        <v>KTG0207</v>
      </c>
      <c r="N639" t="s">
        <v>1235</v>
      </c>
      <c r="O639">
        <v>3</v>
      </c>
      <c r="P639">
        <v>28000</v>
      </c>
      <c r="Q639">
        <v>0</v>
      </c>
      <c r="R639">
        <v>4.5</v>
      </c>
      <c r="S639" t="str">
        <f>_xlfn.XLOOKUP(Table1[[#This Row],[method]],Table7[method],Table7[id_method])</f>
        <v>PAY0710</v>
      </c>
      <c r="T639" t="s">
        <v>1237</v>
      </c>
      <c r="U639">
        <v>84000</v>
      </c>
    </row>
    <row r="640" spans="1:21" x14ac:dyDescent="0.25">
      <c r="A640" t="s">
        <v>652</v>
      </c>
      <c r="B640" t="str">
        <f>_xlfn.XLOOKUP(Table1[[#This Row],[date]],Table8[date],Table8[id_date])</f>
        <v>TGL0847</v>
      </c>
      <c r="C640" s="1">
        <v>45743</v>
      </c>
      <c r="D640" s="1" t="str">
        <f>_xlfn.XLOOKUP(Table1[[#This Row],[customer_name]],Table11[customer_name],Table11[id_cust])</f>
        <v>CNA0245</v>
      </c>
      <c r="E640" t="s">
        <v>1125</v>
      </c>
      <c r="F640">
        <v>40</v>
      </c>
      <c r="G640" t="str">
        <f>_xlfn.XLOOKUP(Table1[[#This Row],[branch_name]],Table3[branch_name],Table3[id_branch])</f>
        <v>BRCH001</v>
      </c>
      <c r="H640" t="s">
        <v>1213</v>
      </c>
      <c r="I640" t="str">
        <f>_xlfn.XLOOKUP(Table1[[#This Row],[city]],Table4[city],Table4[id_city])</f>
        <v>KOA0102</v>
      </c>
      <c r="J640" t="s">
        <v>1218</v>
      </c>
      <c r="K640" t="str">
        <f>_xlfn.XLOOKUP(Table1[[#This Row],[menu_name]],Table5[menu_name],Table5[id_menu])</f>
        <v>MENU010</v>
      </c>
      <c r="L640" t="s">
        <v>1232</v>
      </c>
      <c r="M640" t="str">
        <f>_xlfn.XLOOKUP(Table1[[#This Row],[category]],Table6[category],Table6[id_category])</f>
        <v>KTG0205</v>
      </c>
      <c r="N640" t="s">
        <v>1233</v>
      </c>
      <c r="O640">
        <v>4</v>
      </c>
      <c r="P640">
        <v>18000</v>
      </c>
      <c r="Q640">
        <v>5</v>
      </c>
      <c r="R640">
        <v>3.1</v>
      </c>
      <c r="S640" t="str">
        <f>_xlfn.XLOOKUP(Table1[[#This Row],[method]],Table7[method],Table7[id_method])</f>
        <v>PAY0712</v>
      </c>
      <c r="T640" t="s">
        <v>1239</v>
      </c>
      <c r="U640">
        <v>68400</v>
      </c>
    </row>
    <row r="641" spans="1:21" x14ac:dyDescent="0.25">
      <c r="A641" t="s">
        <v>653</v>
      </c>
      <c r="B641" t="str">
        <f>_xlfn.XLOOKUP(Table1[[#This Row],[date]],Table8[date],Table8[id_date])</f>
        <v>TGL0848</v>
      </c>
      <c r="C641" s="1">
        <v>45744</v>
      </c>
      <c r="D641" s="1" t="str">
        <f>_xlfn.XLOOKUP(Table1[[#This Row],[customer_name]],Table11[customer_name],Table11[id_cust])</f>
        <v>CNA0219</v>
      </c>
      <c r="E641" t="s">
        <v>1108</v>
      </c>
      <c r="F641">
        <v>23</v>
      </c>
      <c r="G641" t="str">
        <f>_xlfn.XLOOKUP(Table1[[#This Row],[branch_name]],Table3[branch_name],Table3[id_branch])</f>
        <v>BRCH004</v>
      </c>
      <c r="H641" t="s">
        <v>1216</v>
      </c>
      <c r="I641" t="str">
        <f>_xlfn.XLOOKUP(Table1[[#This Row],[city]],Table4[city],Table4[id_city])</f>
        <v>KOA0105</v>
      </c>
      <c r="J641" t="s">
        <v>1221</v>
      </c>
      <c r="K641" t="str">
        <f>_xlfn.XLOOKUP(Table1[[#This Row],[menu_name]],Table5[menu_name],Table5[id_menu])</f>
        <v>MENU007</v>
      </c>
      <c r="L641" t="s">
        <v>1229</v>
      </c>
      <c r="M641" t="str">
        <f>_xlfn.XLOOKUP(Table1[[#This Row],[category]],Table6[category],Table6[id_category])</f>
        <v>KTG0207</v>
      </c>
      <c r="N641" t="s">
        <v>1235</v>
      </c>
      <c r="O641">
        <v>5</v>
      </c>
      <c r="P641">
        <v>27000</v>
      </c>
      <c r="Q641">
        <v>0</v>
      </c>
      <c r="R641">
        <v>3.9</v>
      </c>
      <c r="S641" t="str">
        <f>_xlfn.XLOOKUP(Table1[[#This Row],[method]],Table7[method],Table7[id_method])</f>
        <v>PAY0709</v>
      </c>
      <c r="T641" t="s">
        <v>1236</v>
      </c>
      <c r="U641">
        <v>135000</v>
      </c>
    </row>
    <row r="642" spans="1:21" x14ac:dyDescent="0.25">
      <c r="A642" t="s">
        <v>654</v>
      </c>
      <c r="B642" t="str">
        <f>_xlfn.XLOOKUP(Table1[[#This Row],[date]],Table8[date],Table8[id_date])</f>
        <v>TGL0848</v>
      </c>
      <c r="C642" s="1">
        <v>45744</v>
      </c>
      <c r="D642" s="1" t="str">
        <f>_xlfn.XLOOKUP(Table1[[#This Row],[customer_name]],Table11[customer_name],Table11[id_cust])</f>
        <v>CNA0115</v>
      </c>
      <c r="E642" t="s">
        <v>1028</v>
      </c>
      <c r="F642">
        <v>46</v>
      </c>
      <c r="G642" t="str">
        <f>_xlfn.XLOOKUP(Table1[[#This Row],[branch_name]],Table3[branch_name],Table3[id_branch])</f>
        <v>BRCH001</v>
      </c>
      <c r="H642" t="s">
        <v>1213</v>
      </c>
      <c r="I642" t="str">
        <f>_xlfn.XLOOKUP(Table1[[#This Row],[city]],Table4[city],Table4[id_city])</f>
        <v>KOA0102</v>
      </c>
      <c r="J642" t="s">
        <v>1218</v>
      </c>
      <c r="K642" t="str">
        <f>_xlfn.XLOOKUP(Table1[[#This Row],[menu_name]],Table5[menu_name],Table5[id_menu])</f>
        <v>MENU007</v>
      </c>
      <c r="L642" t="s">
        <v>1229</v>
      </c>
      <c r="M642" t="str">
        <f>_xlfn.XLOOKUP(Table1[[#This Row],[category]],Table6[category],Table6[id_category])</f>
        <v>KTG0207</v>
      </c>
      <c r="N642" t="s">
        <v>1235</v>
      </c>
      <c r="O642">
        <v>4</v>
      </c>
      <c r="P642">
        <v>27000</v>
      </c>
      <c r="Q642">
        <v>10</v>
      </c>
      <c r="R642">
        <v>3.8</v>
      </c>
      <c r="S642" t="str">
        <f>_xlfn.XLOOKUP(Table1[[#This Row],[method]],Table7[method],Table7[id_method])</f>
        <v>PAY0712</v>
      </c>
      <c r="T642" t="s">
        <v>1239</v>
      </c>
      <c r="U642">
        <v>97200</v>
      </c>
    </row>
    <row r="643" spans="1:21" x14ac:dyDescent="0.25">
      <c r="A643" t="s">
        <v>655</v>
      </c>
      <c r="B643" t="str">
        <f>_xlfn.XLOOKUP(Table1[[#This Row],[date]],Table8[date],Table8[id_date])</f>
        <v>TGL0848</v>
      </c>
      <c r="C643" s="1">
        <v>45744</v>
      </c>
      <c r="D643" s="1" t="str">
        <f>_xlfn.XLOOKUP(Table1[[#This Row],[customer_name]],Table11[customer_name],Table11[id_cust])</f>
        <v>CNA0214</v>
      </c>
      <c r="E643" t="s">
        <v>1105</v>
      </c>
      <c r="F643">
        <v>18</v>
      </c>
      <c r="G643" t="str">
        <f>_xlfn.XLOOKUP(Table1[[#This Row],[branch_name]],Table3[branch_name],Table3[id_branch])</f>
        <v>BRCH002</v>
      </c>
      <c r="H643" t="s">
        <v>1214</v>
      </c>
      <c r="I643" t="str">
        <f>_xlfn.XLOOKUP(Table1[[#This Row],[city]],Table4[city],Table4[id_city])</f>
        <v>KOA0103</v>
      </c>
      <c r="J643" t="s">
        <v>1219</v>
      </c>
      <c r="K643" t="str">
        <f>_xlfn.XLOOKUP(Table1[[#This Row],[menu_name]],Table5[menu_name],Table5[id_menu])</f>
        <v>MENU001</v>
      </c>
      <c r="L643" t="s">
        <v>1223</v>
      </c>
      <c r="M643" t="str">
        <f>_xlfn.XLOOKUP(Table1[[#This Row],[category]],Table6[category],Table6[id_category])</f>
        <v>KTG0205</v>
      </c>
      <c r="N643" t="s">
        <v>1233</v>
      </c>
      <c r="O643">
        <v>2</v>
      </c>
      <c r="P643">
        <v>25000</v>
      </c>
      <c r="Q643">
        <v>15</v>
      </c>
      <c r="R643">
        <v>3</v>
      </c>
      <c r="S643" t="str">
        <f>_xlfn.XLOOKUP(Table1[[#This Row],[method]],Table7[method],Table7[id_method])</f>
        <v>PAY0711</v>
      </c>
      <c r="T643" t="s">
        <v>1238</v>
      </c>
      <c r="U643">
        <v>42500</v>
      </c>
    </row>
    <row r="644" spans="1:21" x14ac:dyDescent="0.25">
      <c r="A644" t="s">
        <v>656</v>
      </c>
      <c r="B644" t="str">
        <f>_xlfn.XLOOKUP(Table1[[#This Row],[date]],Table8[date],Table8[id_date])</f>
        <v>TGL0849</v>
      </c>
      <c r="C644" s="1">
        <v>45746</v>
      </c>
      <c r="D644" s="1" t="str">
        <f>_xlfn.XLOOKUP(Table1[[#This Row],[customer_name]],Table11[customer_name],Table11[id_cust])</f>
        <v>CNA0494</v>
      </c>
      <c r="E644" t="s">
        <v>1183</v>
      </c>
      <c r="F644">
        <v>40</v>
      </c>
      <c r="G644" t="str">
        <f>_xlfn.XLOOKUP(Table1[[#This Row],[branch_name]],Table3[branch_name],Table3[id_branch])</f>
        <v>BRCH005</v>
      </c>
      <c r="H644" t="s">
        <v>1217</v>
      </c>
      <c r="I644" t="str">
        <f>_xlfn.XLOOKUP(Table1[[#This Row],[city]],Table4[city],Table4[id_city])</f>
        <v>KOA0106</v>
      </c>
      <c r="J644" t="s">
        <v>1222</v>
      </c>
      <c r="K644" t="str">
        <f>_xlfn.XLOOKUP(Table1[[#This Row],[menu_name]],Table5[menu_name],Table5[id_menu])</f>
        <v>MENU006</v>
      </c>
      <c r="L644" t="s">
        <v>1228</v>
      </c>
      <c r="M644" t="str">
        <f>_xlfn.XLOOKUP(Table1[[#This Row],[category]],Table6[category],Table6[id_category])</f>
        <v>KTG0206</v>
      </c>
      <c r="N644" t="s">
        <v>1234</v>
      </c>
      <c r="O644">
        <v>1</v>
      </c>
      <c r="P644">
        <v>32000</v>
      </c>
      <c r="Q644">
        <v>20</v>
      </c>
      <c r="R644">
        <v>2.8</v>
      </c>
      <c r="S644" t="str">
        <f>_xlfn.XLOOKUP(Table1[[#This Row],[method]],Table7[method],Table7[id_method])</f>
        <v>PAY0712</v>
      </c>
      <c r="T644" t="s">
        <v>1239</v>
      </c>
      <c r="U644">
        <v>25600</v>
      </c>
    </row>
    <row r="645" spans="1:21" x14ac:dyDescent="0.25">
      <c r="A645" t="s">
        <v>657</v>
      </c>
      <c r="B645" t="str">
        <f>_xlfn.XLOOKUP(Table1[[#This Row],[date]],Table8[date],Table8[id_date])</f>
        <v>TGL0850</v>
      </c>
      <c r="C645" s="1">
        <v>45747</v>
      </c>
      <c r="D645" s="1" t="str">
        <f>_xlfn.XLOOKUP(Table1[[#This Row],[customer_name]],Table11[customer_name],Table11[id_cust])</f>
        <v>CNA0152</v>
      </c>
      <c r="E645" t="s">
        <v>1061</v>
      </c>
      <c r="F645">
        <v>49</v>
      </c>
      <c r="G645" t="str">
        <f>_xlfn.XLOOKUP(Table1[[#This Row],[branch_name]],Table3[branch_name],Table3[id_branch])</f>
        <v>BRCH004</v>
      </c>
      <c r="H645" t="s">
        <v>1216</v>
      </c>
      <c r="I645" t="str">
        <f>_xlfn.XLOOKUP(Table1[[#This Row],[city]],Table4[city],Table4[id_city])</f>
        <v>KOA0105</v>
      </c>
      <c r="J645" t="s">
        <v>1221</v>
      </c>
      <c r="K645" t="str">
        <f>_xlfn.XLOOKUP(Table1[[#This Row],[menu_name]],Table5[menu_name],Table5[id_menu])</f>
        <v>MENU010</v>
      </c>
      <c r="L645" t="s">
        <v>1232</v>
      </c>
      <c r="M645" t="str">
        <f>_xlfn.XLOOKUP(Table1[[#This Row],[category]],Table6[category],Table6[id_category])</f>
        <v>KTG0205</v>
      </c>
      <c r="N645" t="s">
        <v>1233</v>
      </c>
      <c r="O645">
        <v>1</v>
      </c>
      <c r="P645">
        <v>18000</v>
      </c>
      <c r="Q645">
        <v>5</v>
      </c>
      <c r="R645">
        <v>1.4</v>
      </c>
      <c r="S645" t="str">
        <f>_xlfn.XLOOKUP(Table1[[#This Row],[method]],Table7[method],Table7[id_method])</f>
        <v>PAY0710</v>
      </c>
      <c r="T645" t="s">
        <v>1237</v>
      </c>
      <c r="U645">
        <v>17100</v>
      </c>
    </row>
    <row r="646" spans="1:21" x14ac:dyDescent="0.25">
      <c r="A646" t="s">
        <v>658</v>
      </c>
      <c r="B646" t="str">
        <f>_xlfn.XLOOKUP(Table1[[#This Row],[date]],Table8[date],Table8[id_date])</f>
        <v>TGL0851</v>
      </c>
      <c r="C646" s="1">
        <v>45748</v>
      </c>
      <c r="D646" s="1" t="str">
        <f>_xlfn.XLOOKUP(Table1[[#This Row],[customer_name]],Table11[customer_name],Table11[id_cust])</f>
        <v>CNA0219</v>
      </c>
      <c r="E646" t="s">
        <v>1108</v>
      </c>
      <c r="F646">
        <v>23</v>
      </c>
      <c r="G646" t="str">
        <f>_xlfn.XLOOKUP(Table1[[#This Row],[branch_name]],Table3[branch_name],Table3[id_branch])</f>
        <v>BRCH003</v>
      </c>
      <c r="H646" t="s">
        <v>1215</v>
      </c>
      <c r="I646" t="str">
        <f>_xlfn.XLOOKUP(Table1[[#This Row],[city]],Table4[city],Table4[id_city])</f>
        <v>KOA0104</v>
      </c>
      <c r="J646" t="s">
        <v>1220</v>
      </c>
      <c r="K646" t="str">
        <f>_xlfn.XLOOKUP(Table1[[#This Row],[menu_name]],Table5[menu_name],Table5[id_menu])</f>
        <v>MENU002</v>
      </c>
      <c r="L646" t="s">
        <v>1224</v>
      </c>
      <c r="M646" t="str">
        <f>_xlfn.XLOOKUP(Table1[[#This Row],[category]],Table6[category],Table6[id_category])</f>
        <v>KTG0206</v>
      </c>
      <c r="N646" t="s">
        <v>1234</v>
      </c>
      <c r="O646">
        <v>5</v>
      </c>
      <c r="P646">
        <v>30000</v>
      </c>
      <c r="Q646">
        <v>0</v>
      </c>
      <c r="R646">
        <v>4.5</v>
      </c>
      <c r="S646" t="str">
        <f>_xlfn.XLOOKUP(Table1[[#This Row],[method]],Table7[method],Table7[id_method])</f>
        <v>PAY0712</v>
      </c>
      <c r="T646" t="s">
        <v>1239</v>
      </c>
      <c r="U646">
        <v>150000</v>
      </c>
    </row>
    <row r="647" spans="1:21" x14ac:dyDescent="0.25">
      <c r="A647" t="s">
        <v>659</v>
      </c>
      <c r="B647" t="str">
        <f>_xlfn.XLOOKUP(Table1[[#This Row],[date]],Table8[date],Table8[id_date])</f>
        <v>TGL0851</v>
      </c>
      <c r="C647" s="1">
        <v>45748</v>
      </c>
      <c r="D647" s="1" t="str">
        <f>_xlfn.XLOOKUP(Table1[[#This Row],[customer_name]],Table11[customer_name],Table11[id_cust])</f>
        <v>CNA0129</v>
      </c>
      <c r="E647" t="s">
        <v>1041</v>
      </c>
      <c r="F647">
        <v>49</v>
      </c>
      <c r="G647" t="str">
        <f>_xlfn.XLOOKUP(Table1[[#This Row],[branch_name]],Table3[branch_name],Table3[id_branch])</f>
        <v>BRCH004</v>
      </c>
      <c r="H647" t="s">
        <v>1216</v>
      </c>
      <c r="I647" t="str">
        <f>_xlfn.XLOOKUP(Table1[[#This Row],[city]],Table4[city],Table4[id_city])</f>
        <v>KOA0105</v>
      </c>
      <c r="J647" t="s">
        <v>1221</v>
      </c>
      <c r="K647" t="str">
        <f>_xlfn.XLOOKUP(Table1[[#This Row],[menu_name]],Table5[menu_name],Table5[id_menu])</f>
        <v>MENU004</v>
      </c>
      <c r="L647" t="s">
        <v>1226</v>
      </c>
      <c r="M647" t="str">
        <f>_xlfn.XLOOKUP(Table1[[#This Row],[category]],Table6[category],Table6[id_category])</f>
        <v>KTG0207</v>
      </c>
      <c r="N647" t="s">
        <v>1235</v>
      </c>
      <c r="O647">
        <v>4</v>
      </c>
      <c r="P647">
        <v>28000</v>
      </c>
      <c r="Q647">
        <v>10</v>
      </c>
      <c r="R647">
        <v>1.7</v>
      </c>
      <c r="S647" t="str">
        <f>_xlfn.XLOOKUP(Table1[[#This Row],[method]],Table7[method],Table7[id_method])</f>
        <v>PAY0712</v>
      </c>
      <c r="T647" t="s">
        <v>1239</v>
      </c>
      <c r="U647">
        <v>100800</v>
      </c>
    </row>
    <row r="648" spans="1:21" x14ac:dyDescent="0.25">
      <c r="A648" t="s">
        <v>660</v>
      </c>
      <c r="B648" t="str">
        <f>_xlfn.XLOOKUP(Table1[[#This Row],[date]],Table8[date],Table8[id_date])</f>
        <v>TGL0852</v>
      </c>
      <c r="C648" s="1">
        <v>45749</v>
      </c>
      <c r="D648" s="1" t="str">
        <f>_xlfn.XLOOKUP(Table1[[#This Row],[customer_name]],Table11[customer_name],Table11[id_cust])</f>
        <v>CNA0295</v>
      </c>
      <c r="E648" t="s">
        <v>1147</v>
      </c>
      <c r="F648">
        <v>42</v>
      </c>
      <c r="G648" t="str">
        <f>_xlfn.XLOOKUP(Table1[[#This Row],[branch_name]],Table3[branch_name],Table3[id_branch])</f>
        <v>BRCH004</v>
      </c>
      <c r="H648" t="s">
        <v>1216</v>
      </c>
      <c r="I648" t="str">
        <f>_xlfn.XLOOKUP(Table1[[#This Row],[city]],Table4[city],Table4[id_city])</f>
        <v>KOA0105</v>
      </c>
      <c r="J648" t="s">
        <v>1221</v>
      </c>
      <c r="K648" t="str">
        <f>_xlfn.XLOOKUP(Table1[[#This Row],[menu_name]],Table5[menu_name],Table5[id_menu])</f>
        <v>MENU003</v>
      </c>
      <c r="L648" t="s">
        <v>1225</v>
      </c>
      <c r="M648" t="str">
        <f>_xlfn.XLOOKUP(Table1[[#This Row],[category]],Table6[category],Table6[id_category])</f>
        <v>KTG0205</v>
      </c>
      <c r="N648" t="s">
        <v>1233</v>
      </c>
      <c r="O648">
        <v>3</v>
      </c>
      <c r="P648">
        <v>22000</v>
      </c>
      <c r="Q648">
        <v>15</v>
      </c>
      <c r="R648">
        <v>3.1</v>
      </c>
      <c r="S648" t="str">
        <f>_xlfn.XLOOKUP(Table1[[#This Row],[method]],Table7[method],Table7[id_method])</f>
        <v>PAY0712</v>
      </c>
      <c r="T648" t="s">
        <v>1239</v>
      </c>
      <c r="U648">
        <v>56100</v>
      </c>
    </row>
    <row r="649" spans="1:21" x14ac:dyDescent="0.25">
      <c r="A649" t="s">
        <v>661</v>
      </c>
      <c r="B649" t="str">
        <f>_xlfn.XLOOKUP(Table1[[#This Row],[date]],Table8[date],Table8[id_date])</f>
        <v>TGL0852</v>
      </c>
      <c r="C649" s="1">
        <v>45749</v>
      </c>
      <c r="D649" s="1" t="str">
        <f>_xlfn.XLOOKUP(Table1[[#This Row],[customer_name]],Table11[customer_name],Table11[id_cust])</f>
        <v>CNA0748</v>
      </c>
      <c r="E649" t="s">
        <v>1202</v>
      </c>
      <c r="F649">
        <v>17</v>
      </c>
      <c r="G649" t="str">
        <f>_xlfn.XLOOKUP(Table1[[#This Row],[branch_name]],Table3[branch_name],Table3[id_branch])</f>
        <v>BRCH001</v>
      </c>
      <c r="H649" t="s">
        <v>1213</v>
      </c>
      <c r="I649" t="str">
        <f>_xlfn.XLOOKUP(Table1[[#This Row],[city]],Table4[city],Table4[id_city])</f>
        <v>KOA0102</v>
      </c>
      <c r="J649" t="s">
        <v>1218</v>
      </c>
      <c r="K649" t="str">
        <f>_xlfn.XLOOKUP(Table1[[#This Row],[menu_name]],Table5[menu_name],Table5[id_menu])</f>
        <v>MENU007</v>
      </c>
      <c r="L649" t="s">
        <v>1229</v>
      </c>
      <c r="M649" t="str">
        <f>_xlfn.XLOOKUP(Table1[[#This Row],[category]],Table6[category],Table6[id_category])</f>
        <v>KTG0207</v>
      </c>
      <c r="N649" t="s">
        <v>1235</v>
      </c>
      <c r="O649">
        <v>5</v>
      </c>
      <c r="P649">
        <v>27000</v>
      </c>
      <c r="Q649">
        <v>15</v>
      </c>
      <c r="R649">
        <v>2.7</v>
      </c>
      <c r="S649" t="str">
        <f>_xlfn.XLOOKUP(Table1[[#This Row],[method]],Table7[method],Table7[id_method])</f>
        <v>PAY0709</v>
      </c>
      <c r="T649" t="s">
        <v>1236</v>
      </c>
      <c r="U649">
        <v>114750</v>
      </c>
    </row>
    <row r="650" spans="1:21" x14ac:dyDescent="0.25">
      <c r="A650" t="s">
        <v>662</v>
      </c>
      <c r="B650" t="str">
        <f>_xlfn.XLOOKUP(Table1[[#This Row],[date]],Table8[date],Table8[id_date])</f>
        <v>TGL0853</v>
      </c>
      <c r="C650" s="1">
        <v>45750</v>
      </c>
      <c r="D650" s="1" t="str">
        <f>_xlfn.XLOOKUP(Table1[[#This Row],[customer_name]],Table11[customer_name],Table11[id_cust])</f>
        <v>CNA0268</v>
      </c>
      <c r="E650" t="s">
        <v>1133</v>
      </c>
      <c r="F650">
        <v>31</v>
      </c>
      <c r="G650" t="str">
        <f>_xlfn.XLOOKUP(Table1[[#This Row],[branch_name]],Table3[branch_name],Table3[id_branch])</f>
        <v>BRCH005</v>
      </c>
      <c r="H650" t="s">
        <v>1217</v>
      </c>
      <c r="I650" t="str">
        <f>_xlfn.XLOOKUP(Table1[[#This Row],[city]],Table4[city],Table4[id_city])</f>
        <v>KOA0106</v>
      </c>
      <c r="J650" t="s">
        <v>1222</v>
      </c>
      <c r="K650" t="str">
        <f>_xlfn.XLOOKUP(Table1[[#This Row],[menu_name]],Table5[menu_name],Table5[id_menu])</f>
        <v>MENU007</v>
      </c>
      <c r="L650" t="s">
        <v>1229</v>
      </c>
      <c r="M650" t="str">
        <f>_xlfn.XLOOKUP(Table1[[#This Row],[category]],Table6[category],Table6[id_category])</f>
        <v>KTG0207</v>
      </c>
      <c r="N650" t="s">
        <v>1235</v>
      </c>
      <c r="O650">
        <v>2</v>
      </c>
      <c r="P650">
        <v>27000</v>
      </c>
      <c r="Q650">
        <v>0</v>
      </c>
      <c r="R650">
        <v>4.4000000000000004</v>
      </c>
      <c r="S650" t="str">
        <f>_xlfn.XLOOKUP(Table1[[#This Row],[method]],Table7[method],Table7[id_method])</f>
        <v>PAY0709</v>
      </c>
      <c r="T650" t="s">
        <v>1236</v>
      </c>
      <c r="U650">
        <v>54000</v>
      </c>
    </row>
    <row r="651" spans="1:21" x14ac:dyDescent="0.25">
      <c r="A651" t="s">
        <v>663</v>
      </c>
      <c r="B651" t="str">
        <f>_xlfn.XLOOKUP(Table1[[#This Row],[date]],Table8[date],Table8[id_date])</f>
        <v>TGL0854</v>
      </c>
      <c r="C651" s="1">
        <v>45751</v>
      </c>
      <c r="D651" s="1" t="str">
        <f>_xlfn.XLOOKUP(Table1[[#This Row],[customer_name]],Table11[customer_name],Table11[id_cust])</f>
        <v>CNA0183</v>
      </c>
      <c r="E651" t="s">
        <v>1085</v>
      </c>
      <c r="F651">
        <v>54</v>
      </c>
      <c r="G651" t="str">
        <f>_xlfn.XLOOKUP(Table1[[#This Row],[branch_name]],Table3[branch_name],Table3[id_branch])</f>
        <v>BRCH001</v>
      </c>
      <c r="H651" t="s">
        <v>1213</v>
      </c>
      <c r="I651" t="str">
        <f>_xlfn.XLOOKUP(Table1[[#This Row],[city]],Table4[city],Table4[id_city])</f>
        <v>KOA0102</v>
      </c>
      <c r="J651" t="s">
        <v>1218</v>
      </c>
      <c r="K651" t="str">
        <f>_xlfn.XLOOKUP(Table1[[#This Row],[menu_name]],Table5[menu_name],Table5[id_menu])</f>
        <v>MENU009</v>
      </c>
      <c r="L651" t="s">
        <v>1231</v>
      </c>
      <c r="M651" t="str">
        <f>_xlfn.XLOOKUP(Table1[[#This Row],[category]],Table6[category],Table6[id_category])</f>
        <v>KTG0206</v>
      </c>
      <c r="N651" t="s">
        <v>1234</v>
      </c>
      <c r="O651">
        <v>2</v>
      </c>
      <c r="P651">
        <v>18000</v>
      </c>
      <c r="Q651">
        <v>10</v>
      </c>
      <c r="R651">
        <v>1.2</v>
      </c>
      <c r="S651" t="str">
        <f>_xlfn.XLOOKUP(Table1[[#This Row],[method]],Table7[method],Table7[id_method])</f>
        <v>PAY0709</v>
      </c>
      <c r="T651" t="s">
        <v>1236</v>
      </c>
      <c r="U651">
        <v>32400</v>
      </c>
    </row>
    <row r="652" spans="1:21" x14ac:dyDescent="0.25">
      <c r="A652" t="s">
        <v>664</v>
      </c>
      <c r="B652" t="str">
        <f>_xlfn.XLOOKUP(Table1[[#This Row],[date]],Table8[date],Table8[id_date])</f>
        <v>TGL0854</v>
      </c>
      <c r="C652" s="1">
        <v>45751</v>
      </c>
      <c r="D652" s="1" t="str">
        <f>_xlfn.XLOOKUP(Table1[[#This Row],[customer_name]],Table11[customer_name],Table11[id_cust])</f>
        <v>CNA0222</v>
      </c>
      <c r="E652" t="s">
        <v>1109</v>
      </c>
      <c r="F652">
        <v>34</v>
      </c>
      <c r="G652" t="str">
        <f>_xlfn.XLOOKUP(Table1[[#This Row],[branch_name]],Table3[branch_name],Table3[id_branch])</f>
        <v>BRCH002</v>
      </c>
      <c r="H652" t="s">
        <v>1214</v>
      </c>
      <c r="I652" t="str">
        <f>_xlfn.XLOOKUP(Table1[[#This Row],[city]],Table4[city],Table4[id_city])</f>
        <v>KOA0103</v>
      </c>
      <c r="J652" t="s">
        <v>1219</v>
      </c>
      <c r="K652" t="str">
        <f>_xlfn.XLOOKUP(Table1[[#This Row],[menu_name]],Table5[menu_name],Table5[id_menu])</f>
        <v>MENU006</v>
      </c>
      <c r="L652" t="s">
        <v>1228</v>
      </c>
      <c r="M652" t="str">
        <f>_xlfn.XLOOKUP(Table1[[#This Row],[category]],Table6[category],Table6[id_category])</f>
        <v>KTG0206</v>
      </c>
      <c r="N652" t="s">
        <v>1234</v>
      </c>
      <c r="O652">
        <v>3</v>
      </c>
      <c r="P652">
        <v>32000</v>
      </c>
      <c r="Q652">
        <v>0</v>
      </c>
      <c r="R652">
        <v>4.4000000000000004</v>
      </c>
      <c r="S652" t="str">
        <f>_xlfn.XLOOKUP(Table1[[#This Row],[method]],Table7[method],Table7[id_method])</f>
        <v>PAY0710</v>
      </c>
      <c r="T652" t="s">
        <v>1237</v>
      </c>
      <c r="U652">
        <v>96000</v>
      </c>
    </row>
    <row r="653" spans="1:21" x14ac:dyDescent="0.25">
      <c r="A653" t="s">
        <v>665</v>
      </c>
      <c r="B653" t="str">
        <f>_xlfn.XLOOKUP(Table1[[#This Row],[date]],Table8[date],Table8[id_date])</f>
        <v>TGL0855</v>
      </c>
      <c r="C653" s="1">
        <v>45752</v>
      </c>
      <c r="D653" s="1" t="str">
        <f>_xlfn.XLOOKUP(Table1[[#This Row],[customer_name]],Table11[customer_name],Table11[id_cust])</f>
        <v>CNA0247</v>
      </c>
      <c r="E653" t="s">
        <v>1126</v>
      </c>
      <c r="F653">
        <v>19</v>
      </c>
      <c r="G653" t="str">
        <f>_xlfn.XLOOKUP(Table1[[#This Row],[branch_name]],Table3[branch_name],Table3[id_branch])</f>
        <v>BRCH005</v>
      </c>
      <c r="H653" t="s">
        <v>1217</v>
      </c>
      <c r="I653" t="str">
        <f>_xlfn.XLOOKUP(Table1[[#This Row],[city]],Table4[city],Table4[id_city])</f>
        <v>KOA0106</v>
      </c>
      <c r="J653" t="s">
        <v>1222</v>
      </c>
      <c r="K653" t="str">
        <f>_xlfn.XLOOKUP(Table1[[#This Row],[menu_name]],Table5[menu_name],Table5[id_menu])</f>
        <v>MENU003</v>
      </c>
      <c r="L653" t="s">
        <v>1225</v>
      </c>
      <c r="M653" t="str">
        <f>_xlfn.XLOOKUP(Table1[[#This Row],[category]],Table6[category],Table6[id_category])</f>
        <v>KTG0205</v>
      </c>
      <c r="N653" t="s">
        <v>1233</v>
      </c>
      <c r="O653">
        <v>5</v>
      </c>
      <c r="P653">
        <v>22000</v>
      </c>
      <c r="Q653">
        <v>20</v>
      </c>
      <c r="R653">
        <v>1.4</v>
      </c>
      <c r="S653" t="str">
        <f>_xlfn.XLOOKUP(Table1[[#This Row],[method]],Table7[method],Table7[id_method])</f>
        <v>PAY0710</v>
      </c>
      <c r="T653" t="s">
        <v>1237</v>
      </c>
      <c r="U653">
        <v>88000</v>
      </c>
    </row>
    <row r="654" spans="1:21" x14ac:dyDescent="0.25">
      <c r="A654" t="s">
        <v>666</v>
      </c>
      <c r="B654" t="str">
        <f>_xlfn.XLOOKUP(Table1[[#This Row],[date]],Table8[date],Table8[id_date])</f>
        <v>TGL0855</v>
      </c>
      <c r="C654" s="1">
        <v>45752</v>
      </c>
      <c r="D654" s="1" t="str">
        <f>_xlfn.XLOOKUP(Table1[[#This Row],[customer_name]],Table11[customer_name],Table11[id_cust])</f>
        <v>CNA0169</v>
      </c>
      <c r="E654" t="s">
        <v>1074</v>
      </c>
      <c r="F654">
        <v>53</v>
      </c>
      <c r="G654" t="str">
        <f>_xlfn.XLOOKUP(Table1[[#This Row],[branch_name]],Table3[branch_name],Table3[id_branch])</f>
        <v>BRCH001</v>
      </c>
      <c r="H654" t="s">
        <v>1213</v>
      </c>
      <c r="I654" t="str">
        <f>_xlfn.XLOOKUP(Table1[[#This Row],[city]],Table4[city],Table4[id_city])</f>
        <v>KOA0102</v>
      </c>
      <c r="J654" t="s">
        <v>1218</v>
      </c>
      <c r="K654" t="str">
        <f>_xlfn.XLOOKUP(Table1[[#This Row],[menu_name]],Table5[menu_name],Table5[id_menu])</f>
        <v>MENU006</v>
      </c>
      <c r="L654" t="s">
        <v>1228</v>
      </c>
      <c r="M654" t="str">
        <f>_xlfn.XLOOKUP(Table1[[#This Row],[category]],Table6[category],Table6[id_category])</f>
        <v>KTG0206</v>
      </c>
      <c r="N654" t="s">
        <v>1234</v>
      </c>
      <c r="O654">
        <v>3</v>
      </c>
      <c r="P654">
        <v>32000</v>
      </c>
      <c r="Q654">
        <v>20</v>
      </c>
      <c r="R654">
        <v>3.6</v>
      </c>
      <c r="S654" t="str">
        <f>_xlfn.XLOOKUP(Table1[[#This Row],[method]],Table7[method],Table7[id_method])</f>
        <v>PAY0709</v>
      </c>
      <c r="T654" t="s">
        <v>1236</v>
      </c>
      <c r="U654">
        <v>76800</v>
      </c>
    </row>
    <row r="655" spans="1:21" x14ac:dyDescent="0.25">
      <c r="A655" t="s">
        <v>667</v>
      </c>
      <c r="B655" t="str">
        <f>_xlfn.XLOOKUP(Table1[[#This Row],[date]],Table8[date],Table8[id_date])</f>
        <v>TGL0856</v>
      </c>
      <c r="C655" s="1">
        <v>45753</v>
      </c>
      <c r="D655" s="1" t="str">
        <f>_xlfn.XLOOKUP(Table1[[#This Row],[customer_name]],Table11[customer_name],Table11[id_cust])</f>
        <v>CNA0180</v>
      </c>
      <c r="E655" t="s">
        <v>1083</v>
      </c>
      <c r="F655">
        <v>19</v>
      </c>
      <c r="G655" t="str">
        <f>_xlfn.XLOOKUP(Table1[[#This Row],[branch_name]],Table3[branch_name],Table3[id_branch])</f>
        <v>BRCH003</v>
      </c>
      <c r="H655" t="s">
        <v>1215</v>
      </c>
      <c r="I655" t="str">
        <f>_xlfn.XLOOKUP(Table1[[#This Row],[city]],Table4[city],Table4[id_city])</f>
        <v>KOA0104</v>
      </c>
      <c r="J655" t="s">
        <v>1220</v>
      </c>
      <c r="K655" t="str">
        <f>_xlfn.XLOOKUP(Table1[[#This Row],[menu_name]],Table5[menu_name],Table5[id_menu])</f>
        <v>MENU003</v>
      </c>
      <c r="L655" t="s">
        <v>1225</v>
      </c>
      <c r="M655" t="str">
        <f>_xlfn.XLOOKUP(Table1[[#This Row],[category]],Table6[category],Table6[id_category])</f>
        <v>KTG0205</v>
      </c>
      <c r="N655" t="s">
        <v>1233</v>
      </c>
      <c r="O655">
        <v>4</v>
      </c>
      <c r="P655">
        <v>22000</v>
      </c>
      <c r="Q655">
        <v>15</v>
      </c>
      <c r="R655">
        <v>1.1000000000000001</v>
      </c>
      <c r="S655" t="str">
        <f>_xlfn.XLOOKUP(Table1[[#This Row],[method]],Table7[method],Table7[id_method])</f>
        <v>PAY0709</v>
      </c>
      <c r="T655" t="s">
        <v>1236</v>
      </c>
      <c r="U655">
        <v>74800</v>
      </c>
    </row>
    <row r="656" spans="1:21" x14ac:dyDescent="0.25">
      <c r="A656" t="s">
        <v>668</v>
      </c>
      <c r="B656" t="str">
        <f>_xlfn.XLOOKUP(Table1[[#This Row],[date]],Table8[date],Table8[id_date])</f>
        <v>TGL0857</v>
      </c>
      <c r="C656" s="1">
        <v>45757</v>
      </c>
      <c r="D656" s="1" t="str">
        <f>_xlfn.XLOOKUP(Table1[[#This Row],[customer_name]],Table11[customer_name],Table11[id_cust])</f>
        <v>CNA0130</v>
      </c>
      <c r="E656" t="s">
        <v>1042</v>
      </c>
      <c r="F656">
        <v>33</v>
      </c>
      <c r="G656" t="str">
        <f>_xlfn.XLOOKUP(Table1[[#This Row],[branch_name]],Table3[branch_name],Table3[id_branch])</f>
        <v>BRCH001</v>
      </c>
      <c r="H656" t="s">
        <v>1213</v>
      </c>
      <c r="I656" t="str">
        <f>_xlfn.XLOOKUP(Table1[[#This Row],[city]],Table4[city],Table4[id_city])</f>
        <v>KOA0102</v>
      </c>
      <c r="J656" t="s">
        <v>1218</v>
      </c>
      <c r="K656" t="str">
        <f>_xlfn.XLOOKUP(Table1[[#This Row],[menu_name]],Table5[menu_name],Table5[id_menu])</f>
        <v>MENU005</v>
      </c>
      <c r="L656" t="s">
        <v>1227</v>
      </c>
      <c r="M656" t="str">
        <f>_xlfn.XLOOKUP(Table1[[#This Row],[category]],Table6[category],Table6[id_category])</f>
        <v>KTG0206</v>
      </c>
      <c r="N656" t="s">
        <v>1234</v>
      </c>
      <c r="O656">
        <v>3</v>
      </c>
      <c r="P656">
        <v>23000</v>
      </c>
      <c r="Q656">
        <v>0</v>
      </c>
      <c r="R656">
        <v>1.5</v>
      </c>
      <c r="S656" t="str">
        <f>_xlfn.XLOOKUP(Table1[[#This Row],[method]],Table7[method],Table7[id_method])</f>
        <v>PAY0709</v>
      </c>
      <c r="T656" t="s">
        <v>1236</v>
      </c>
      <c r="U656">
        <v>69000</v>
      </c>
    </row>
    <row r="657" spans="1:21" x14ac:dyDescent="0.25">
      <c r="A657" t="s">
        <v>669</v>
      </c>
      <c r="B657" t="str">
        <f>_xlfn.XLOOKUP(Table1[[#This Row],[date]],Table8[date],Table8[id_date])</f>
        <v>TGL0858</v>
      </c>
      <c r="C657" s="1">
        <v>45759</v>
      </c>
      <c r="D657" s="1" t="str">
        <f>_xlfn.XLOOKUP(Table1[[#This Row],[customer_name]],Table11[customer_name],Table11[id_cust])</f>
        <v>CNA0108</v>
      </c>
      <c r="E657" t="s">
        <v>1021</v>
      </c>
      <c r="F657">
        <v>21</v>
      </c>
      <c r="G657" t="str">
        <f>_xlfn.XLOOKUP(Table1[[#This Row],[branch_name]],Table3[branch_name],Table3[id_branch])</f>
        <v>BRCH001</v>
      </c>
      <c r="H657" t="s">
        <v>1213</v>
      </c>
      <c r="I657" t="str">
        <f>_xlfn.XLOOKUP(Table1[[#This Row],[city]],Table4[city],Table4[id_city])</f>
        <v>KOA0102</v>
      </c>
      <c r="J657" t="s">
        <v>1218</v>
      </c>
      <c r="K657" t="str">
        <f>_xlfn.XLOOKUP(Table1[[#This Row],[menu_name]],Table5[menu_name],Table5[id_menu])</f>
        <v>MENU006</v>
      </c>
      <c r="L657" t="s">
        <v>1228</v>
      </c>
      <c r="M657" t="str">
        <f>_xlfn.XLOOKUP(Table1[[#This Row],[category]],Table6[category],Table6[id_category])</f>
        <v>KTG0206</v>
      </c>
      <c r="N657" t="s">
        <v>1234</v>
      </c>
      <c r="O657">
        <v>5</v>
      </c>
      <c r="P657">
        <v>32000</v>
      </c>
      <c r="Q657">
        <v>20</v>
      </c>
      <c r="R657">
        <v>3</v>
      </c>
      <c r="S657" t="str">
        <f>_xlfn.XLOOKUP(Table1[[#This Row],[method]],Table7[method],Table7[id_method])</f>
        <v>PAY0712</v>
      </c>
      <c r="T657" t="s">
        <v>1239</v>
      </c>
      <c r="U657">
        <v>128000</v>
      </c>
    </row>
    <row r="658" spans="1:21" x14ac:dyDescent="0.25">
      <c r="A658" t="s">
        <v>670</v>
      </c>
      <c r="B658" t="str">
        <f>_xlfn.XLOOKUP(Table1[[#This Row],[date]],Table8[date],Table8[id_date])</f>
        <v>TGL0859</v>
      </c>
      <c r="C658" s="1">
        <v>45760</v>
      </c>
      <c r="D658" s="1" t="str">
        <f>_xlfn.XLOOKUP(Table1[[#This Row],[customer_name]],Table11[customer_name],Table11[id_cust])</f>
        <v>CNA0727</v>
      </c>
      <c r="E658" t="s">
        <v>1201</v>
      </c>
      <c r="F658">
        <v>49</v>
      </c>
      <c r="G658" t="str">
        <f>_xlfn.XLOOKUP(Table1[[#This Row],[branch_name]],Table3[branch_name],Table3[id_branch])</f>
        <v>BRCH004</v>
      </c>
      <c r="H658" t="s">
        <v>1216</v>
      </c>
      <c r="I658" t="str">
        <f>_xlfn.XLOOKUP(Table1[[#This Row],[city]],Table4[city],Table4[id_city])</f>
        <v>KOA0105</v>
      </c>
      <c r="J658" t="s">
        <v>1221</v>
      </c>
      <c r="K658" t="str">
        <f>_xlfn.XLOOKUP(Table1[[#This Row],[menu_name]],Table5[menu_name],Table5[id_menu])</f>
        <v>MENU001</v>
      </c>
      <c r="L658" t="s">
        <v>1223</v>
      </c>
      <c r="M658" t="str">
        <f>_xlfn.XLOOKUP(Table1[[#This Row],[category]],Table6[category],Table6[id_category])</f>
        <v>KTG0205</v>
      </c>
      <c r="N658" t="s">
        <v>1233</v>
      </c>
      <c r="O658">
        <v>3</v>
      </c>
      <c r="P658">
        <v>25000</v>
      </c>
      <c r="Q658">
        <v>20</v>
      </c>
      <c r="R658">
        <v>3.9</v>
      </c>
      <c r="S658" t="str">
        <f>_xlfn.XLOOKUP(Table1[[#This Row],[method]],Table7[method],Table7[id_method])</f>
        <v>PAY0709</v>
      </c>
      <c r="T658" t="s">
        <v>1236</v>
      </c>
      <c r="U658">
        <v>60000</v>
      </c>
    </row>
    <row r="659" spans="1:21" x14ac:dyDescent="0.25">
      <c r="A659" t="s">
        <v>671</v>
      </c>
      <c r="B659" t="str">
        <f>_xlfn.XLOOKUP(Table1[[#This Row],[date]],Table8[date],Table8[id_date])</f>
        <v>TGL0859</v>
      </c>
      <c r="C659" s="1">
        <v>45760</v>
      </c>
      <c r="D659" s="1" t="str">
        <f>_xlfn.XLOOKUP(Table1[[#This Row],[customer_name]],Table11[customer_name],Table11[id_cust])</f>
        <v>CNA0140</v>
      </c>
      <c r="E659" t="s">
        <v>1051</v>
      </c>
      <c r="F659">
        <v>43</v>
      </c>
      <c r="G659" t="str">
        <f>_xlfn.XLOOKUP(Table1[[#This Row],[branch_name]],Table3[branch_name],Table3[id_branch])</f>
        <v>BRCH005</v>
      </c>
      <c r="H659" t="s">
        <v>1217</v>
      </c>
      <c r="I659" t="str">
        <f>_xlfn.XLOOKUP(Table1[[#This Row],[city]],Table4[city],Table4[id_city])</f>
        <v>KOA0106</v>
      </c>
      <c r="J659" t="s">
        <v>1222</v>
      </c>
      <c r="K659" t="str">
        <f>_xlfn.XLOOKUP(Table1[[#This Row],[menu_name]],Table5[menu_name],Table5[id_menu])</f>
        <v>MENU004</v>
      </c>
      <c r="L659" t="s">
        <v>1226</v>
      </c>
      <c r="M659" t="str">
        <f>_xlfn.XLOOKUP(Table1[[#This Row],[category]],Table6[category],Table6[id_category])</f>
        <v>KTG0207</v>
      </c>
      <c r="N659" t="s">
        <v>1235</v>
      </c>
      <c r="O659">
        <v>1</v>
      </c>
      <c r="P659">
        <v>28000</v>
      </c>
      <c r="Q659">
        <v>0</v>
      </c>
      <c r="R659">
        <v>3.8</v>
      </c>
      <c r="S659" t="str">
        <f>_xlfn.XLOOKUP(Table1[[#This Row],[method]],Table7[method],Table7[id_method])</f>
        <v>PAY0710</v>
      </c>
      <c r="T659" t="s">
        <v>1237</v>
      </c>
      <c r="U659">
        <v>28000</v>
      </c>
    </row>
    <row r="660" spans="1:21" x14ac:dyDescent="0.25">
      <c r="A660" t="s">
        <v>672</v>
      </c>
      <c r="B660" t="str">
        <f>_xlfn.XLOOKUP(Table1[[#This Row],[date]],Table8[date],Table8[id_date])</f>
        <v>TGL0859</v>
      </c>
      <c r="C660" s="1">
        <v>45760</v>
      </c>
      <c r="D660" s="1" t="str">
        <f>_xlfn.XLOOKUP(Table1[[#This Row],[customer_name]],Table11[customer_name],Table11[id_cust])</f>
        <v>CNA0295</v>
      </c>
      <c r="E660" t="s">
        <v>1147</v>
      </c>
      <c r="F660">
        <v>42</v>
      </c>
      <c r="G660" t="str">
        <f>_xlfn.XLOOKUP(Table1[[#This Row],[branch_name]],Table3[branch_name],Table3[id_branch])</f>
        <v>BRCH004</v>
      </c>
      <c r="H660" t="s">
        <v>1216</v>
      </c>
      <c r="I660" t="str">
        <f>_xlfn.XLOOKUP(Table1[[#This Row],[city]],Table4[city],Table4[id_city])</f>
        <v>KOA0105</v>
      </c>
      <c r="J660" t="s">
        <v>1221</v>
      </c>
      <c r="K660" t="str">
        <f>_xlfn.XLOOKUP(Table1[[#This Row],[menu_name]],Table5[menu_name],Table5[id_menu])</f>
        <v>MENU005</v>
      </c>
      <c r="L660" t="s">
        <v>1227</v>
      </c>
      <c r="M660" t="str">
        <f>_xlfn.XLOOKUP(Table1[[#This Row],[category]],Table6[category],Table6[id_category])</f>
        <v>KTG0206</v>
      </c>
      <c r="N660" t="s">
        <v>1234</v>
      </c>
      <c r="O660">
        <v>4</v>
      </c>
      <c r="P660">
        <v>23000</v>
      </c>
      <c r="Q660">
        <v>20</v>
      </c>
      <c r="R660">
        <v>1.1000000000000001</v>
      </c>
      <c r="S660" t="str">
        <f>_xlfn.XLOOKUP(Table1[[#This Row],[method]],Table7[method],Table7[id_method])</f>
        <v>PAY0712</v>
      </c>
      <c r="T660" t="s">
        <v>1239</v>
      </c>
      <c r="U660">
        <v>73600</v>
      </c>
    </row>
    <row r="661" spans="1:21" x14ac:dyDescent="0.25">
      <c r="A661" t="s">
        <v>673</v>
      </c>
      <c r="B661" t="str">
        <f>_xlfn.XLOOKUP(Table1[[#This Row],[date]],Table8[date],Table8[id_date])</f>
        <v>TGL0860</v>
      </c>
      <c r="C661" s="1">
        <v>45761</v>
      </c>
      <c r="D661" s="1" t="str">
        <f>_xlfn.XLOOKUP(Table1[[#This Row],[customer_name]],Table11[customer_name],Table11[id_cust])</f>
        <v>CNA0760</v>
      </c>
      <c r="E661" t="s">
        <v>1203</v>
      </c>
      <c r="F661">
        <v>48</v>
      </c>
      <c r="G661" t="str">
        <f>_xlfn.XLOOKUP(Table1[[#This Row],[branch_name]],Table3[branch_name],Table3[id_branch])</f>
        <v>BRCH005</v>
      </c>
      <c r="H661" t="s">
        <v>1217</v>
      </c>
      <c r="I661" t="str">
        <f>_xlfn.XLOOKUP(Table1[[#This Row],[city]],Table4[city],Table4[id_city])</f>
        <v>KOA0106</v>
      </c>
      <c r="J661" t="s">
        <v>1222</v>
      </c>
      <c r="K661" t="str">
        <f>_xlfn.XLOOKUP(Table1[[#This Row],[menu_name]],Table5[menu_name],Table5[id_menu])</f>
        <v>MENU001</v>
      </c>
      <c r="L661" t="s">
        <v>1223</v>
      </c>
      <c r="M661" t="str">
        <f>_xlfn.XLOOKUP(Table1[[#This Row],[category]],Table6[category],Table6[id_category])</f>
        <v>KTG0205</v>
      </c>
      <c r="N661" t="s">
        <v>1233</v>
      </c>
      <c r="O661">
        <v>3</v>
      </c>
      <c r="P661">
        <v>25000</v>
      </c>
      <c r="Q661">
        <v>0</v>
      </c>
      <c r="R661">
        <v>1.7</v>
      </c>
      <c r="S661" t="str">
        <f>_xlfn.XLOOKUP(Table1[[#This Row],[method]],Table7[method],Table7[id_method])</f>
        <v>PAY0711</v>
      </c>
      <c r="T661" t="s">
        <v>1238</v>
      </c>
      <c r="U661">
        <v>75000</v>
      </c>
    </row>
    <row r="662" spans="1:21" x14ac:dyDescent="0.25">
      <c r="A662" t="s">
        <v>674</v>
      </c>
      <c r="B662" t="str">
        <f>_xlfn.XLOOKUP(Table1[[#This Row],[date]],Table8[date],Table8[id_date])</f>
        <v>TGL0860</v>
      </c>
      <c r="C662" s="1">
        <v>45761</v>
      </c>
      <c r="D662" s="1" t="str">
        <f>_xlfn.XLOOKUP(Table1[[#This Row],[customer_name]],Table11[customer_name],Table11[id_cust])</f>
        <v>CNA0176</v>
      </c>
      <c r="E662" t="s">
        <v>1081</v>
      </c>
      <c r="F662">
        <v>25</v>
      </c>
      <c r="G662" t="str">
        <f>_xlfn.XLOOKUP(Table1[[#This Row],[branch_name]],Table3[branch_name],Table3[id_branch])</f>
        <v>BRCH004</v>
      </c>
      <c r="H662" t="s">
        <v>1216</v>
      </c>
      <c r="I662" t="str">
        <f>_xlfn.XLOOKUP(Table1[[#This Row],[city]],Table4[city],Table4[id_city])</f>
        <v>KOA0105</v>
      </c>
      <c r="J662" t="s">
        <v>1221</v>
      </c>
      <c r="K662" t="str">
        <f>_xlfn.XLOOKUP(Table1[[#This Row],[menu_name]],Table5[menu_name],Table5[id_menu])</f>
        <v>MENU002</v>
      </c>
      <c r="L662" t="s">
        <v>1224</v>
      </c>
      <c r="M662" t="str">
        <f>_xlfn.XLOOKUP(Table1[[#This Row],[category]],Table6[category],Table6[id_category])</f>
        <v>KTG0206</v>
      </c>
      <c r="N662" t="s">
        <v>1234</v>
      </c>
      <c r="O662">
        <v>3</v>
      </c>
      <c r="P662">
        <v>30000</v>
      </c>
      <c r="Q662">
        <v>0</v>
      </c>
      <c r="R662">
        <v>3.9</v>
      </c>
      <c r="S662" t="str">
        <f>_xlfn.XLOOKUP(Table1[[#This Row],[method]],Table7[method],Table7[id_method])</f>
        <v>PAY0709</v>
      </c>
      <c r="T662" t="s">
        <v>1236</v>
      </c>
      <c r="U662">
        <v>90000</v>
      </c>
    </row>
    <row r="663" spans="1:21" x14ac:dyDescent="0.25">
      <c r="A663" t="s">
        <v>675</v>
      </c>
      <c r="B663" t="str">
        <f>_xlfn.XLOOKUP(Table1[[#This Row],[date]],Table8[date],Table8[id_date])</f>
        <v>TGL0861</v>
      </c>
      <c r="C663" s="1">
        <v>45762</v>
      </c>
      <c r="D663" s="1" t="str">
        <f>_xlfn.XLOOKUP(Table1[[#This Row],[customer_name]],Table11[customer_name],Table11[id_cust])</f>
        <v>CNA0323</v>
      </c>
      <c r="E663" t="s">
        <v>1159</v>
      </c>
      <c r="F663">
        <v>18</v>
      </c>
      <c r="G663" t="str">
        <f>_xlfn.XLOOKUP(Table1[[#This Row],[branch_name]],Table3[branch_name],Table3[id_branch])</f>
        <v>BRCH004</v>
      </c>
      <c r="H663" t="s">
        <v>1216</v>
      </c>
      <c r="I663" t="str">
        <f>_xlfn.XLOOKUP(Table1[[#This Row],[city]],Table4[city],Table4[id_city])</f>
        <v>KOA0105</v>
      </c>
      <c r="J663" t="s">
        <v>1221</v>
      </c>
      <c r="K663" t="str">
        <f>_xlfn.XLOOKUP(Table1[[#This Row],[menu_name]],Table5[menu_name],Table5[id_menu])</f>
        <v>MENU003</v>
      </c>
      <c r="L663" t="s">
        <v>1225</v>
      </c>
      <c r="M663" t="str">
        <f>_xlfn.XLOOKUP(Table1[[#This Row],[category]],Table6[category],Table6[id_category])</f>
        <v>KTG0205</v>
      </c>
      <c r="N663" t="s">
        <v>1233</v>
      </c>
      <c r="O663">
        <v>3</v>
      </c>
      <c r="P663">
        <v>22000</v>
      </c>
      <c r="Q663">
        <v>20</v>
      </c>
      <c r="R663">
        <v>3.2</v>
      </c>
      <c r="S663" t="str">
        <f>_xlfn.XLOOKUP(Table1[[#This Row],[method]],Table7[method],Table7[id_method])</f>
        <v>PAY0711</v>
      </c>
      <c r="T663" t="s">
        <v>1238</v>
      </c>
      <c r="U663">
        <v>52800</v>
      </c>
    </row>
    <row r="664" spans="1:21" x14ac:dyDescent="0.25">
      <c r="A664" t="s">
        <v>676</v>
      </c>
      <c r="B664" t="str">
        <f>_xlfn.XLOOKUP(Table1[[#This Row],[date]],Table8[date],Table8[id_date])</f>
        <v>TGL0861</v>
      </c>
      <c r="C664" s="1">
        <v>45762</v>
      </c>
      <c r="D664" s="1" t="str">
        <f>_xlfn.XLOOKUP(Table1[[#This Row],[customer_name]],Table11[customer_name],Table11[id_cust])</f>
        <v>CNA0748</v>
      </c>
      <c r="E664" t="s">
        <v>1202</v>
      </c>
      <c r="F664">
        <v>17</v>
      </c>
      <c r="G664" t="str">
        <f>_xlfn.XLOOKUP(Table1[[#This Row],[branch_name]],Table3[branch_name],Table3[id_branch])</f>
        <v>BRCH003</v>
      </c>
      <c r="H664" t="s">
        <v>1215</v>
      </c>
      <c r="I664" t="str">
        <f>_xlfn.XLOOKUP(Table1[[#This Row],[city]],Table4[city],Table4[id_city])</f>
        <v>KOA0104</v>
      </c>
      <c r="J664" t="s">
        <v>1220</v>
      </c>
      <c r="K664" t="str">
        <f>_xlfn.XLOOKUP(Table1[[#This Row],[menu_name]],Table5[menu_name],Table5[id_menu])</f>
        <v>MENU009</v>
      </c>
      <c r="L664" t="s">
        <v>1231</v>
      </c>
      <c r="M664" t="str">
        <f>_xlfn.XLOOKUP(Table1[[#This Row],[category]],Table6[category],Table6[id_category])</f>
        <v>KTG0206</v>
      </c>
      <c r="N664" t="s">
        <v>1234</v>
      </c>
      <c r="O664">
        <v>4</v>
      </c>
      <c r="P664">
        <v>18000</v>
      </c>
      <c r="Q664">
        <v>20</v>
      </c>
      <c r="R664">
        <v>3.1</v>
      </c>
      <c r="S664" t="str">
        <f>_xlfn.XLOOKUP(Table1[[#This Row],[method]],Table7[method],Table7[id_method])</f>
        <v>PAY0711</v>
      </c>
      <c r="T664" t="s">
        <v>1238</v>
      </c>
      <c r="U664">
        <v>57600</v>
      </c>
    </row>
    <row r="665" spans="1:21" x14ac:dyDescent="0.25">
      <c r="A665" t="s">
        <v>677</v>
      </c>
      <c r="B665" t="str">
        <f>_xlfn.XLOOKUP(Table1[[#This Row],[date]],Table8[date],Table8[id_date])</f>
        <v>TGL0862</v>
      </c>
      <c r="C665" s="1">
        <v>45764</v>
      </c>
      <c r="D665" s="1" t="str">
        <f>_xlfn.XLOOKUP(Table1[[#This Row],[customer_name]],Table11[customer_name],Table11[id_cust])</f>
        <v>CNA0256</v>
      </c>
      <c r="E665" t="s">
        <v>1129</v>
      </c>
      <c r="F665">
        <v>29</v>
      </c>
      <c r="G665" t="str">
        <f>_xlfn.XLOOKUP(Table1[[#This Row],[branch_name]],Table3[branch_name],Table3[id_branch])</f>
        <v>BRCH003</v>
      </c>
      <c r="H665" t="s">
        <v>1215</v>
      </c>
      <c r="I665" t="str">
        <f>_xlfn.XLOOKUP(Table1[[#This Row],[city]],Table4[city],Table4[id_city])</f>
        <v>KOA0104</v>
      </c>
      <c r="J665" t="s">
        <v>1220</v>
      </c>
      <c r="K665" t="str">
        <f>_xlfn.XLOOKUP(Table1[[#This Row],[menu_name]],Table5[menu_name],Table5[id_menu])</f>
        <v>MENU006</v>
      </c>
      <c r="L665" t="s">
        <v>1228</v>
      </c>
      <c r="M665" t="str">
        <f>_xlfn.XLOOKUP(Table1[[#This Row],[category]],Table6[category],Table6[id_category])</f>
        <v>KTG0206</v>
      </c>
      <c r="N665" t="s">
        <v>1234</v>
      </c>
      <c r="O665">
        <v>5</v>
      </c>
      <c r="P665">
        <v>32000</v>
      </c>
      <c r="Q665">
        <v>15</v>
      </c>
      <c r="R665">
        <v>3.7</v>
      </c>
      <c r="S665" t="str">
        <f>_xlfn.XLOOKUP(Table1[[#This Row],[method]],Table7[method],Table7[id_method])</f>
        <v>PAY0710</v>
      </c>
      <c r="T665" t="s">
        <v>1237</v>
      </c>
      <c r="U665">
        <v>136000</v>
      </c>
    </row>
    <row r="666" spans="1:21" x14ac:dyDescent="0.25">
      <c r="A666" t="s">
        <v>678</v>
      </c>
      <c r="B666" t="str">
        <f>_xlfn.XLOOKUP(Table1[[#This Row],[date]],Table8[date],Table8[id_date])</f>
        <v>TGL0862</v>
      </c>
      <c r="C666" s="1">
        <v>45764</v>
      </c>
      <c r="D666" s="1" t="str">
        <f>_xlfn.XLOOKUP(Table1[[#This Row],[customer_name]],Table11[customer_name],Table11[id_cust])</f>
        <v>CNA0420</v>
      </c>
      <c r="E666" t="s">
        <v>1177</v>
      </c>
      <c r="F666">
        <v>44</v>
      </c>
      <c r="G666" t="str">
        <f>_xlfn.XLOOKUP(Table1[[#This Row],[branch_name]],Table3[branch_name],Table3[id_branch])</f>
        <v>BRCH003</v>
      </c>
      <c r="H666" t="s">
        <v>1215</v>
      </c>
      <c r="I666" t="str">
        <f>_xlfn.XLOOKUP(Table1[[#This Row],[city]],Table4[city],Table4[id_city])</f>
        <v>KOA0104</v>
      </c>
      <c r="J666" t="s">
        <v>1220</v>
      </c>
      <c r="K666" t="str">
        <f>_xlfn.XLOOKUP(Table1[[#This Row],[menu_name]],Table5[menu_name],Table5[id_menu])</f>
        <v>MENU008</v>
      </c>
      <c r="L666" t="s">
        <v>1230</v>
      </c>
      <c r="M666" t="str">
        <f>_xlfn.XLOOKUP(Table1[[#This Row],[category]],Table6[category],Table6[id_category])</f>
        <v>KTG0205</v>
      </c>
      <c r="N666" t="s">
        <v>1233</v>
      </c>
      <c r="O666">
        <v>4</v>
      </c>
      <c r="P666">
        <v>20000</v>
      </c>
      <c r="Q666">
        <v>20</v>
      </c>
      <c r="R666">
        <v>1.5</v>
      </c>
      <c r="S666" t="str">
        <f>_xlfn.XLOOKUP(Table1[[#This Row],[method]],Table7[method],Table7[id_method])</f>
        <v>PAY0709</v>
      </c>
      <c r="T666" t="s">
        <v>1236</v>
      </c>
      <c r="U666">
        <v>64000</v>
      </c>
    </row>
    <row r="667" spans="1:21" x14ac:dyDescent="0.25">
      <c r="A667" t="s">
        <v>679</v>
      </c>
      <c r="B667" t="str">
        <f>_xlfn.XLOOKUP(Table1[[#This Row],[date]],Table8[date],Table8[id_date])</f>
        <v>TGL0863</v>
      </c>
      <c r="C667" s="1">
        <v>45765</v>
      </c>
      <c r="D667" s="1" t="str">
        <f>_xlfn.XLOOKUP(Table1[[#This Row],[customer_name]],Table11[customer_name],Table11[id_cust])</f>
        <v>CNA0292</v>
      </c>
      <c r="E667" t="s">
        <v>1146</v>
      </c>
      <c r="F667">
        <v>18</v>
      </c>
      <c r="G667" t="str">
        <f>_xlfn.XLOOKUP(Table1[[#This Row],[branch_name]],Table3[branch_name],Table3[id_branch])</f>
        <v>BRCH003</v>
      </c>
      <c r="H667" t="s">
        <v>1215</v>
      </c>
      <c r="I667" t="str">
        <f>_xlfn.XLOOKUP(Table1[[#This Row],[city]],Table4[city],Table4[id_city])</f>
        <v>KOA0104</v>
      </c>
      <c r="J667" t="s">
        <v>1220</v>
      </c>
      <c r="K667" t="str">
        <f>_xlfn.XLOOKUP(Table1[[#This Row],[menu_name]],Table5[menu_name],Table5[id_menu])</f>
        <v>MENU004</v>
      </c>
      <c r="L667" t="s">
        <v>1226</v>
      </c>
      <c r="M667" t="str">
        <f>_xlfn.XLOOKUP(Table1[[#This Row],[category]],Table6[category],Table6[id_category])</f>
        <v>KTG0207</v>
      </c>
      <c r="N667" t="s">
        <v>1235</v>
      </c>
      <c r="O667">
        <v>5</v>
      </c>
      <c r="P667">
        <v>28000</v>
      </c>
      <c r="Q667">
        <v>10</v>
      </c>
      <c r="R667">
        <v>4.8</v>
      </c>
      <c r="S667" t="str">
        <f>_xlfn.XLOOKUP(Table1[[#This Row],[method]],Table7[method],Table7[id_method])</f>
        <v>PAY0710</v>
      </c>
      <c r="T667" t="s">
        <v>1237</v>
      </c>
      <c r="U667">
        <v>126000</v>
      </c>
    </row>
    <row r="668" spans="1:21" x14ac:dyDescent="0.25">
      <c r="A668" t="s">
        <v>680</v>
      </c>
      <c r="B668" t="str">
        <f>_xlfn.XLOOKUP(Table1[[#This Row],[date]],Table8[date],Table8[id_date])</f>
        <v>TGL0863</v>
      </c>
      <c r="C668" s="1">
        <v>45765</v>
      </c>
      <c r="D668" s="1" t="str">
        <f>_xlfn.XLOOKUP(Table1[[#This Row],[customer_name]],Table11[customer_name],Table11[id_cust])</f>
        <v>CNA0391</v>
      </c>
      <c r="E668" t="s">
        <v>1171</v>
      </c>
      <c r="F668">
        <v>44</v>
      </c>
      <c r="G668" t="str">
        <f>_xlfn.XLOOKUP(Table1[[#This Row],[branch_name]],Table3[branch_name],Table3[id_branch])</f>
        <v>BRCH005</v>
      </c>
      <c r="H668" t="s">
        <v>1217</v>
      </c>
      <c r="I668" t="str">
        <f>_xlfn.XLOOKUP(Table1[[#This Row],[city]],Table4[city],Table4[id_city])</f>
        <v>KOA0106</v>
      </c>
      <c r="J668" t="s">
        <v>1222</v>
      </c>
      <c r="K668" t="str">
        <f>_xlfn.XLOOKUP(Table1[[#This Row],[menu_name]],Table5[menu_name],Table5[id_menu])</f>
        <v>MENU003</v>
      </c>
      <c r="L668" t="s">
        <v>1225</v>
      </c>
      <c r="M668" t="str">
        <f>_xlfn.XLOOKUP(Table1[[#This Row],[category]],Table6[category],Table6[id_category])</f>
        <v>KTG0205</v>
      </c>
      <c r="N668" t="s">
        <v>1233</v>
      </c>
      <c r="O668">
        <v>3</v>
      </c>
      <c r="P668">
        <v>22000</v>
      </c>
      <c r="Q668">
        <v>0</v>
      </c>
      <c r="R668">
        <v>2.6</v>
      </c>
      <c r="S668" t="str">
        <f>_xlfn.XLOOKUP(Table1[[#This Row],[method]],Table7[method],Table7[id_method])</f>
        <v>PAY0710</v>
      </c>
      <c r="T668" t="s">
        <v>1237</v>
      </c>
      <c r="U668">
        <v>66000</v>
      </c>
    </row>
    <row r="669" spans="1:21" x14ac:dyDescent="0.25">
      <c r="A669" t="s">
        <v>681</v>
      </c>
      <c r="B669" t="str">
        <f>_xlfn.XLOOKUP(Table1[[#This Row],[date]],Table8[date],Table8[id_date])</f>
        <v>TGL0863</v>
      </c>
      <c r="C669" s="1">
        <v>45765</v>
      </c>
      <c r="D669" s="1" t="str">
        <f>_xlfn.XLOOKUP(Table1[[#This Row],[customer_name]],Table11[customer_name],Table11[id_cust])</f>
        <v>CNA0104</v>
      </c>
      <c r="E669" t="s">
        <v>1017</v>
      </c>
      <c r="F669">
        <v>41</v>
      </c>
      <c r="G669" t="str">
        <f>_xlfn.XLOOKUP(Table1[[#This Row],[branch_name]],Table3[branch_name],Table3[id_branch])</f>
        <v>BRCH004</v>
      </c>
      <c r="H669" t="s">
        <v>1216</v>
      </c>
      <c r="I669" t="str">
        <f>_xlfn.XLOOKUP(Table1[[#This Row],[city]],Table4[city],Table4[id_city])</f>
        <v>KOA0105</v>
      </c>
      <c r="J669" t="s">
        <v>1221</v>
      </c>
      <c r="K669" t="str">
        <f>_xlfn.XLOOKUP(Table1[[#This Row],[menu_name]],Table5[menu_name],Table5[id_menu])</f>
        <v>MENU010</v>
      </c>
      <c r="L669" t="s">
        <v>1232</v>
      </c>
      <c r="M669" t="str">
        <f>_xlfn.XLOOKUP(Table1[[#This Row],[category]],Table6[category],Table6[id_category])</f>
        <v>KTG0205</v>
      </c>
      <c r="N669" t="s">
        <v>1233</v>
      </c>
      <c r="O669">
        <v>4</v>
      </c>
      <c r="P669">
        <v>18000</v>
      </c>
      <c r="Q669">
        <v>0</v>
      </c>
      <c r="R669">
        <v>4.8</v>
      </c>
      <c r="S669" t="str">
        <f>_xlfn.XLOOKUP(Table1[[#This Row],[method]],Table7[method],Table7[id_method])</f>
        <v>PAY0709</v>
      </c>
      <c r="T669" t="s">
        <v>1236</v>
      </c>
      <c r="U669">
        <v>72000</v>
      </c>
    </row>
    <row r="670" spans="1:21" x14ac:dyDescent="0.25">
      <c r="A670" t="s">
        <v>682</v>
      </c>
      <c r="B670" t="str">
        <f>_xlfn.XLOOKUP(Table1[[#This Row],[date]],Table8[date],Table8[id_date])</f>
        <v>TGL0863</v>
      </c>
      <c r="C670" s="1">
        <v>45765</v>
      </c>
      <c r="D670" s="1" t="str">
        <f>_xlfn.XLOOKUP(Table1[[#This Row],[customer_name]],Table11[customer_name],Table11[id_cust])</f>
        <v>CNA0133</v>
      </c>
      <c r="E670" t="s">
        <v>1045</v>
      </c>
      <c r="F670">
        <v>42</v>
      </c>
      <c r="G670" t="str">
        <f>_xlfn.XLOOKUP(Table1[[#This Row],[branch_name]],Table3[branch_name],Table3[id_branch])</f>
        <v>BRCH003</v>
      </c>
      <c r="H670" t="s">
        <v>1215</v>
      </c>
      <c r="I670" t="str">
        <f>_xlfn.XLOOKUP(Table1[[#This Row],[city]],Table4[city],Table4[id_city])</f>
        <v>KOA0104</v>
      </c>
      <c r="J670" t="s">
        <v>1220</v>
      </c>
      <c r="K670" t="str">
        <f>_xlfn.XLOOKUP(Table1[[#This Row],[menu_name]],Table5[menu_name],Table5[id_menu])</f>
        <v>MENU001</v>
      </c>
      <c r="L670" t="s">
        <v>1223</v>
      </c>
      <c r="M670" t="str">
        <f>_xlfn.XLOOKUP(Table1[[#This Row],[category]],Table6[category],Table6[id_category])</f>
        <v>KTG0205</v>
      </c>
      <c r="N670" t="s">
        <v>1233</v>
      </c>
      <c r="O670">
        <v>1</v>
      </c>
      <c r="P670">
        <v>25000</v>
      </c>
      <c r="Q670">
        <v>0</v>
      </c>
      <c r="R670">
        <v>2.7</v>
      </c>
      <c r="S670" t="str">
        <f>_xlfn.XLOOKUP(Table1[[#This Row],[method]],Table7[method],Table7[id_method])</f>
        <v>PAY0712</v>
      </c>
      <c r="T670" t="s">
        <v>1239</v>
      </c>
      <c r="U670">
        <v>25000</v>
      </c>
    </row>
    <row r="671" spans="1:21" x14ac:dyDescent="0.25">
      <c r="A671" t="s">
        <v>683</v>
      </c>
      <c r="B671" t="str">
        <f>_xlfn.XLOOKUP(Table1[[#This Row],[date]],Table8[date],Table8[id_date])</f>
        <v>TGL0864</v>
      </c>
      <c r="C671" s="1">
        <v>45766</v>
      </c>
      <c r="D671" s="1" t="str">
        <f>_xlfn.XLOOKUP(Table1[[#This Row],[customer_name]],Table11[customer_name],Table11[id_cust])</f>
        <v>CNA0348</v>
      </c>
      <c r="E671" t="s">
        <v>1164</v>
      </c>
      <c r="F671">
        <v>42</v>
      </c>
      <c r="G671" t="str">
        <f>_xlfn.XLOOKUP(Table1[[#This Row],[branch_name]],Table3[branch_name],Table3[id_branch])</f>
        <v>BRCH005</v>
      </c>
      <c r="H671" t="s">
        <v>1217</v>
      </c>
      <c r="I671" t="str">
        <f>_xlfn.XLOOKUP(Table1[[#This Row],[city]],Table4[city],Table4[id_city])</f>
        <v>KOA0106</v>
      </c>
      <c r="J671" t="s">
        <v>1222</v>
      </c>
      <c r="K671" t="str">
        <f>_xlfn.XLOOKUP(Table1[[#This Row],[menu_name]],Table5[menu_name],Table5[id_menu])</f>
        <v>MENU009</v>
      </c>
      <c r="L671" t="s">
        <v>1231</v>
      </c>
      <c r="M671" t="str">
        <f>_xlfn.XLOOKUP(Table1[[#This Row],[category]],Table6[category],Table6[id_category])</f>
        <v>KTG0206</v>
      </c>
      <c r="N671" t="s">
        <v>1234</v>
      </c>
      <c r="O671">
        <v>1</v>
      </c>
      <c r="P671">
        <v>18000</v>
      </c>
      <c r="Q671">
        <v>10</v>
      </c>
      <c r="R671">
        <v>1.3</v>
      </c>
      <c r="S671" t="str">
        <f>_xlfn.XLOOKUP(Table1[[#This Row],[method]],Table7[method],Table7[id_method])</f>
        <v>PAY0712</v>
      </c>
      <c r="T671" t="s">
        <v>1239</v>
      </c>
      <c r="U671">
        <v>16200</v>
      </c>
    </row>
    <row r="672" spans="1:21" x14ac:dyDescent="0.25">
      <c r="A672" t="s">
        <v>684</v>
      </c>
      <c r="B672" t="str">
        <f>_xlfn.XLOOKUP(Table1[[#This Row],[date]],Table8[date],Table8[id_date])</f>
        <v>TGL0864</v>
      </c>
      <c r="C672" s="1">
        <v>45766</v>
      </c>
      <c r="D672" s="1" t="str">
        <f>_xlfn.XLOOKUP(Table1[[#This Row],[customer_name]],Table11[customer_name],Table11[id_cust])</f>
        <v>CNA0138</v>
      </c>
      <c r="E672" t="s">
        <v>1049</v>
      </c>
      <c r="F672">
        <v>53</v>
      </c>
      <c r="G672" t="str">
        <f>_xlfn.XLOOKUP(Table1[[#This Row],[branch_name]],Table3[branch_name],Table3[id_branch])</f>
        <v>BRCH001</v>
      </c>
      <c r="H672" t="s">
        <v>1213</v>
      </c>
      <c r="I672" t="str">
        <f>_xlfn.XLOOKUP(Table1[[#This Row],[city]],Table4[city],Table4[id_city])</f>
        <v>KOA0102</v>
      </c>
      <c r="J672" t="s">
        <v>1218</v>
      </c>
      <c r="K672" t="str">
        <f>_xlfn.XLOOKUP(Table1[[#This Row],[menu_name]],Table5[menu_name],Table5[id_menu])</f>
        <v>MENU003</v>
      </c>
      <c r="L672" t="s">
        <v>1225</v>
      </c>
      <c r="M672" t="str">
        <f>_xlfn.XLOOKUP(Table1[[#This Row],[category]],Table6[category],Table6[id_category])</f>
        <v>KTG0205</v>
      </c>
      <c r="N672" t="s">
        <v>1233</v>
      </c>
      <c r="O672">
        <v>2</v>
      </c>
      <c r="P672">
        <v>22000</v>
      </c>
      <c r="Q672">
        <v>10</v>
      </c>
      <c r="R672">
        <v>3.6</v>
      </c>
      <c r="S672" t="str">
        <f>_xlfn.XLOOKUP(Table1[[#This Row],[method]],Table7[method],Table7[id_method])</f>
        <v>PAY0710</v>
      </c>
      <c r="T672" t="s">
        <v>1237</v>
      </c>
      <c r="U672">
        <v>39600</v>
      </c>
    </row>
    <row r="673" spans="1:21" x14ac:dyDescent="0.25">
      <c r="A673" t="s">
        <v>685</v>
      </c>
      <c r="B673" t="str">
        <f>_xlfn.XLOOKUP(Table1[[#This Row],[date]],Table8[date],Table8[id_date])</f>
        <v>TGL0865</v>
      </c>
      <c r="C673" s="1">
        <v>45767</v>
      </c>
      <c r="D673" s="1" t="str">
        <f>_xlfn.XLOOKUP(Table1[[#This Row],[customer_name]],Table11[customer_name],Table11[id_cust])</f>
        <v>CNA0772</v>
      </c>
      <c r="E673" t="s">
        <v>1204</v>
      </c>
      <c r="F673">
        <v>28</v>
      </c>
      <c r="G673" t="str">
        <f>_xlfn.XLOOKUP(Table1[[#This Row],[branch_name]],Table3[branch_name],Table3[id_branch])</f>
        <v>BRCH004</v>
      </c>
      <c r="H673" t="s">
        <v>1216</v>
      </c>
      <c r="I673" t="str">
        <f>_xlfn.XLOOKUP(Table1[[#This Row],[city]],Table4[city],Table4[id_city])</f>
        <v>KOA0105</v>
      </c>
      <c r="J673" t="s">
        <v>1221</v>
      </c>
      <c r="K673" t="str">
        <f>_xlfn.XLOOKUP(Table1[[#This Row],[menu_name]],Table5[menu_name],Table5[id_menu])</f>
        <v>MENU002</v>
      </c>
      <c r="L673" t="s">
        <v>1224</v>
      </c>
      <c r="M673" t="str">
        <f>_xlfn.XLOOKUP(Table1[[#This Row],[category]],Table6[category],Table6[id_category])</f>
        <v>KTG0206</v>
      </c>
      <c r="N673" t="s">
        <v>1234</v>
      </c>
      <c r="O673">
        <v>1</v>
      </c>
      <c r="P673">
        <v>30000</v>
      </c>
      <c r="Q673">
        <v>0</v>
      </c>
      <c r="R673">
        <v>2.1</v>
      </c>
      <c r="S673" t="str">
        <f>_xlfn.XLOOKUP(Table1[[#This Row],[method]],Table7[method],Table7[id_method])</f>
        <v>PAY0712</v>
      </c>
      <c r="T673" t="s">
        <v>1239</v>
      </c>
      <c r="U673">
        <v>30000</v>
      </c>
    </row>
    <row r="674" spans="1:21" x14ac:dyDescent="0.25">
      <c r="A674" t="s">
        <v>686</v>
      </c>
      <c r="B674" t="str">
        <f>_xlfn.XLOOKUP(Table1[[#This Row],[date]],Table8[date],Table8[id_date])</f>
        <v>TGL0865</v>
      </c>
      <c r="C674" s="1">
        <v>45767</v>
      </c>
      <c r="D674" s="1" t="str">
        <f>_xlfn.XLOOKUP(Table1[[#This Row],[customer_name]],Table11[customer_name],Table11[id_cust])</f>
        <v>CNA0287</v>
      </c>
      <c r="E674" t="s">
        <v>1142</v>
      </c>
      <c r="F674">
        <v>31</v>
      </c>
      <c r="G674" t="str">
        <f>_xlfn.XLOOKUP(Table1[[#This Row],[branch_name]],Table3[branch_name],Table3[id_branch])</f>
        <v>BRCH003</v>
      </c>
      <c r="H674" t="s">
        <v>1215</v>
      </c>
      <c r="I674" t="str">
        <f>_xlfn.XLOOKUP(Table1[[#This Row],[city]],Table4[city],Table4[id_city])</f>
        <v>KOA0104</v>
      </c>
      <c r="J674" t="s">
        <v>1220</v>
      </c>
      <c r="K674" t="str">
        <f>_xlfn.XLOOKUP(Table1[[#This Row],[menu_name]],Table5[menu_name],Table5[id_menu])</f>
        <v>MENU008</v>
      </c>
      <c r="L674" t="s">
        <v>1230</v>
      </c>
      <c r="M674" t="str">
        <f>_xlfn.XLOOKUP(Table1[[#This Row],[category]],Table6[category],Table6[id_category])</f>
        <v>KTG0205</v>
      </c>
      <c r="N674" t="s">
        <v>1233</v>
      </c>
      <c r="O674">
        <v>5</v>
      </c>
      <c r="P674">
        <v>20000</v>
      </c>
      <c r="Q674">
        <v>15</v>
      </c>
      <c r="R674">
        <v>4.5</v>
      </c>
      <c r="S674" t="str">
        <f>_xlfn.XLOOKUP(Table1[[#This Row],[method]],Table7[method],Table7[id_method])</f>
        <v>PAY0710</v>
      </c>
      <c r="T674" t="s">
        <v>1237</v>
      </c>
      <c r="U674">
        <v>85000</v>
      </c>
    </row>
    <row r="675" spans="1:21" x14ac:dyDescent="0.25">
      <c r="A675" t="s">
        <v>687</v>
      </c>
      <c r="B675" t="str">
        <f>_xlfn.XLOOKUP(Table1[[#This Row],[date]],Table8[date],Table8[id_date])</f>
        <v>TGL0865</v>
      </c>
      <c r="C675" s="1">
        <v>45767</v>
      </c>
      <c r="D675" s="1" t="str">
        <f>_xlfn.XLOOKUP(Table1[[#This Row],[customer_name]],Table11[customer_name],Table11[id_cust])</f>
        <v>CNA0162</v>
      </c>
      <c r="E675" t="s">
        <v>1068</v>
      </c>
      <c r="F675">
        <v>24</v>
      </c>
      <c r="G675" t="str">
        <f>_xlfn.XLOOKUP(Table1[[#This Row],[branch_name]],Table3[branch_name],Table3[id_branch])</f>
        <v>BRCH003</v>
      </c>
      <c r="H675" t="s">
        <v>1215</v>
      </c>
      <c r="I675" t="str">
        <f>_xlfn.XLOOKUP(Table1[[#This Row],[city]],Table4[city],Table4[id_city])</f>
        <v>KOA0104</v>
      </c>
      <c r="J675" t="s">
        <v>1220</v>
      </c>
      <c r="K675" t="str">
        <f>_xlfn.XLOOKUP(Table1[[#This Row],[menu_name]],Table5[menu_name],Table5[id_menu])</f>
        <v>MENU003</v>
      </c>
      <c r="L675" t="s">
        <v>1225</v>
      </c>
      <c r="M675" t="str">
        <f>_xlfn.XLOOKUP(Table1[[#This Row],[category]],Table6[category],Table6[id_category])</f>
        <v>KTG0205</v>
      </c>
      <c r="N675" t="s">
        <v>1233</v>
      </c>
      <c r="O675">
        <v>4</v>
      </c>
      <c r="P675">
        <v>22000</v>
      </c>
      <c r="Q675">
        <v>15</v>
      </c>
      <c r="R675">
        <v>1.2</v>
      </c>
      <c r="S675" t="str">
        <f>_xlfn.XLOOKUP(Table1[[#This Row],[method]],Table7[method],Table7[id_method])</f>
        <v>PAY0709</v>
      </c>
      <c r="T675" t="s">
        <v>1236</v>
      </c>
      <c r="U675">
        <v>74800</v>
      </c>
    </row>
    <row r="676" spans="1:21" x14ac:dyDescent="0.25">
      <c r="A676" t="s">
        <v>688</v>
      </c>
      <c r="B676" t="str">
        <f>_xlfn.XLOOKUP(Table1[[#This Row],[date]],Table8[date],Table8[id_date])</f>
        <v>TGL0865</v>
      </c>
      <c r="C676" s="1">
        <v>45767</v>
      </c>
      <c r="D676" s="1" t="str">
        <f>_xlfn.XLOOKUP(Table1[[#This Row],[customer_name]],Table11[customer_name],Table11[id_cust])</f>
        <v>CNA0278</v>
      </c>
      <c r="E676" t="s">
        <v>1139</v>
      </c>
      <c r="F676">
        <v>32</v>
      </c>
      <c r="G676" t="str">
        <f>_xlfn.XLOOKUP(Table1[[#This Row],[branch_name]],Table3[branch_name],Table3[id_branch])</f>
        <v>BRCH001</v>
      </c>
      <c r="H676" t="s">
        <v>1213</v>
      </c>
      <c r="I676" t="str">
        <f>_xlfn.XLOOKUP(Table1[[#This Row],[city]],Table4[city],Table4[id_city])</f>
        <v>KOA0102</v>
      </c>
      <c r="J676" t="s">
        <v>1218</v>
      </c>
      <c r="K676" t="str">
        <f>_xlfn.XLOOKUP(Table1[[#This Row],[menu_name]],Table5[menu_name],Table5[id_menu])</f>
        <v>MENU003</v>
      </c>
      <c r="L676" t="s">
        <v>1225</v>
      </c>
      <c r="M676" t="str">
        <f>_xlfn.XLOOKUP(Table1[[#This Row],[category]],Table6[category],Table6[id_category])</f>
        <v>KTG0205</v>
      </c>
      <c r="N676" t="s">
        <v>1233</v>
      </c>
      <c r="O676">
        <v>3</v>
      </c>
      <c r="P676">
        <v>22000</v>
      </c>
      <c r="Q676">
        <v>0</v>
      </c>
      <c r="R676">
        <v>4.7</v>
      </c>
      <c r="S676" t="str">
        <f>_xlfn.XLOOKUP(Table1[[#This Row],[method]],Table7[method],Table7[id_method])</f>
        <v>PAY0711</v>
      </c>
      <c r="T676" t="s">
        <v>1238</v>
      </c>
      <c r="U676">
        <v>66000</v>
      </c>
    </row>
    <row r="677" spans="1:21" x14ac:dyDescent="0.25">
      <c r="A677" t="s">
        <v>689</v>
      </c>
      <c r="B677" t="str">
        <f>_xlfn.XLOOKUP(Table1[[#This Row],[date]],Table8[date],Table8[id_date])</f>
        <v>TGL0866</v>
      </c>
      <c r="C677" s="1">
        <v>45768</v>
      </c>
      <c r="D677" s="1" t="str">
        <f>_xlfn.XLOOKUP(Table1[[#This Row],[customer_name]],Table11[customer_name],Table11[id_cust])</f>
        <v>CNA0284</v>
      </c>
      <c r="E677" t="s">
        <v>1141</v>
      </c>
      <c r="F677">
        <v>21</v>
      </c>
      <c r="G677" t="str">
        <f>_xlfn.XLOOKUP(Table1[[#This Row],[branch_name]],Table3[branch_name],Table3[id_branch])</f>
        <v>BRCH004</v>
      </c>
      <c r="H677" t="s">
        <v>1216</v>
      </c>
      <c r="I677" t="str">
        <f>_xlfn.XLOOKUP(Table1[[#This Row],[city]],Table4[city],Table4[id_city])</f>
        <v>KOA0105</v>
      </c>
      <c r="J677" t="s">
        <v>1221</v>
      </c>
      <c r="K677" t="str">
        <f>_xlfn.XLOOKUP(Table1[[#This Row],[menu_name]],Table5[menu_name],Table5[id_menu])</f>
        <v>MENU010</v>
      </c>
      <c r="L677" t="s">
        <v>1232</v>
      </c>
      <c r="M677" t="str">
        <f>_xlfn.XLOOKUP(Table1[[#This Row],[category]],Table6[category],Table6[id_category])</f>
        <v>KTG0205</v>
      </c>
      <c r="N677" t="s">
        <v>1233</v>
      </c>
      <c r="O677">
        <v>1</v>
      </c>
      <c r="P677">
        <v>18000</v>
      </c>
      <c r="Q677">
        <v>5</v>
      </c>
      <c r="R677">
        <v>4.5999999999999996</v>
      </c>
      <c r="S677" t="str">
        <f>_xlfn.XLOOKUP(Table1[[#This Row],[method]],Table7[method],Table7[id_method])</f>
        <v>PAY0712</v>
      </c>
      <c r="T677" t="s">
        <v>1239</v>
      </c>
      <c r="U677">
        <v>17100</v>
      </c>
    </row>
    <row r="678" spans="1:21" x14ac:dyDescent="0.25">
      <c r="A678" t="s">
        <v>690</v>
      </c>
      <c r="B678" t="str">
        <f>_xlfn.XLOOKUP(Table1[[#This Row],[date]],Table8[date],Table8[id_date])</f>
        <v>TGL0866</v>
      </c>
      <c r="C678" s="1">
        <v>45768</v>
      </c>
      <c r="D678" s="1" t="str">
        <f>_xlfn.XLOOKUP(Table1[[#This Row],[customer_name]],Table11[customer_name],Table11[id_cust])</f>
        <v>CNA0124</v>
      </c>
      <c r="E678" t="s">
        <v>1037</v>
      </c>
      <c r="F678">
        <v>33</v>
      </c>
      <c r="G678" t="str">
        <f>_xlfn.XLOOKUP(Table1[[#This Row],[branch_name]],Table3[branch_name],Table3[id_branch])</f>
        <v>BRCH004</v>
      </c>
      <c r="H678" t="s">
        <v>1216</v>
      </c>
      <c r="I678" t="str">
        <f>_xlfn.XLOOKUP(Table1[[#This Row],[city]],Table4[city],Table4[id_city])</f>
        <v>KOA0105</v>
      </c>
      <c r="J678" t="s">
        <v>1221</v>
      </c>
      <c r="K678" t="str">
        <f>_xlfn.XLOOKUP(Table1[[#This Row],[menu_name]],Table5[menu_name],Table5[id_menu])</f>
        <v>MENU003</v>
      </c>
      <c r="L678" t="s">
        <v>1225</v>
      </c>
      <c r="M678" t="str">
        <f>_xlfn.XLOOKUP(Table1[[#This Row],[category]],Table6[category],Table6[id_category])</f>
        <v>KTG0205</v>
      </c>
      <c r="N678" t="s">
        <v>1233</v>
      </c>
      <c r="O678">
        <v>3</v>
      </c>
      <c r="P678">
        <v>22000</v>
      </c>
      <c r="Q678">
        <v>5</v>
      </c>
      <c r="R678">
        <v>1.1000000000000001</v>
      </c>
      <c r="S678" t="str">
        <f>_xlfn.XLOOKUP(Table1[[#This Row],[method]],Table7[method],Table7[id_method])</f>
        <v>PAY0712</v>
      </c>
      <c r="T678" t="s">
        <v>1239</v>
      </c>
      <c r="U678">
        <v>62700</v>
      </c>
    </row>
    <row r="679" spans="1:21" x14ac:dyDescent="0.25">
      <c r="A679" t="s">
        <v>691</v>
      </c>
      <c r="B679" t="str">
        <f>_xlfn.XLOOKUP(Table1[[#This Row],[date]],Table8[date],Table8[id_date])</f>
        <v>TGL0866</v>
      </c>
      <c r="C679" s="1">
        <v>45768</v>
      </c>
      <c r="D679" s="1" t="str">
        <f>_xlfn.XLOOKUP(Table1[[#This Row],[customer_name]],Table11[customer_name],Table11[id_cust])</f>
        <v>CNA0674</v>
      </c>
      <c r="E679" t="s">
        <v>1198</v>
      </c>
      <c r="F679">
        <v>30</v>
      </c>
      <c r="G679" t="str">
        <f>_xlfn.XLOOKUP(Table1[[#This Row],[branch_name]],Table3[branch_name],Table3[id_branch])</f>
        <v>BRCH002</v>
      </c>
      <c r="H679" t="s">
        <v>1214</v>
      </c>
      <c r="I679" t="str">
        <f>_xlfn.XLOOKUP(Table1[[#This Row],[city]],Table4[city],Table4[id_city])</f>
        <v>KOA0103</v>
      </c>
      <c r="J679" t="s">
        <v>1219</v>
      </c>
      <c r="K679" t="str">
        <f>_xlfn.XLOOKUP(Table1[[#This Row],[menu_name]],Table5[menu_name],Table5[id_menu])</f>
        <v>MENU010</v>
      </c>
      <c r="L679" t="s">
        <v>1232</v>
      </c>
      <c r="M679" t="str">
        <f>_xlfn.XLOOKUP(Table1[[#This Row],[category]],Table6[category],Table6[id_category])</f>
        <v>KTG0205</v>
      </c>
      <c r="N679" t="s">
        <v>1233</v>
      </c>
      <c r="O679">
        <v>1</v>
      </c>
      <c r="P679">
        <v>18000</v>
      </c>
      <c r="Q679">
        <v>0</v>
      </c>
      <c r="R679">
        <v>2.6</v>
      </c>
      <c r="S679" t="str">
        <f>_xlfn.XLOOKUP(Table1[[#This Row],[method]],Table7[method],Table7[id_method])</f>
        <v>PAY0709</v>
      </c>
      <c r="T679" t="s">
        <v>1236</v>
      </c>
      <c r="U679">
        <v>18000</v>
      </c>
    </row>
    <row r="680" spans="1:21" x14ac:dyDescent="0.25">
      <c r="A680" t="s">
        <v>692</v>
      </c>
      <c r="B680" t="str">
        <f>_xlfn.XLOOKUP(Table1[[#This Row],[date]],Table8[date],Table8[id_date])</f>
        <v>TGL0867</v>
      </c>
      <c r="C680" s="1">
        <v>45769</v>
      </c>
      <c r="D680" s="1" t="str">
        <f>_xlfn.XLOOKUP(Table1[[#This Row],[customer_name]],Table11[customer_name],Table11[id_cust])</f>
        <v>CNA0108</v>
      </c>
      <c r="E680" t="s">
        <v>1021</v>
      </c>
      <c r="F680">
        <v>21</v>
      </c>
      <c r="G680" t="str">
        <f>_xlfn.XLOOKUP(Table1[[#This Row],[branch_name]],Table3[branch_name],Table3[id_branch])</f>
        <v>BRCH002</v>
      </c>
      <c r="H680" t="s">
        <v>1214</v>
      </c>
      <c r="I680" t="str">
        <f>_xlfn.XLOOKUP(Table1[[#This Row],[city]],Table4[city],Table4[id_city])</f>
        <v>KOA0103</v>
      </c>
      <c r="J680" t="s">
        <v>1219</v>
      </c>
      <c r="K680" t="str">
        <f>_xlfn.XLOOKUP(Table1[[#This Row],[menu_name]],Table5[menu_name],Table5[id_menu])</f>
        <v>MENU005</v>
      </c>
      <c r="L680" t="s">
        <v>1227</v>
      </c>
      <c r="M680" t="str">
        <f>_xlfn.XLOOKUP(Table1[[#This Row],[category]],Table6[category],Table6[id_category])</f>
        <v>KTG0206</v>
      </c>
      <c r="N680" t="s">
        <v>1234</v>
      </c>
      <c r="O680">
        <v>3</v>
      </c>
      <c r="P680">
        <v>23000</v>
      </c>
      <c r="Q680">
        <v>0</v>
      </c>
      <c r="R680">
        <v>4.7</v>
      </c>
      <c r="S680" t="str">
        <f>_xlfn.XLOOKUP(Table1[[#This Row],[method]],Table7[method],Table7[id_method])</f>
        <v>PAY0711</v>
      </c>
      <c r="T680" t="s">
        <v>1238</v>
      </c>
      <c r="U680">
        <v>69000</v>
      </c>
    </row>
    <row r="681" spans="1:21" x14ac:dyDescent="0.25">
      <c r="A681" t="s">
        <v>693</v>
      </c>
      <c r="B681" t="str">
        <f>_xlfn.XLOOKUP(Table1[[#This Row],[date]],Table8[date],Table8[id_date])</f>
        <v>TGL0868</v>
      </c>
      <c r="C681" s="1">
        <v>45772</v>
      </c>
      <c r="D681" s="1" t="str">
        <f>_xlfn.XLOOKUP(Table1[[#This Row],[customer_name]],Table11[customer_name],Table11[id_cust])</f>
        <v>CNA0174</v>
      </c>
      <c r="E681" t="s">
        <v>1079</v>
      </c>
      <c r="F681">
        <v>48</v>
      </c>
      <c r="G681" t="str">
        <f>_xlfn.XLOOKUP(Table1[[#This Row],[branch_name]],Table3[branch_name],Table3[id_branch])</f>
        <v>BRCH001</v>
      </c>
      <c r="H681" t="s">
        <v>1213</v>
      </c>
      <c r="I681" t="str">
        <f>_xlfn.XLOOKUP(Table1[[#This Row],[city]],Table4[city],Table4[id_city])</f>
        <v>KOA0102</v>
      </c>
      <c r="J681" t="s">
        <v>1218</v>
      </c>
      <c r="K681" t="str">
        <f>_xlfn.XLOOKUP(Table1[[#This Row],[menu_name]],Table5[menu_name],Table5[id_menu])</f>
        <v>MENU010</v>
      </c>
      <c r="L681" t="s">
        <v>1232</v>
      </c>
      <c r="M681" t="str">
        <f>_xlfn.XLOOKUP(Table1[[#This Row],[category]],Table6[category],Table6[id_category])</f>
        <v>KTG0205</v>
      </c>
      <c r="N681" t="s">
        <v>1233</v>
      </c>
      <c r="O681">
        <v>2</v>
      </c>
      <c r="P681">
        <v>18000</v>
      </c>
      <c r="Q681">
        <v>0</v>
      </c>
      <c r="R681">
        <v>1.7</v>
      </c>
      <c r="S681" t="str">
        <f>_xlfn.XLOOKUP(Table1[[#This Row],[method]],Table7[method],Table7[id_method])</f>
        <v>PAY0712</v>
      </c>
      <c r="T681" t="s">
        <v>1239</v>
      </c>
      <c r="U681">
        <v>36000</v>
      </c>
    </row>
    <row r="682" spans="1:21" x14ac:dyDescent="0.25">
      <c r="A682" t="s">
        <v>694</v>
      </c>
      <c r="B682" t="str">
        <f>_xlfn.XLOOKUP(Table1[[#This Row],[date]],Table8[date],Table8[id_date])</f>
        <v>TGL0868</v>
      </c>
      <c r="C682" s="1">
        <v>45772</v>
      </c>
      <c r="D682" s="1" t="str">
        <f>_xlfn.XLOOKUP(Table1[[#This Row],[customer_name]],Table11[customer_name],Table11[id_cust])</f>
        <v>CNA0269</v>
      </c>
      <c r="E682" t="s">
        <v>1134</v>
      </c>
      <c r="F682">
        <v>34</v>
      </c>
      <c r="G682" t="str">
        <f>_xlfn.XLOOKUP(Table1[[#This Row],[branch_name]],Table3[branch_name],Table3[id_branch])</f>
        <v>BRCH002</v>
      </c>
      <c r="H682" t="s">
        <v>1214</v>
      </c>
      <c r="I682" t="str">
        <f>_xlfn.XLOOKUP(Table1[[#This Row],[city]],Table4[city],Table4[id_city])</f>
        <v>KOA0103</v>
      </c>
      <c r="J682" t="s">
        <v>1219</v>
      </c>
      <c r="K682" t="str">
        <f>_xlfn.XLOOKUP(Table1[[#This Row],[menu_name]],Table5[menu_name],Table5[id_menu])</f>
        <v>MENU002</v>
      </c>
      <c r="L682" t="s">
        <v>1224</v>
      </c>
      <c r="M682" t="str">
        <f>_xlfn.XLOOKUP(Table1[[#This Row],[category]],Table6[category],Table6[id_category])</f>
        <v>KTG0206</v>
      </c>
      <c r="N682" t="s">
        <v>1234</v>
      </c>
      <c r="O682">
        <v>3</v>
      </c>
      <c r="P682">
        <v>30000</v>
      </c>
      <c r="Q682">
        <v>0</v>
      </c>
      <c r="R682">
        <v>1.5</v>
      </c>
      <c r="S682" t="str">
        <f>_xlfn.XLOOKUP(Table1[[#This Row],[method]],Table7[method],Table7[id_method])</f>
        <v>PAY0712</v>
      </c>
      <c r="T682" t="s">
        <v>1239</v>
      </c>
      <c r="U682">
        <v>90000</v>
      </c>
    </row>
    <row r="683" spans="1:21" x14ac:dyDescent="0.25">
      <c r="A683" t="s">
        <v>695</v>
      </c>
      <c r="B683" t="str">
        <f>_xlfn.XLOOKUP(Table1[[#This Row],[date]],Table8[date],Table8[id_date])</f>
        <v>TGL0869</v>
      </c>
      <c r="C683" s="1">
        <v>45775</v>
      </c>
      <c r="D683" s="1" t="str">
        <f>_xlfn.XLOOKUP(Table1[[#This Row],[customer_name]],Table11[customer_name],Table11[id_cust])</f>
        <v>CNA0301</v>
      </c>
      <c r="E683" t="s">
        <v>1150</v>
      </c>
      <c r="F683">
        <v>29</v>
      </c>
      <c r="G683" t="str">
        <f>_xlfn.XLOOKUP(Table1[[#This Row],[branch_name]],Table3[branch_name],Table3[id_branch])</f>
        <v>BRCH001</v>
      </c>
      <c r="H683" t="s">
        <v>1213</v>
      </c>
      <c r="I683" t="str">
        <f>_xlfn.XLOOKUP(Table1[[#This Row],[city]],Table4[city],Table4[id_city])</f>
        <v>KOA0102</v>
      </c>
      <c r="J683" t="s">
        <v>1218</v>
      </c>
      <c r="K683" t="str">
        <f>_xlfn.XLOOKUP(Table1[[#This Row],[menu_name]],Table5[menu_name],Table5[id_menu])</f>
        <v>MENU001</v>
      </c>
      <c r="L683" t="s">
        <v>1223</v>
      </c>
      <c r="M683" t="str">
        <f>_xlfn.XLOOKUP(Table1[[#This Row],[category]],Table6[category],Table6[id_category])</f>
        <v>KTG0205</v>
      </c>
      <c r="N683" t="s">
        <v>1233</v>
      </c>
      <c r="O683">
        <v>4</v>
      </c>
      <c r="P683">
        <v>25000</v>
      </c>
      <c r="Q683">
        <v>0</v>
      </c>
      <c r="R683">
        <v>1.8</v>
      </c>
      <c r="S683" t="str">
        <f>_xlfn.XLOOKUP(Table1[[#This Row],[method]],Table7[method],Table7[id_method])</f>
        <v>PAY0709</v>
      </c>
      <c r="T683" t="s">
        <v>1236</v>
      </c>
      <c r="U683">
        <v>100000</v>
      </c>
    </row>
    <row r="684" spans="1:21" x14ac:dyDescent="0.25">
      <c r="A684" t="s">
        <v>696</v>
      </c>
      <c r="B684" t="str">
        <f>_xlfn.XLOOKUP(Table1[[#This Row],[date]],Table8[date],Table8[id_date])</f>
        <v>TGL0870</v>
      </c>
      <c r="C684" s="1">
        <v>45776</v>
      </c>
      <c r="D684" s="1" t="str">
        <f>_xlfn.XLOOKUP(Table1[[#This Row],[customer_name]],Table11[customer_name],Table11[id_cust])</f>
        <v>CNA0111</v>
      </c>
      <c r="E684" t="s">
        <v>1024</v>
      </c>
      <c r="F684">
        <v>40</v>
      </c>
      <c r="G684" t="str">
        <f>_xlfn.XLOOKUP(Table1[[#This Row],[branch_name]],Table3[branch_name],Table3[id_branch])</f>
        <v>BRCH001</v>
      </c>
      <c r="H684" t="s">
        <v>1213</v>
      </c>
      <c r="I684" t="str">
        <f>_xlfn.XLOOKUP(Table1[[#This Row],[city]],Table4[city],Table4[id_city])</f>
        <v>KOA0102</v>
      </c>
      <c r="J684" t="s">
        <v>1218</v>
      </c>
      <c r="K684" t="str">
        <f>_xlfn.XLOOKUP(Table1[[#This Row],[menu_name]],Table5[menu_name],Table5[id_menu])</f>
        <v>MENU002</v>
      </c>
      <c r="L684" t="s">
        <v>1224</v>
      </c>
      <c r="M684" t="str">
        <f>_xlfn.XLOOKUP(Table1[[#This Row],[category]],Table6[category],Table6[id_category])</f>
        <v>KTG0206</v>
      </c>
      <c r="N684" t="s">
        <v>1234</v>
      </c>
      <c r="O684">
        <v>4</v>
      </c>
      <c r="P684">
        <v>30000</v>
      </c>
      <c r="Q684">
        <v>5</v>
      </c>
      <c r="R684">
        <v>4.9000000000000004</v>
      </c>
      <c r="S684" t="str">
        <f>_xlfn.XLOOKUP(Table1[[#This Row],[method]],Table7[method],Table7[id_method])</f>
        <v>PAY0710</v>
      </c>
      <c r="T684" t="s">
        <v>1237</v>
      </c>
      <c r="U684">
        <v>114000</v>
      </c>
    </row>
    <row r="685" spans="1:21" x14ac:dyDescent="0.25">
      <c r="A685" t="s">
        <v>697</v>
      </c>
      <c r="B685" t="str">
        <f>_xlfn.XLOOKUP(Table1[[#This Row],[date]],Table8[date],Table8[id_date])</f>
        <v>TGL0871</v>
      </c>
      <c r="C685" s="1">
        <v>45779</v>
      </c>
      <c r="D685" s="1" t="str">
        <f>_xlfn.XLOOKUP(Table1[[#This Row],[customer_name]],Table11[customer_name],Table11[id_cust])</f>
        <v>CNA0113</v>
      </c>
      <c r="E685" t="s">
        <v>1026</v>
      </c>
      <c r="F685">
        <v>33</v>
      </c>
      <c r="G685" t="str">
        <f>_xlfn.XLOOKUP(Table1[[#This Row],[branch_name]],Table3[branch_name],Table3[id_branch])</f>
        <v>BRCH005</v>
      </c>
      <c r="H685" t="s">
        <v>1217</v>
      </c>
      <c r="I685" t="str">
        <f>_xlfn.XLOOKUP(Table1[[#This Row],[city]],Table4[city],Table4[id_city])</f>
        <v>KOA0106</v>
      </c>
      <c r="J685" t="s">
        <v>1222</v>
      </c>
      <c r="K685" t="str">
        <f>_xlfn.XLOOKUP(Table1[[#This Row],[menu_name]],Table5[menu_name],Table5[id_menu])</f>
        <v>MENU001</v>
      </c>
      <c r="L685" t="s">
        <v>1223</v>
      </c>
      <c r="M685" t="str">
        <f>_xlfn.XLOOKUP(Table1[[#This Row],[category]],Table6[category],Table6[id_category])</f>
        <v>KTG0205</v>
      </c>
      <c r="N685" t="s">
        <v>1233</v>
      </c>
      <c r="O685">
        <v>2</v>
      </c>
      <c r="P685">
        <v>25000</v>
      </c>
      <c r="Q685">
        <v>0</v>
      </c>
      <c r="R685">
        <v>1.8</v>
      </c>
      <c r="S685" t="str">
        <f>_xlfn.XLOOKUP(Table1[[#This Row],[method]],Table7[method],Table7[id_method])</f>
        <v>PAY0711</v>
      </c>
      <c r="T685" t="s">
        <v>1238</v>
      </c>
      <c r="U685">
        <v>50000</v>
      </c>
    </row>
    <row r="686" spans="1:21" x14ac:dyDescent="0.25">
      <c r="A686" t="s">
        <v>698</v>
      </c>
      <c r="B686" t="str">
        <f>_xlfn.XLOOKUP(Table1[[#This Row],[date]],Table8[date],Table8[id_date])</f>
        <v>TGL0871</v>
      </c>
      <c r="C686" s="1">
        <v>45779</v>
      </c>
      <c r="D686" s="1" t="str">
        <f>_xlfn.XLOOKUP(Table1[[#This Row],[customer_name]],Table11[customer_name],Table11[id_cust])</f>
        <v>CNA0204</v>
      </c>
      <c r="E686" t="s">
        <v>1099</v>
      </c>
      <c r="F686">
        <v>40</v>
      </c>
      <c r="G686" t="str">
        <f>_xlfn.XLOOKUP(Table1[[#This Row],[branch_name]],Table3[branch_name],Table3[id_branch])</f>
        <v>BRCH001</v>
      </c>
      <c r="H686" t="s">
        <v>1213</v>
      </c>
      <c r="I686" t="str">
        <f>_xlfn.XLOOKUP(Table1[[#This Row],[city]],Table4[city],Table4[id_city])</f>
        <v>KOA0102</v>
      </c>
      <c r="J686" t="s">
        <v>1218</v>
      </c>
      <c r="K686" t="str">
        <f>_xlfn.XLOOKUP(Table1[[#This Row],[menu_name]],Table5[menu_name],Table5[id_menu])</f>
        <v>MENU005</v>
      </c>
      <c r="L686" t="s">
        <v>1227</v>
      </c>
      <c r="M686" t="str">
        <f>_xlfn.XLOOKUP(Table1[[#This Row],[category]],Table6[category],Table6[id_category])</f>
        <v>KTG0206</v>
      </c>
      <c r="N686" t="s">
        <v>1234</v>
      </c>
      <c r="O686">
        <v>5</v>
      </c>
      <c r="P686">
        <v>23000</v>
      </c>
      <c r="Q686">
        <v>15</v>
      </c>
      <c r="R686">
        <v>4.5</v>
      </c>
      <c r="S686" t="str">
        <f>_xlfn.XLOOKUP(Table1[[#This Row],[method]],Table7[method],Table7[id_method])</f>
        <v>PAY0709</v>
      </c>
      <c r="T686" t="s">
        <v>1236</v>
      </c>
      <c r="U686">
        <v>97750</v>
      </c>
    </row>
    <row r="687" spans="1:21" x14ac:dyDescent="0.25">
      <c r="A687" t="s">
        <v>699</v>
      </c>
      <c r="B687" t="str">
        <f>_xlfn.XLOOKUP(Table1[[#This Row],[date]],Table8[date],Table8[id_date])</f>
        <v>TGL0872</v>
      </c>
      <c r="C687" s="1">
        <v>45781</v>
      </c>
      <c r="D687" s="1" t="str">
        <f>_xlfn.XLOOKUP(Table1[[#This Row],[customer_name]],Table11[customer_name],Table11[id_cust])</f>
        <v>CNA0195</v>
      </c>
      <c r="E687" t="s">
        <v>1093</v>
      </c>
      <c r="F687">
        <v>42</v>
      </c>
      <c r="G687" t="str">
        <f>_xlfn.XLOOKUP(Table1[[#This Row],[branch_name]],Table3[branch_name],Table3[id_branch])</f>
        <v>BRCH003</v>
      </c>
      <c r="H687" t="s">
        <v>1215</v>
      </c>
      <c r="I687" t="str">
        <f>_xlfn.XLOOKUP(Table1[[#This Row],[city]],Table4[city],Table4[id_city])</f>
        <v>KOA0104</v>
      </c>
      <c r="J687" t="s">
        <v>1220</v>
      </c>
      <c r="K687" t="str">
        <f>_xlfn.XLOOKUP(Table1[[#This Row],[menu_name]],Table5[menu_name],Table5[id_menu])</f>
        <v>MENU008</v>
      </c>
      <c r="L687" t="s">
        <v>1230</v>
      </c>
      <c r="M687" t="str">
        <f>_xlfn.XLOOKUP(Table1[[#This Row],[category]],Table6[category],Table6[id_category])</f>
        <v>KTG0205</v>
      </c>
      <c r="N687" t="s">
        <v>1233</v>
      </c>
      <c r="O687">
        <v>5</v>
      </c>
      <c r="P687">
        <v>20000</v>
      </c>
      <c r="Q687">
        <v>20</v>
      </c>
      <c r="R687">
        <v>2.7</v>
      </c>
      <c r="S687" t="str">
        <f>_xlfn.XLOOKUP(Table1[[#This Row],[method]],Table7[method],Table7[id_method])</f>
        <v>PAY0711</v>
      </c>
      <c r="T687" t="s">
        <v>1238</v>
      </c>
      <c r="U687">
        <v>80000</v>
      </c>
    </row>
    <row r="688" spans="1:21" x14ac:dyDescent="0.25">
      <c r="A688" t="s">
        <v>700</v>
      </c>
      <c r="B688" t="str">
        <f>_xlfn.XLOOKUP(Table1[[#This Row],[date]],Table8[date],Table8[id_date])</f>
        <v>TGL0873</v>
      </c>
      <c r="C688" s="1">
        <v>45782</v>
      </c>
      <c r="D688" s="1" t="str">
        <f>_xlfn.XLOOKUP(Table1[[#This Row],[customer_name]],Table11[customer_name],Table11[id_cust])</f>
        <v>CNA0101</v>
      </c>
      <c r="E688" t="s">
        <v>1014</v>
      </c>
      <c r="F688">
        <v>27</v>
      </c>
      <c r="G688" t="str">
        <f>_xlfn.XLOOKUP(Table1[[#This Row],[branch_name]],Table3[branch_name],Table3[id_branch])</f>
        <v>BRCH002</v>
      </c>
      <c r="H688" t="s">
        <v>1214</v>
      </c>
      <c r="I688" t="str">
        <f>_xlfn.XLOOKUP(Table1[[#This Row],[city]],Table4[city],Table4[id_city])</f>
        <v>KOA0103</v>
      </c>
      <c r="J688" t="s">
        <v>1219</v>
      </c>
      <c r="K688" t="str">
        <f>_xlfn.XLOOKUP(Table1[[#This Row],[menu_name]],Table5[menu_name],Table5[id_menu])</f>
        <v>MENU004</v>
      </c>
      <c r="L688" t="s">
        <v>1226</v>
      </c>
      <c r="M688" t="str">
        <f>_xlfn.XLOOKUP(Table1[[#This Row],[category]],Table6[category],Table6[id_category])</f>
        <v>KTG0207</v>
      </c>
      <c r="N688" t="s">
        <v>1235</v>
      </c>
      <c r="O688">
        <v>5</v>
      </c>
      <c r="P688">
        <v>28000</v>
      </c>
      <c r="Q688">
        <v>5</v>
      </c>
      <c r="R688">
        <v>1.6</v>
      </c>
      <c r="S688" t="str">
        <f>_xlfn.XLOOKUP(Table1[[#This Row],[method]],Table7[method],Table7[id_method])</f>
        <v>PAY0711</v>
      </c>
      <c r="T688" t="s">
        <v>1238</v>
      </c>
      <c r="U688">
        <v>133000</v>
      </c>
    </row>
    <row r="689" spans="1:21" x14ac:dyDescent="0.25">
      <c r="A689" t="s">
        <v>701</v>
      </c>
      <c r="B689" t="str">
        <f>_xlfn.XLOOKUP(Table1[[#This Row],[date]],Table8[date],Table8[id_date])</f>
        <v>TGL0874</v>
      </c>
      <c r="C689" s="1">
        <v>45783</v>
      </c>
      <c r="D689" s="1" t="str">
        <f>_xlfn.XLOOKUP(Table1[[#This Row],[customer_name]],Table11[customer_name],Table11[id_cust])</f>
        <v>CNA0289</v>
      </c>
      <c r="E689" t="s">
        <v>1143</v>
      </c>
      <c r="F689">
        <v>42</v>
      </c>
      <c r="G689" t="str">
        <f>_xlfn.XLOOKUP(Table1[[#This Row],[branch_name]],Table3[branch_name],Table3[id_branch])</f>
        <v>BRCH002</v>
      </c>
      <c r="H689" t="s">
        <v>1214</v>
      </c>
      <c r="I689" t="str">
        <f>_xlfn.XLOOKUP(Table1[[#This Row],[city]],Table4[city],Table4[id_city])</f>
        <v>KOA0103</v>
      </c>
      <c r="J689" t="s">
        <v>1219</v>
      </c>
      <c r="K689" t="str">
        <f>_xlfn.XLOOKUP(Table1[[#This Row],[menu_name]],Table5[menu_name],Table5[id_menu])</f>
        <v>MENU006</v>
      </c>
      <c r="L689" t="s">
        <v>1228</v>
      </c>
      <c r="M689" t="str">
        <f>_xlfn.XLOOKUP(Table1[[#This Row],[category]],Table6[category],Table6[id_category])</f>
        <v>KTG0206</v>
      </c>
      <c r="N689" t="s">
        <v>1234</v>
      </c>
      <c r="O689">
        <v>4</v>
      </c>
      <c r="P689">
        <v>32000</v>
      </c>
      <c r="Q689">
        <v>0</v>
      </c>
      <c r="R689">
        <v>4.5999999999999996</v>
      </c>
      <c r="S689" t="str">
        <f>_xlfn.XLOOKUP(Table1[[#This Row],[method]],Table7[method],Table7[id_method])</f>
        <v>PAY0710</v>
      </c>
      <c r="T689" t="s">
        <v>1237</v>
      </c>
      <c r="U689">
        <v>128000</v>
      </c>
    </row>
    <row r="690" spans="1:21" x14ac:dyDescent="0.25">
      <c r="A690" t="s">
        <v>702</v>
      </c>
      <c r="B690" t="str">
        <f>_xlfn.XLOOKUP(Table1[[#This Row],[date]],Table8[date],Table8[id_date])</f>
        <v>TGL0875</v>
      </c>
      <c r="C690" s="1">
        <v>45784</v>
      </c>
      <c r="D690" s="1" t="str">
        <f>_xlfn.XLOOKUP(Table1[[#This Row],[customer_name]],Table11[customer_name],Table11[id_cust])</f>
        <v>CNA0233</v>
      </c>
      <c r="E690" t="s">
        <v>1117</v>
      </c>
      <c r="F690">
        <v>18</v>
      </c>
      <c r="G690" t="str">
        <f>_xlfn.XLOOKUP(Table1[[#This Row],[branch_name]],Table3[branch_name],Table3[id_branch])</f>
        <v>BRCH005</v>
      </c>
      <c r="H690" t="s">
        <v>1217</v>
      </c>
      <c r="I690" t="str">
        <f>_xlfn.XLOOKUP(Table1[[#This Row],[city]],Table4[city],Table4[id_city])</f>
        <v>KOA0106</v>
      </c>
      <c r="J690" t="s">
        <v>1222</v>
      </c>
      <c r="K690" t="str">
        <f>_xlfn.XLOOKUP(Table1[[#This Row],[menu_name]],Table5[menu_name],Table5[id_menu])</f>
        <v>MENU004</v>
      </c>
      <c r="L690" t="s">
        <v>1226</v>
      </c>
      <c r="M690" t="str">
        <f>_xlfn.XLOOKUP(Table1[[#This Row],[category]],Table6[category],Table6[id_category])</f>
        <v>KTG0207</v>
      </c>
      <c r="N690" t="s">
        <v>1235</v>
      </c>
      <c r="O690">
        <v>5</v>
      </c>
      <c r="P690">
        <v>28000</v>
      </c>
      <c r="Q690">
        <v>10</v>
      </c>
      <c r="R690">
        <v>2.4</v>
      </c>
      <c r="S690" t="str">
        <f>_xlfn.XLOOKUP(Table1[[#This Row],[method]],Table7[method],Table7[id_method])</f>
        <v>PAY0712</v>
      </c>
      <c r="T690" t="s">
        <v>1239</v>
      </c>
      <c r="U690">
        <v>126000</v>
      </c>
    </row>
    <row r="691" spans="1:21" x14ac:dyDescent="0.25">
      <c r="A691" t="s">
        <v>703</v>
      </c>
      <c r="B691" t="str">
        <f>_xlfn.XLOOKUP(Table1[[#This Row],[date]],Table8[date],Table8[id_date])</f>
        <v>TGL0876</v>
      </c>
      <c r="C691" s="1">
        <v>45787</v>
      </c>
      <c r="D691" s="1" t="str">
        <f>_xlfn.XLOOKUP(Table1[[#This Row],[customer_name]],Table11[customer_name],Table11[id_cust])</f>
        <v>CNA0211</v>
      </c>
      <c r="E691" t="s">
        <v>1103</v>
      </c>
      <c r="F691">
        <v>49</v>
      </c>
      <c r="G691" t="str">
        <f>_xlfn.XLOOKUP(Table1[[#This Row],[branch_name]],Table3[branch_name],Table3[id_branch])</f>
        <v>BRCH001</v>
      </c>
      <c r="H691" t="s">
        <v>1213</v>
      </c>
      <c r="I691" t="str">
        <f>_xlfn.XLOOKUP(Table1[[#This Row],[city]],Table4[city],Table4[id_city])</f>
        <v>KOA0102</v>
      </c>
      <c r="J691" t="s">
        <v>1218</v>
      </c>
      <c r="K691" t="str">
        <f>_xlfn.XLOOKUP(Table1[[#This Row],[menu_name]],Table5[menu_name],Table5[id_menu])</f>
        <v>MENU006</v>
      </c>
      <c r="L691" t="s">
        <v>1228</v>
      </c>
      <c r="M691" t="str">
        <f>_xlfn.XLOOKUP(Table1[[#This Row],[category]],Table6[category],Table6[id_category])</f>
        <v>KTG0206</v>
      </c>
      <c r="N691" t="s">
        <v>1234</v>
      </c>
      <c r="O691">
        <v>5</v>
      </c>
      <c r="P691">
        <v>32000</v>
      </c>
      <c r="Q691">
        <v>20</v>
      </c>
      <c r="R691">
        <v>2.9</v>
      </c>
      <c r="S691" t="str">
        <f>_xlfn.XLOOKUP(Table1[[#This Row],[method]],Table7[method],Table7[id_method])</f>
        <v>PAY0710</v>
      </c>
      <c r="T691" t="s">
        <v>1237</v>
      </c>
      <c r="U691">
        <v>128000</v>
      </c>
    </row>
    <row r="692" spans="1:21" x14ac:dyDescent="0.25">
      <c r="A692" t="s">
        <v>704</v>
      </c>
      <c r="B692" t="str">
        <f>_xlfn.XLOOKUP(Table1[[#This Row],[date]],Table8[date],Table8[id_date])</f>
        <v>TGL0877</v>
      </c>
      <c r="C692" s="1">
        <v>45788</v>
      </c>
      <c r="D692" s="1" t="str">
        <f>_xlfn.XLOOKUP(Table1[[#This Row],[customer_name]],Table11[customer_name],Table11[id_cust])</f>
        <v>CNA0110</v>
      </c>
      <c r="E692" t="s">
        <v>1023</v>
      </c>
      <c r="F692">
        <v>39</v>
      </c>
      <c r="G692" t="str">
        <f>_xlfn.XLOOKUP(Table1[[#This Row],[branch_name]],Table3[branch_name],Table3[id_branch])</f>
        <v>BRCH004</v>
      </c>
      <c r="H692" t="s">
        <v>1216</v>
      </c>
      <c r="I692" t="str">
        <f>_xlfn.XLOOKUP(Table1[[#This Row],[city]],Table4[city],Table4[id_city])</f>
        <v>KOA0105</v>
      </c>
      <c r="J692" t="s">
        <v>1221</v>
      </c>
      <c r="K692" t="str">
        <f>_xlfn.XLOOKUP(Table1[[#This Row],[menu_name]],Table5[menu_name],Table5[id_menu])</f>
        <v>MENU003</v>
      </c>
      <c r="L692" t="s">
        <v>1225</v>
      </c>
      <c r="M692" t="str">
        <f>_xlfn.XLOOKUP(Table1[[#This Row],[category]],Table6[category],Table6[id_category])</f>
        <v>KTG0205</v>
      </c>
      <c r="N692" t="s">
        <v>1233</v>
      </c>
      <c r="O692">
        <v>5</v>
      </c>
      <c r="P692">
        <v>22000</v>
      </c>
      <c r="Q692">
        <v>10</v>
      </c>
      <c r="R692">
        <v>4</v>
      </c>
      <c r="S692" t="str">
        <f>_xlfn.XLOOKUP(Table1[[#This Row],[method]],Table7[method],Table7[id_method])</f>
        <v>PAY0712</v>
      </c>
      <c r="T692" t="s">
        <v>1239</v>
      </c>
      <c r="U692">
        <v>99000</v>
      </c>
    </row>
    <row r="693" spans="1:21" x14ac:dyDescent="0.25">
      <c r="A693" t="s">
        <v>705</v>
      </c>
      <c r="B693" t="str">
        <f>_xlfn.XLOOKUP(Table1[[#This Row],[date]],Table8[date],Table8[id_date])</f>
        <v>TGL0877</v>
      </c>
      <c r="C693" s="1">
        <v>45788</v>
      </c>
      <c r="D693" s="1" t="str">
        <f>_xlfn.XLOOKUP(Table1[[#This Row],[customer_name]],Table11[customer_name],Table11[id_cust])</f>
        <v>CNA0143</v>
      </c>
      <c r="E693" t="s">
        <v>1052</v>
      </c>
      <c r="F693">
        <v>49</v>
      </c>
      <c r="G693" t="str">
        <f>_xlfn.XLOOKUP(Table1[[#This Row],[branch_name]],Table3[branch_name],Table3[id_branch])</f>
        <v>BRCH001</v>
      </c>
      <c r="H693" t="s">
        <v>1213</v>
      </c>
      <c r="I693" t="str">
        <f>_xlfn.XLOOKUP(Table1[[#This Row],[city]],Table4[city],Table4[id_city])</f>
        <v>KOA0102</v>
      </c>
      <c r="J693" t="s">
        <v>1218</v>
      </c>
      <c r="K693" t="str">
        <f>_xlfn.XLOOKUP(Table1[[#This Row],[menu_name]],Table5[menu_name],Table5[id_menu])</f>
        <v>MENU004</v>
      </c>
      <c r="L693" t="s">
        <v>1226</v>
      </c>
      <c r="M693" t="str">
        <f>_xlfn.XLOOKUP(Table1[[#This Row],[category]],Table6[category],Table6[id_category])</f>
        <v>KTG0207</v>
      </c>
      <c r="N693" t="s">
        <v>1235</v>
      </c>
      <c r="O693">
        <v>2</v>
      </c>
      <c r="P693">
        <v>28000</v>
      </c>
      <c r="Q693">
        <v>5</v>
      </c>
      <c r="R693">
        <v>1.2</v>
      </c>
      <c r="S693" t="str">
        <f>_xlfn.XLOOKUP(Table1[[#This Row],[method]],Table7[method],Table7[id_method])</f>
        <v>PAY0711</v>
      </c>
      <c r="T693" t="s">
        <v>1238</v>
      </c>
      <c r="U693">
        <v>53200</v>
      </c>
    </row>
    <row r="694" spans="1:21" x14ac:dyDescent="0.25">
      <c r="A694" t="s">
        <v>706</v>
      </c>
      <c r="B694" t="str">
        <f>_xlfn.XLOOKUP(Table1[[#This Row],[date]],Table8[date],Table8[id_date])</f>
        <v>TGL0878</v>
      </c>
      <c r="C694" s="1">
        <v>45790</v>
      </c>
      <c r="D694" s="1" t="str">
        <f>_xlfn.XLOOKUP(Table1[[#This Row],[customer_name]],Table11[customer_name],Table11[id_cust])</f>
        <v>CNA0145</v>
      </c>
      <c r="E694" t="s">
        <v>1054</v>
      </c>
      <c r="F694">
        <v>19</v>
      </c>
      <c r="G694" t="str">
        <f>_xlfn.XLOOKUP(Table1[[#This Row],[branch_name]],Table3[branch_name],Table3[id_branch])</f>
        <v>BRCH005</v>
      </c>
      <c r="H694" t="s">
        <v>1217</v>
      </c>
      <c r="I694" t="str">
        <f>_xlfn.XLOOKUP(Table1[[#This Row],[city]],Table4[city],Table4[id_city])</f>
        <v>KOA0106</v>
      </c>
      <c r="J694" t="s">
        <v>1222</v>
      </c>
      <c r="K694" t="str">
        <f>_xlfn.XLOOKUP(Table1[[#This Row],[menu_name]],Table5[menu_name],Table5[id_menu])</f>
        <v>MENU003</v>
      </c>
      <c r="L694" t="s">
        <v>1225</v>
      </c>
      <c r="M694" t="str">
        <f>_xlfn.XLOOKUP(Table1[[#This Row],[category]],Table6[category],Table6[id_category])</f>
        <v>KTG0205</v>
      </c>
      <c r="N694" t="s">
        <v>1233</v>
      </c>
      <c r="O694">
        <v>5</v>
      </c>
      <c r="P694">
        <v>22000</v>
      </c>
      <c r="Q694">
        <v>0</v>
      </c>
      <c r="R694">
        <v>2.1</v>
      </c>
      <c r="S694" t="str">
        <f>_xlfn.XLOOKUP(Table1[[#This Row],[method]],Table7[method],Table7[id_method])</f>
        <v>PAY0710</v>
      </c>
      <c r="T694" t="s">
        <v>1237</v>
      </c>
      <c r="U694">
        <v>110000</v>
      </c>
    </row>
    <row r="695" spans="1:21" x14ac:dyDescent="0.25">
      <c r="A695" t="s">
        <v>707</v>
      </c>
      <c r="B695" t="str">
        <f>_xlfn.XLOOKUP(Table1[[#This Row],[date]],Table8[date],Table8[id_date])</f>
        <v>TGL0879</v>
      </c>
      <c r="C695" s="1">
        <v>45791</v>
      </c>
      <c r="D695" s="1" t="str">
        <f>_xlfn.XLOOKUP(Table1[[#This Row],[customer_name]],Table11[customer_name],Table11[id_cust])</f>
        <v>CNA0272</v>
      </c>
      <c r="E695" t="s">
        <v>1136</v>
      </c>
      <c r="F695">
        <v>40</v>
      </c>
      <c r="G695" t="str">
        <f>_xlfn.XLOOKUP(Table1[[#This Row],[branch_name]],Table3[branch_name],Table3[id_branch])</f>
        <v>BRCH002</v>
      </c>
      <c r="H695" t="s">
        <v>1214</v>
      </c>
      <c r="I695" t="str">
        <f>_xlfn.XLOOKUP(Table1[[#This Row],[city]],Table4[city],Table4[id_city])</f>
        <v>KOA0103</v>
      </c>
      <c r="J695" t="s">
        <v>1219</v>
      </c>
      <c r="K695" t="str">
        <f>_xlfn.XLOOKUP(Table1[[#This Row],[menu_name]],Table5[menu_name],Table5[id_menu])</f>
        <v>MENU010</v>
      </c>
      <c r="L695" t="s">
        <v>1232</v>
      </c>
      <c r="M695" t="str">
        <f>_xlfn.XLOOKUP(Table1[[#This Row],[category]],Table6[category],Table6[id_category])</f>
        <v>KTG0205</v>
      </c>
      <c r="N695" t="s">
        <v>1233</v>
      </c>
      <c r="O695">
        <v>4</v>
      </c>
      <c r="P695">
        <v>18000</v>
      </c>
      <c r="Q695">
        <v>15</v>
      </c>
      <c r="R695">
        <v>2</v>
      </c>
      <c r="S695" t="str">
        <f>_xlfn.XLOOKUP(Table1[[#This Row],[method]],Table7[method],Table7[id_method])</f>
        <v>PAY0710</v>
      </c>
      <c r="T695" t="s">
        <v>1237</v>
      </c>
      <c r="U695">
        <v>61200</v>
      </c>
    </row>
    <row r="696" spans="1:21" x14ac:dyDescent="0.25">
      <c r="A696" t="s">
        <v>708</v>
      </c>
      <c r="B696" t="str">
        <f>_xlfn.XLOOKUP(Table1[[#This Row],[date]],Table8[date],Table8[id_date])</f>
        <v>TGL0879</v>
      </c>
      <c r="C696" s="1">
        <v>45791</v>
      </c>
      <c r="D696" s="1" t="str">
        <f>_xlfn.XLOOKUP(Table1[[#This Row],[customer_name]],Table11[customer_name],Table11[id_cust])</f>
        <v>CNA0191</v>
      </c>
      <c r="E696" t="s">
        <v>1091</v>
      </c>
      <c r="F696">
        <v>41</v>
      </c>
      <c r="G696" t="str">
        <f>_xlfn.XLOOKUP(Table1[[#This Row],[branch_name]],Table3[branch_name],Table3[id_branch])</f>
        <v>BRCH003</v>
      </c>
      <c r="H696" t="s">
        <v>1215</v>
      </c>
      <c r="I696" t="str">
        <f>_xlfn.XLOOKUP(Table1[[#This Row],[city]],Table4[city],Table4[id_city])</f>
        <v>KOA0104</v>
      </c>
      <c r="J696" t="s">
        <v>1220</v>
      </c>
      <c r="K696" t="str">
        <f>_xlfn.XLOOKUP(Table1[[#This Row],[menu_name]],Table5[menu_name],Table5[id_menu])</f>
        <v>MENU009</v>
      </c>
      <c r="L696" t="s">
        <v>1231</v>
      </c>
      <c r="M696" t="str">
        <f>_xlfn.XLOOKUP(Table1[[#This Row],[category]],Table6[category],Table6[id_category])</f>
        <v>KTG0206</v>
      </c>
      <c r="N696" t="s">
        <v>1234</v>
      </c>
      <c r="O696">
        <v>4</v>
      </c>
      <c r="P696">
        <v>18000</v>
      </c>
      <c r="Q696">
        <v>0</v>
      </c>
      <c r="R696">
        <v>5</v>
      </c>
      <c r="S696" t="str">
        <f>_xlfn.XLOOKUP(Table1[[#This Row],[method]],Table7[method],Table7[id_method])</f>
        <v>PAY0709</v>
      </c>
      <c r="T696" t="s">
        <v>1236</v>
      </c>
      <c r="U696">
        <v>72000</v>
      </c>
    </row>
    <row r="697" spans="1:21" x14ac:dyDescent="0.25">
      <c r="A697" t="s">
        <v>709</v>
      </c>
      <c r="B697" t="str">
        <f>_xlfn.XLOOKUP(Table1[[#This Row],[date]],Table8[date],Table8[id_date])</f>
        <v>TGL0879</v>
      </c>
      <c r="C697" s="1">
        <v>45791</v>
      </c>
      <c r="D697" s="1" t="str">
        <f>_xlfn.XLOOKUP(Table1[[#This Row],[customer_name]],Table11[customer_name],Table11[id_cust])</f>
        <v>CNA0133</v>
      </c>
      <c r="E697" t="s">
        <v>1045</v>
      </c>
      <c r="F697">
        <v>42</v>
      </c>
      <c r="G697" t="str">
        <f>_xlfn.XLOOKUP(Table1[[#This Row],[branch_name]],Table3[branch_name],Table3[id_branch])</f>
        <v>BRCH005</v>
      </c>
      <c r="H697" t="s">
        <v>1217</v>
      </c>
      <c r="I697" t="str">
        <f>_xlfn.XLOOKUP(Table1[[#This Row],[city]],Table4[city],Table4[id_city])</f>
        <v>KOA0106</v>
      </c>
      <c r="J697" t="s">
        <v>1222</v>
      </c>
      <c r="K697" t="str">
        <f>_xlfn.XLOOKUP(Table1[[#This Row],[menu_name]],Table5[menu_name],Table5[id_menu])</f>
        <v>MENU009</v>
      </c>
      <c r="L697" t="s">
        <v>1231</v>
      </c>
      <c r="M697" t="str">
        <f>_xlfn.XLOOKUP(Table1[[#This Row],[category]],Table6[category],Table6[id_category])</f>
        <v>KTG0206</v>
      </c>
      <c r="N697" t="s">
        <v>1234</v>
      </c>
      <c r="O697">
        <v>1</v>
      </c>
      <c r="P697">
        <v>18000</v>
      </c>
      <c r="Q697">
        <v>10</v>
      </c>
      <c r="R697">
        <v>1.1000000000000001</v>
      </c>
      <c r="S697" t="str">
        <f>_xlfn.XLOOKUP(Table1[[#This Row],[method]],Table7[method],Table7[id_method])</f>
        <v>PAY0709</v>
      </c>
      <c r="T697" t="s">
        <v>1236</v>
      </c>
      <c r="U697">
        <v>16200</v>
      </c>
    </row>
    <row r="698" spans="1:21" x14ac:dyDescent="0.25">
      <c r="A698" t="s">
        <v>710</v>
      </c>
      <c r="B698" t="str">
        <f>_xlfn.XLOOKUP(Table1[[#This Row],[date]],Table8[date],Table8[id_date])</f>
        <v>TGL0880</v>
      </c>
      <c r="C698" s="1">
        <v>45792</v>
      </c>
      <c r="D698" s="1" t="str">
        <f>_xlfn.XLOOKUP(Table1[[#This Row],[customer_name]],Table11[customer_name],Table11[id_cust])</f>
        <v>CNA0215</v>
      </c>
      <c r="E698" t="s">
        <v>1106</v>
      </c>
      <c r="F698">
        <v>52</v>
      </c>
      <c r="G698" t="str">
        <f>_xlfn.XLOOKUP(Table1[[#This Row],[branch_name]],Table3[branch_name],Table3[id_branch])</f>
        <v>BRCH005</v>
      </c>
      <c r="H698" t="s">
        <v>1217</v>
      </c>
      <c r="I698" t="str">
        <f>_xlfn.XLOOKUP(Table1[[#This Row],[city]],Table4[city],Table4[id_city])</f>
        <v>KOA0106</v>
      </c>
      <c r="J698" t="s">
        <v>1222</v>
      </c>
      <c r="K698" t="str">
        <f>_xlfn.XLOOKUP(Table1[[#This Row],[menu_name]],Table5[menu_name],Table5[id_menu])</f>
        <v>MENU007</v>
      </c>
      <c r="L698" t="s">
        <v>1229</v>
      </c>
      <c r="M698" t="str">
        <f>_xlfn.XLOOKUP(Table1[[#This Row],[category]],Table6[category],Table6[id_category])</f>
        <v>KTG0207</v>
      </c>
      <c r="N698" t="s">
        <v>1235</v>
      </c>
      <c r="O698">
        <v>4</v>
      </c>
      <c r="P698">
        <v>27000</v>
      </c>
      <c r="Q698">
        <v>10</v>
      </c>
      <c r="R698">
        <v>4.4000000000000004</v>
      </c>
      <c r="S698" t="str">
        <f>_xlfn.XLOOKUP(Table1[[#This Row],[method]],Table7[method],Table7[id_method])</f>
        <v>PAY0712</v>
      </c>
      <c r="T698" t="s">
        <v>1239</v>
      </c>
      <c r="U698">
        <v>97200</v>
      </c>
    </row>
    <row r="699" spans="1:21" x14ac:dyDescent="0.25">
      <c r="A699" t="s">
        <v>711</v>
      </c>
      <c r="B699" t="str">
        <f>_xlfn.XLOOKUP(Table1[[#This Row],[date]],Table8[date],Table8[id_date])</f>
        <v>TGL0880</v>
      </c>
      <c r="C699" s="1">
        <v>45792</v>
      </c>
      <c r="D699" s="1" t="str">
        <f>_xlfn.XLOOKUP(Table1[[#This Row],[customer_name]],Table11[customer_name],Table11[id_cust])</f>
        <v>CNA0211</v>
      </c>
      <c r="E699" t="s">
        <v>1103</v>
      </c>
      <c r="F699">
        <v>49</v>
      </c>
      <c r="G699" t="str">
        <f>_xlfn.XLOOKUP(Table1[[#This Row],[branch_name]],Table3[branch_name],Table3[id_branch])</f>
        <v>BRCH003</v>
      </c>
      <c r="H699" t="s">
        <v>1215</v>
      </c>
      <c r="I699" t="str">
        <f>_xlfn.XLOOKUP(Table1[[#This Row],[city]],Table4[city],Table4[id_city])</f>
        <v>KOA0104</v>
      </c>
      <c r="J699" t="s">
        <v>1220</v>
      </c>
      <c r="K699" t="str">
        <f>_xlfn.XLOOKUP(Table1[[#This Row],[menu_name]],Table5[menu_name],Table5[id_menu])</f>
        <v>MENU003</v>
      </c>
      <c r="L699" t="s">
        <v>1225</v>
      </c>
      <c r="M699" t="str">
        <f>_xlfn.XLOOKUP(Table1[[#This Row],[category]],Table6[category],Table6[id_category])</f>
        <v>KTG0205</v>
      </c>
      <c r="N699" t="s">
        <v>1233</v>
      </c>
      <c r="O699">
        <v>1</v>
      </c>
      <c r="P699">
        <v>22000</v>
      </c>
      <c r="Q699">
        <v>5</v>
      </c>
      <c r="R699">
        <v>3</v>
      </c>
      <c r="S699" t="str">
        <f>_xlfn.XLOOKUP(Table1[[#This Row],[method]],Table7[method],Table7[id_method])</f>
        <v>PAY0712</v>
      </c>
      <c r="T699" t="s">
        <v>1239</v>
      </c>
      <c r="U699">
        <v>20900</v>
      </c>
    </row>
    <row r="700" spans="1:21" x14ac:dyDescent="0.25">
      <c r="A700" t="s">
        <v>712</v>
      </c>
      <c r="B700" t="str">
        <f>_xlfn.XLOOKUP(Table1[[#This Row],[date]],Table8[date],Table8[id_date])</f>
        <v>TGL0881</v>
      </c>
      <c r="C700" s="1">
        <v>45793</v>
      </c>
      <c r="D700" s="1" t="str">
        <f>_xlfn.XLOOKUP(Table1[[#This Row],[customer_name]],Table11[customer_name],Table11[id_cust])</f>
        <v>CNA0558</v>
      </c>
      <c r="E700" t="s">
        <v>1191</v>
      </c>
      <c r="F700">
        <v>27</v>
      </c>
      <c r="G700" t="str">
        <f>_xlfn.XLOOKUP(Table1[[#This Row],[branch_name]],Table3[branch_name],Table3[id_branch])</f>
        <v>BRCH002</v>
      </c>
      <c r="H700" t="s">
        <v>1214</v>
      </c>
      <c r="I700" t="str">
        <f>_xlfn.XLOOKUP(Table1[[#This Row],[city]],Table4[city],Table4[id_city])</f>
        <v>KOA0103</v>
      </c>
      <c r="J700" t="s">
        <v>1219</v>
      </c>
      <c r="K700" t="str">
        <f>_xlfn.XLOOKUP(Table1[[#This Row],[menu_name]],Table5[menu_name],Table5[id_menu])</f>
        <v>MENU007</v>
      </c>
      <c r="L700" t="s">
        <v>1229</v>
      </c>
      <c r="M700" t="str">
        <f>_xlfn.XLOOKUP(Table1[[#This Row],[category]],Table6[category],Table6[id_category])</f>
        <v>KTG0207</v>
      </c>
      <c r="N700" t="s">
        <v>1235</v>
      </c>
      <c r="O700">
        <v>2</v>
      </c>
      <c r="P700">
        <v>27000</v>
      </c>
      <c r="Q700">
        <v>5</v>
      </c>
      <c r="R700">
        <v>2.9</v>
      </c>
      <c r="S700" t="str">
        <f>_xlfn.XLOOKUP(Table1[[#This Row],[method]],Table7[method],Table7[id_method])</f>
        <v>PAY0712</v>
      </c>
      <c r="T700" t="s">
        <v>1239</v>
      </c>
      <c r="U700">
        <v>51300</v>
      </c>
    </row>
    <row r="701" spans="1:21" x14ac:dyDescent="0.25">
      <c r="A701" t="s">
        <v>713</v>
      </c>
      <c r="B701" t="str">
        <f>_xlfn.XLOOKUP(Table1[[#This Row],[date]],Table8[date],Table8[id_date])</f>
        <v>TGL0881</v>
      </c>
      <c r="C701" s="1">
        <v>45793</v>
      </c>
      <c r="D701" s="1" t="str">
        <f>_xlfn.XLOOKUP(Table1[[#This Row],[customer_name]],Table11[customer_name],Table11[id_cust])</f>
        <v>CNA0112</v>
      </c>
      <c r="E701" t="s">
        <v>1025</v>
      </c>
      <c r="F701">
        <v>22</v>
      </c>
      <c r="G701" t="str">
        <f>_xlfn.XLOOKUP(Table1[[#This Row],[branch_name]],Table3[branch_name],Table3[id_branch])</f>
        <v>BRCH004</v>
      </c>
      <c r="H701" t="s">
        <v>1216</v>
      </c>
      <c r="I701" t="str">
        <f>_xlfn.XLOOKUP(Table1[[#This Row],[city]],Table4[city],Table4[id_city])</f>
        <v>KOA0105</v>
      </c>
      <c r="J701" t="s">
        <v>1221</v>
      </c>
      <c r="K701" t="str">
        <f>_xlfn.XLOOKUP(Table1[[#This Row],[menu_name]],Table5[menu_name],Table5[id_menu])</f>
        <v>MENU004</v>
      </c>
      <c r="L701" t="s">
        <v>1226</v>
      </c>
      <c r="M701" t="str">
        <f>_xlfn.XLOOKUP(Table1[[#This Row],[category]],Table6[category],Table6[id_category])</f>
        <v>KTG0207</v>
      </c>
      <c r="N701" t="s">
        <v>1235</v>
      </c>
      <c r="O701">
        <v>3</v>
      </c>
      <c r="P701">
        <v>28000</v>
      </c>
      <c r="Q701">
        <v>0</v>
      </c>
      <c r="R701">
        <v>4.0999999999999996</v>
      </c>
      <c r="S701" t="str">
        <f>_xlfn.XLOOKUP(Table1[[#This Row],[method]],Table7[method],Table7[id_method])</f>
        <v>PAY0711</v>
      </c>
      <c r="T701" t="s">
        <v>1238</v>
      </c>
      <c r="U701">
        <v>84000</v>
      </c>
    </row>
    <row r="702" spans="1:21" x14ac:dyDescent="0.25">
      <c r="A702" t="s">
        <v>714</v>
      </c>
      <c r="B702" t="str">
        <f>_xlfn.XLOOKUP(Table1[[#This Row],[date]],Table8[date],Table8[id_date])</f>
        <v>TGL0882</v>
      </c>
      <c r="C702" s="1">
        <v>45794</v>
      </c>
      <c r="D702" s="1" t="str">
        <f>_xlfn.XLOOKUP(Table1[[#This Row],[customer_name]],Table11[customer_name],Table11[id_cust])</f>
        <v>CNA0531</v>
      </c>
      <c r="E702" t="s">
        <v>1188</v>
      </c>
      <c r="F702">
        <v>45</v>
      </c>
      <c r="G702" t="str">
        <f>_xlfn.XLOOKUP(Table1[[#This Row],[branch_name]],Table3[branch_name],Table3[id_branch])</f>
        <v>BRCH001</v>
      </c>
      <c r="H702" t="s">
        <v>1213</v>
      </c>
      <c r="I702" t="str">
        <f>_xlfn.XLOOKUP(Table1[[#This Row],[city]],Table4[city],Table4[id_city])</f>
        <v>KOA0102</v>
      </c>
      <c r="J702" t="s">
        <v>1218</v>
      </c>
      <c r="K702" t="str">
        <f>_xlfn.XLOOKUP(Table1[[#This Row],[menu_name]],Table5[menu_name],Table5[id_menu])</f>
        <v>MENU007</v>
      </c>
      <c r="L702" t="s">
        <v>1229</v>
      </c>
      <c r="M702" t="str">
        <f>_xlfn.XLOOKUP(Table1[[#This Row],[category]],Table6[category],Table6[id_category])</f>
        <v>KTG0207</v>
      </c>
      <c r="N702" t="s">
        <v>1235</v>
      </c>
      <c r="O702">
        <v>1</v>
      </c>
      <c r="P702">
        <v>27000</v>
      </c>
      <c r="Q702">
        <v>20</v>
      </c>
      <c r="R702">
        <v>4.8</v>
      </c>
      <c r="S702" t="str">
        <f>_xlfn.XLOOKUP(Table1[[#This Row],[method]],Table7[method],Table7[id_method])</f>
        <v>PAY0710</v>
      </c>
      <c r="T702" t="s">
        <v>1237</v>
      </c>
      <c r="U702">
        <v>21600</v>
      </c>
    </row>
    <row r="703" spans="1:21" x14ac:dyDescent="0.25">
      <c r="A703" t="s">
        <v>715</v>
      </c>
      <c r="B703" t="str">
        <f>_xlfn.XLOOKUP(Table1[[#This Row],[date]],Table8[date],Table8[id_date])</f>
        <v>TGL0882</v>
      </c>
      <c r="C703" s="1">
        <v>45794</v>
      </c>
      <c r="D703" s="1" t="str">
        <f>_xlfn.XLOOKUP(Table1[[#This Row],[customer_name]],Table11[customer_name],Table11[id_cust])</f>
        <v>CNA0381</v>
      </c>
      <c r="E703" t="s">
        <v>1168</v>
      </c>
      <c r="F703">
        <v>40</v>
      </c>
      <c r="G703" t="str">
        <f>_xlfn.XLOOKUP(Table1[[#This Row],[branch_name]],Table3[branch_name],Table3[id_branch])</f>
        <v>BRCH003</v>
      </c>
      <c r="H703" t="s">
        <v>1215</v>
      </c>
      <c r="I703" t="str">
        <f>_xlfn.XLOOKUP(Table1[[#This Row],[city]],Table4[city],Table4[id_city])</f>
        <v>KOA0104</v>
      </c>
      <c r="J703" t="s">
        <v>1220</v>
      </c>
      <c r="K703" t="str">
        <f>_xlfn.XLOOKUP(Table1[[#This Row],[menu_name]],Table5[menu_name],Table5[id_menu])</f>
        <v>MENU005</v>
      </c>
      <c r="L703" t="s">
        <v>1227</v>
      </c>
      <c r="M703" t="str">
        <f>_xlfn.XLOOKUP(Table1[[#This Row],[category]],Table6[category],Table6[id_category])</f>
        <v>KTG0206</v>
      </c>
      <c r="N703" t="s">
        <v>1234</v>
      </c>
      <c r="O703">
        <v>3</v>
      </c>
      <c r="P703">
        <v>23000</v>
      </c>
      <c r="Q703">
        <v>0</v>
      </c>
      <c r="R703">
        <v>3.8</v>
      </c>
      <c r="S703" t="str">
        <f>_xlfn.XLOOKUP(Table1[[#This Row],[method]],Table7[method],Table7[id_method])</f>
        <v>PAY0712</v>
      </c>
      <c r="T703" t="s">
        <v>1239</v>
      </c>
      <c r="U703">
        <v>69000</v>
      </c>
    </row>
    <row r="704" spans="1:21" x14ac:dyDescent="0.25">
      <c r="A704" t="s">
        <v>716</v>
      </c>
      <c r="B704" t="str">
        <f>_xlfn.XLOOKUP(Table1[[#This Row],[date]],Table8[date],Table8[id_date])</f>
        <v>TGL0883</v>
      </c>
      <c r="C704" s="1">
        <v>45795</v>
      </c>
      <c r="D704" s="1" t="str">
        <f>_xlfn.XLOOKUP(Table1[[#This Row],[customer_name]],Table11[customer_name],Table11[id_cust])</f>
        <v>CNA0696</v>
      </c>
      <c r="E704" t="s">
        <v>1199</v>
      </c>
      <c r="F704">
        <v>34</v>
      </c>
      <c r="G704" t="str">
        <f>_xlfn.XLOOKUP(Table1[[#This Row],[branch_name]],Table3[branch_name],Table3[id_branch])</f>
        <v>BRCH001</v>
      </c>
      <c r="H704" t="s">
        <v>1213</v>
      </c>
      <c r="I704" t="str">
        <f>_xlfn.XLOOKUP(Table1[[#This Row],[city]],Table4[city],Table4[id_city])</f>
        <v>KOA0102</v>
      </c>
      <c r="J704" t="s">
        <v>1218</v>
      </c>
      <c r="K704" t="str">
        <f>_xlfn.XLOOKUP(Table1[[#This Row],[menu_name]],Table5[menu_name],Table5[id_menu])</f>
        <v>MENU002</v>
      </c>
      <c r="L704" t="s">
        <v>1224</v>
      </c>
      <c r="M704" t="str">
        <f>_xlfn.XLOOKUP(Table1[[#This Row],[category]],Table6[category],Table6[id_category])</f>
        <v>KTG0206</v>
      </c>
      <c r="N704" t="s">
        <v>1234</v>
      </c>
      <c r="O704">
        <v>4</v>
      </c>
      <c r="P704">
        <v>30000</v>
      </c>
      <c r="Q704">
        <v>0</v>
      </c>
      <c r="R704">
        <v>4.8</v>
      </c>
      <c r="S704" t="str">
        <f>_xlfn.XLOOKUP(Table1[[#This Row],[method]],Table7[method],Table7[id_method])</f>
        <v>PAY0709</v>
      </c>
      <c r="T704" t="s">
        <v>1236</v>
      </c>
      <c r="U704">
        <v>120000</v>
      </c>
    </row>
    <row r="705" spans="1:21" x14ac:dyDescent="0.25">
      <c r="A705" t="s">
        <v>717</v>
      </c>
      <c r="B705" t="str">
        <f>_xlfn.XLOOKUP(Table1[[#This Row],[date]],Table8[date],Table8[id_date])</f>
        <v>TGL0883</v>
      </c>
      <c r="C705" s="1">
        <v>45795</v>
      </c>
      <c r="D705" s="1" t="str">
        <f>_xlfn.XLOOKUP(Table1[[#This Row],[customer_name]],Table11[customer_name],Table11[id_cust])</f>
        <v>CNA0171</v>
      </c>
      <c r="E705" t="s">
        <v>1076</v>
      </c>
      <c r="F705">
        <v>43</v>
      </c>
      <c r="G705" t="str">
        <f>_xlfn.XLOOKUP(Table1[[#This Row],[branch_name]],Table3[branch_name],Table3[id_branch])</f>
        <v>BRCH003</v>
      </c>
      <c r="H705" t="s">
        <v>1215</v>
      </c>
      <c r="I705" t="str">
        <f>_xlfn.XLOOKUP(Table1[[#This Row],[city]],Table4[city],Table4[id_city])</f>
        <v>KOA0104</v>
      </c>
      <c r="J705" t="s">
        <v>1220</v>
      </c>
      <c r="K705" t="str">
        <f>_xlfn.XLOOKUP(Table1[[#This Row],[menu_name]],Table5[menu_name],Table5[id_menu])</f>
        <v>MENU010</v>
      </c>
      <c r="L705" t="s">
        <v>1232</v>
      </c>
      <c r="M705" t="str">
        <f>_xlfn.XLOOKUP(Table1[[#This Row],[category]],Table6[category],Table6[id_category])</f>
        <v>KTG0205</v>
      </c>
      <c r="N705" t="s">
        <v>1233</v>
      </c>
      <c r="O705">
        <v>1</v>
      </c>
      <c r="P705">
        <v>18000</v>
      </c>
      <c r="Q705">
        <v>0</v>
      </c>
      <c r="R705">
        <v>1.8</v>
      </c>
      <c r="S705" t="str">
        <f>_xlfn.XLOOKUP(Table1[[#This Row],[method]],Table7[method],Table7[id_method])</f>
        <v>PAY0712</v>
      </c>
      <c r="T705" t="s">
        <v>1239</v>
      </c>
      <c r="U705">
        <v>18000</v>
      </c>
    </row>
    <row r="706" spans="1:21" x14ac:dyDescent="0.25">
      <c r="A706" t="s">
        <v>718</v>
      </c>
      <c r="B706" t="str">
        <f>_xlfn.XLOOKUP(Table1[[#This Row],[date]],Table8[date],Table8[id_date])</f>
        <v>TGL0884</v>
      </c>
      <c r="C706" s="1">
        <v>45796</v>
      </c>
      <c r="D706" s="1" t="str">
        <f>_xlfn.XLOOKUP(Table1[[#This Row],[customer_name]],Table11[customer_name],Table11[id_cust])</f>
        <v>CNA0146</v>
      </c>
      <c r="E706" t="s">
        <v>1055</v>
      </c>
      <c r="F706">
        <v>37</v>
      </c>
      <c r="G706" t="str">
        <f>_xlfn.XLOOKUP(Table1[[#This Row],[branch_name]],Table3[branch_name],Table3[id_branch])</f>
        <v>BRCH002</v>
      </c>
      <c r="H706" t="s">
        <v>1214</v>
      </c>
      <c r="I706" t="str">
        <f>_xlfn.XLOOKUP(Table1[[#This Row],[city]],Table4[city],Table4[id_city])</f>
        <v>KOA0103</v>
      </c>
      <c r="J706" t="s">
        <v>1219</v>
      </c>
      <c r="K706" t="str">
        <f>_xlfn.XLOOKUP(Table1[[#This Row],[menu_name]],Table5[menu_name],Table5[id_menu])</f>
        <v>MENU006</v>
      </c>
      <c r="L706" t="s">
        <v>1228</v>
      </c>
      <c r="M706" t="str">
        <f>_xlfn.XLOOKUP(Table1[[#This Row],[category]],Table6[category],Table6[id_category])</f>
        <v>KTG0206</v>
      </c>
      <c r="N706" t="s">
        <v>1234</v>
      </c>
      <c r="O706">
        <v>3</v>
      </c>
      <c r="P706">
        <v>32000</v>
      </c>
      <c r="Q706">
        <v>10</v>
      </c>
      <c r="R706">
        <v>4.3</v>
      </c>
      <c r="S706" t="str">
        <f>_xlfn.XLOOKUP(Table1[[#This Row],[method]],Table7[method],Table7[id_method])</f>
        <v>PAY0709</v>
      </c>
      <c r="T706" t="s">
        <v>1236</v>
      </c>
      <c r="U706">
        <v>86400</v>
      </c>
    </row>
    <row r="707" spans="1:21" x14ac:dyDescent="0.25">
      <c r="A707" t="s">
        <v>719</v>
      </c>
      <c r="B707" t="str">
        <f>_xlfn.XLOOKUP(Table1[[#This Row],[date]],Table8[date],Table8[id_date])</f>
        <v>TGL0885</v>
      </c>
      <c r="C707" s="1">
        <v>45797</v>
      </c>
      <c r="D707" s="1" t="str">
        <f>_xlfn.XLOOKUP(Table1[[#This Row],[customer_name]],Table11[customer_name],Table11[id_cust])</f>
        <v>CNA0235</v>
      </c>
      <c r="E707" t="s">
        <v>1119</v>
      </c>
      <c r="F707">
        <v>44</v>
      </c>
      <c r="G707" t="str">
        <f>_xlfn.XLOOKUP(Table1[[#This Row],[branch_name]],Table3[branch_name],Table3[id_branch])</f>
        <v>BRCH003</v>
      </c>
      <c r="H707" t="s">
        <v>1215</v>
      </c>
      <c r="I707" t="str">
        <f>_xlfn.XLOOKUP(Table1[[#This Row],[city]],Table4[city],Table4[id_city])</f>
        <v>KOA0104</v>
      </c>
      <c r="J707" t="s">
        <v>1220</v>
      </c>
      <c r="K707" t="str">
        <f>_xlfn.XLOOKUP(Table1[[#This Row],[menu_name]],Table5[menu_name],Table5[id_menu])</f>
        <v>MENU001</v>
      </c>
      <c r="L707" t="s">
        <v>1223</v>
      </c>
      <c r="M707" t="str">
        <f>_xlfn.XLOOKUP(Table1[[#This Row],[category]],Table6[category],Table6[id_category])</f>
        <v>KTG0205</v>
      </c>
      <c r="N707" t="s">
        <v>1233</v>
      </c>
      <c r="O707">
        <v>2</v>
      </c>
      <c r="P707">
        <v>25000</v>
      </c>
      <c r="Q707">
        <v>15</v>
      </c>
      <c r="R707">
        <v>1</v>
      </c>
      <c r="S707" t="str">
        <f>_xlfn.XLOOKUP(Table1[[#This Row],[method]],Table7[method],Table7[id_method])</f>
        <v>PAY0709</v>
      </c>
      <c r="T707" t="s">
        <v>1236</v>
      </c>
      <c r="U707">
        <v>42500</v>
      </c>
    </row>
    <row r="708" spans="1:21" x14ac:dyDescent="0.25">
      <c r="A708" t="s">
        <v>720</v>
      </c>
      <c r="B708" t="str">
        <f>_xlfn.XLOOKUP(Table1[[#This Row],[date]],Table8[date],Table8[id_date])</f>
        <v>TGL0885</v>
      </c>
      <c r="C708" s="1">
        <v>45797</v>
      </c>
      <c r="D708" s="1" t="str">
        <f>_xlfn.XLOOKUP(Table1[[#This Row],[customer_name]],Table11[customer_name],Table11[id_cust])</f>
        <v>CNA0185</v>
      </c>
      <c r="E708" t="s">
        <v>1087</v>
      </c>
      <c r="F708">
        <v>22</v>
      </c>
      <c r="G708" t="str">
        <f>_xlfn.XLOOKUP(Table1[[#This Row],[branch_name]],Table3[branch_name],Table3[id_branch])</f>
        <v>BRCH005</v>
      </c>
      <c r="H708" t="s">
        <v>1217</v>
      </c>
      <c r="I708" t="str">
        <f>_xlfn.XLOOKUP(Table1[[#This Row],[city]],Table4[city],Table4[id_city])</f>
        <v>KOA0106</v>
      </c>
      <c r="J708" t="s">
        <v>1222</v>
      </c>
      <c r="K708" t="str">
        <f>_xlfn.XLOOKUP(Table1[[#This Row],[menu_name]],Table5[menu_name],Table5[id_menu])</f>
        <v>MENU003</v>
      </c>
      <c r="L708" t="s">
        <v>1225</v>
      </c>
      <c r="M708" t="str">
        <f>_xlfn.XLOOKUP(Table1[[#This Row],[category]],Table6[category],Table6[id_category])</f>
        <v>KTG0205</v>
      </c>
      <c r="N708" t="s">
        <v>1233</v>
      </c>
      <c r="O708">
        <v>4</v>
      </c>
      <c r="P708">
        <v>22000</v>
      </c>
      <c r="Q708">
        <v>20</v>
      </c>
      <c r="R708">
        <v>3</v>
      </c>
      <c r="S708" t="str">
        <f>_xlfn.XLOOKUP(Table1[[#This Row],[method]],Table7[method],Table7[id_method])</f>
        <v>PAY0709</v>
      </c>
      <c r="T708" t="s">
        <v>1236</v>
      </c>
      <c r="U708">
        <v>70400</v>
      </c>
    </row>
    <row r="709" spans="1:21" x14ac:dyDescent="0.25">
      <c r="A709" t="s">
        <v>721</v>
      </c>
      <c r="B709" t="str">
        <f>_xlfn.XLOOKUP(Table1[[#This Row],[date]],Table8[date],Table8[id_date])</f>
        <v>TGL0885</v>
      </c>
      <c r="C709" s="1">
        <v>45797</v>
      </c>
      <c r="D709" s="1" t="str">
        <f>_xlfn.XLOOKUP(Table1[[#This Row],[customer_name]],Table11[customer_name],Table11[id_cust])</f>
        <v>CNA0507</v>
      </c>
      <c r="E709" t="s">
        <v>1185</v>
      </c>
      <c r="F709">
        <v>24</v>
      </c>
      <c r="G709" t="str">
        <f>_xlfn.XLOOKUP(Table1[[#This Row],[branch_name]],Table3[branch_name],Table3[id_branch])</f>
        <v>BRCH003</v>
      </c>
      <c r="H709" t="s">
        <v>1215</v>
      </c>
      <c r="I709" t="str">
        <f>_xlfn.XLOOKUP(Table1[[#This Row],[city]],Table4[city],Table4[id_city])</f>
        <v>KOA0104</v>
      </c>
      <c r="J709" t="s">
        <v>1220</v>
      </c>
      <c r="K709" t="str">
        <f>_xlfn.XLOOKUP(Table1[[#This Row],[menu_name]],Table5[menu_name],Table5[id_menu])</f>
        <v>MENU001</v>
      </c>
      <c r="L709" t="s">
        <v>1223</v>
      </c>
      <c r="M709" t="str">
        <f>_xlfn.XLOOKUP(Table1[[#This Row],[category]],Table6[category],Table6[id_category])</f>
        <v>KTG0205</v>
      </c>
      <c r="N709" t="s">
        <v>1233</v>
      </c>
      <c r="O709">
        <v>3</v>
      </c>
      <c r="P709">
        <v>25000</v>
      </c>
      <c r="Q709">
        <v>20</v>
      </c>
      <c r="R709">
        <v>3.1</v>
      </c>
      <c r="S709" t="str">
        <f>_xlfn.XLOOKUP(Table1[[#This Row],[method]],Table7[method],Table7[id_method])</f>
        <v>PAY0712</v>
      </c>
      <c r="T709" t="s">
        <v>1239</v>
      </c>
      <c r="U709">
        <v>60000</v>
      </c>
    </row>
    <row r="710" spans="1:21" x14ac:dyDescent="0.25">
      <c r="A710" t="s">
        <v>722</v>
      </c>
      <c r="B710" t="str">
        <f>_xlfn.XLOOKUP(Table1[[#This Row],[date]],Table8[date],Table8[id_date])</f>
        <v>TGL0886</v>
      </c>
      <c r="C710" s="1">
        <v>45799</v>
      </c>
      <c r="D710" s="1" t="str">
        <f>_xlfn.XLOOKUP(Table1[[#This Row],[customer_name]],Table11[customer_name],Table11[id_cust])</f>
        <v>CNA0101</v>
      </c>
      <c r="E710" t="s">
        <v>1014</v>
      </c>
      <c r="F710">
        <v>27</v>
      </c>
      <c r="G710" t="str">
        <f>_xlfn.XLOOKUP(Table1[[#This Row],[branch_name]],Table3[branch_name],Table3[id_branch])</f>
        <v>BRCH001</v>
      </c>
      <c r="H710" t="s">
        <v>1213</v>
      </c>
      <c r="I710" t="str">
        <f>_xlfn.XLOOKUP(Table1[[#This Row],[city]],Table4[city],Table4[id_city])</f>
        <v>KOA0102</v>
      </c>
      <c r="J710" t="s">
        <v>1218</v>
      </c>
      <c r="K710" t="str">
        <f>_xlfn.XLOOKUP(Table1[[#This Row],[menu_name]],Table5[menu_name],Table5[id_menu])</f>
        <v>MENU002</v>
      </c>
      <c r="L710" t="s">
        <v>1224</v>
      </c>
      <c r="M710" t="str">
        <f>_xlfn.XLOOKUP(Table1[[#This Row],[category]],Table6[category],Table6[id_category])</f>
        <v>KTG0206</v>
      </c>
      <c r="N710" t="s">
        <v>1234</v>
      </c>
      <c r="O710">
        <v>4</v>
      </c>
      <c r="P710">
        <v>30000</v>
      </c>
      <c r="Q710">
        <v>0</v>
      </c>
      <c r="R710">
        <v>3.7</v>
      </c>
      <c r="S710" t="str">
        <f>_xlfn.XLOOKUP(Table1[[#This Row],[method]],Table7[method],Table7[id_method])</f>
        <v>PAY0712</v>
      </c>
      <c r="T710" t="s">
        <v>1239</v>
      </c>
      <c r="U710">
        <v>120000</v>
      </c>
    </row>
    <row r="711" spans="1:21" x14ac:dyDescent="0.25">
      <c r="A711" t="s">
        <v>723</v>
      </c>
      <c r="B711" t="str">
        <f>_xlfn.XLOOKUP(Table1[[#This Row],[date]],Table8[date],Table8[id_date])</f>
        <v>TGL0886</v>
      </c>
      <c r="C711" s="1">
        <v>45799</v>
      </c>
      <c r="D711" s="1" t="str">
        <f>_xlfn.XLOOKUP(Table1[[#This Row],[customer_name]],Table11[customer_name],Table11[id_cust])</f>
        <v>CNA0144</v>
      </c>
      <c r="E711" t="s">
        <v>1053</v>
      </c>
      <c r="F711">
        <v>42</v>
      </c>
      <c r="G711" t="str">
        <f>_xlfn.XLOOKUP(Table1[[#This Row],[branch_name]],Table3[branch_name],Table3[id_branch])</f>
        <v>BRCH003</v>
      </c>
      <c r="H711" t="s">
        <v>1215</v>
      </c>
      <c r="I711" t="str">
        <f>_xlfn.XLOOKUP(Table1[[#This Row],[city]],Table4[city],Table4[id_city])</f>
        <v>KOA0104</v>
      </c>
      <c r="J711" t="s">
        <v>1220</v>
      </c>
      <c r="K711" t="str">
        <f>_xlfn.XLOOKUP(Table1[[#This Row],[menu_name]],Table5[menu_name],Table5[id_menu])</f>
        <v>MENU009</v>
      </c>
      <c r="L711" t="s">
        <v>1231</v>
      </c>
      <c r="M711" t="str">
        <f>_xlfn.XLOOKUP(Table1[[#This Row],[category]],Table6[category],Table6[id_category])</f>
        <v>KTG0206</v>
      </c>
      <c r="N711" t="s">
        <v>1234</v>
      </c>
      <c r="O711">
        <v>3</v>
      </c>
      <c r="P711">
        <v>18000</v>
      </c>
      <c r="Q711">
        <v>0</v>
      </c>
      <c r="R711">
        <v>4.5999999999999996</v>
      </c>
      <c r="S711" t="str">
        <f>_xlfn.XLOOKUP(Table1[[#This Row],[method]],Table7[method],Table7[id_method])</f>
        <v>PAY0709</v>
      </c>
      <c r="T711" t="s">
        <v>1236</v>
      </c>
      <c r="U711">
        <v>54000</v>
      </c>
    </row>
    <row r="712" spans="1:21" x14ac:dyDescent="0.25">
      <c r="A712" t="s">
        <v>724</v>
      </c>
      <c r="B712" t="str">
        <f>_xlfn.XLOOKUP(Table1[[#This Row],[date]],Table8[date],Table8[id_date])</f>
        <v>TGL0886</v>
      </c>
      <c r="C712" s="1">
        <v>45799</v>
      </c>
      <c r="D712" s="1" t="str">
        <f>_xlfn.XLOOKUP(Table1[[#This Row],[customer_name]],Table11[customer_name],Table11[id_cust])</f>
        <v>CNA0410</v>
      </c>
      <c r="E712" t="s">
        <v>1174</v>
      </c>
      <c r="F712">
        <v>18</v>
      </c>
      <c r="G712" t="str">
        <f>_xlfn.XLOOKUP(Table1[[#This Row],[branch_name]],Table3[branch_name],Table3[id_branch])</f>
        <v>BRCH003</v>
      </c>
      <c r="H712" t="s">
        <v>1215</v>
      </c>
      <c r="I712" t="str">
        <f>_xlfn.XLOOKUP(Table1[[#This Row],[city]],Table4[city],Table4[id_city])</f>
        <v>KOA0104</v>
      </c>
      <c r="J712" t="s">
        <v>1220</v>
      </c>
      <c r="K712" t="str">
        <f>_xlfn.XLOOKUP(Table1[[#This Row],[menu_name]],Table5[menu_name],Table5[id_menu])</f>
        <v>MENU008</v>
      </c>
      <c r="L712" t="s">
        <v>1230</v>
      </c>
      <c r="M712" t="str">
        <f>_xlfn.XLOOKUP(Table1[[#This Row],[category]],Table6[category],Table6[id_category])</f>
        <v>KTG0205</v>
      </c>
      <c r="N712" t="s">
        <v>1233</v>
      </c>
      <c r="O712">
        <v>2</v>
      </c>
      <c r="P712">
        <v>20000</v>
      </c>
      <c r="Q712">
        <v>15</v>
      </c>
      <c r="R712">
        <v>4.2</v>
      </c>
      <c r="S712" t="str">
        <f>_xlfn.XLOOKUP(Table1[[#This Row],[method]],Table7[method],Table7[id_method])</f>
        <v>PAY0711</v>
      </c>
      <c r="T712" t="s">
        <v>1238</v>
      </c>
      <c r="U712">
        <v>34000</v>
      </c>
    </row>
    <row r="713" spans="1:21" x14ac:dyDescent="0.25">
      <c r="A713" t="s">
        <v>725</v>
      </c>
      <c r="B713" t="str">
        <f>_xlfn.XLOOKUP(Table1[[#This Row],[date]],Table8[date],Table8[id_date])</f>
        <v>TGL0887</v>
      </c>
      <c r="C713" s="1">
        <v>45801</v>
      </c>
      <c r="D713" s="1" t="str">
        <f>_xlfn.XLOOKUP(Table1[[#This Row],[customer_name]],Table11[customer_name],Table11[id_cust])</f>
        <v>CNA0195</v>
      </c>
      <c r="E713" t="s">
        <v>1093</v>
      </c>
      <c r="F713">
        <v>42</v>
      </c>
      <c r="G713" t="str">
        <f>_xlfn.XLOOKUP(Table1[[#This Row],[branch_name]],Table3[branch_name],Table3[id_branch])</f>
        <v>BRCH001</v>
      </c>
      <c r="H713" t="s">
        <v>1213</v>
      </c>
      <c r="I713" t="str">
        <f>_xlfn.XLOOKUP(Table1[[#This Row],[city]],Table4[city],Table4[id_city])</f>
        <v>KOA0102</v>
      </c>
      <c r="J713" t="s">
        <v>1218</v>
      </c>
      <c r="K713" t="str">
        <f>_xlfn.XLOOKUP(Table1[[#This Row],[menu_name]],Table5[menu_name],Table5[id_menu])</f>
        <v>MENU003</v>
      </c>
      <c r="L713" t="s">
        <v>1225</v>
      </c>
      <c r="M713" t="str">
        <f>_xlfn.XLOOKUP(Table1[[#This Row],[category]],Table6[category],Table6[id_category])</f>
        <v>KTG0205</v>
      </c>
      <c r="N713" t="s">
        <v>1233</v>
      </c>
      <c r="O713">
        <v>4</v>
      </c>
      <c r="P713">
        <v>22000</v>
      </c>
      <c r="Q713">
        <v>15</v>
      </c>
      <c r="R713">
        <v>4.2</v>
      </c>
      <c r="S713" t="str">
        <f>_xlfn.XLOOKUP(Table1[[#This Row],[method]],Table7[method],Table7[id_method])</f>
        <v>PAY0710</v>
      </c>
      <c r="T713" t="s">
        <v>1237</v>
      </c>
      <c r="U713">
        <v>74800</v>
      </c>
    </row>
    <row r="714" spans="1:21" x14ac:dyDescent="0.25">
      <c r="A714" t="s">
        <v>726</v>
      </c>
      <c r="B714" t="str">
        <f>_xlfn.XLOOKUP(Table1[[#This Row],[date]],Table8[date],Table8[id_date])</f>
        <v>TGL0888</v>
      </c>
      <c r="C714" s="1">
        <v>45802</v>
      </c>
      <c r="D714" s="1" t="str">
        <f>_xlfn.XLOOKUP(Table1[[#This Row],[customer_name]],Table11[customer_name],Table11[id_cust])</f>
        <v>CNA0410</v>
      </c>
      <c r="E714" t="s">
        <v>1174</v>
      </c>
      <c r="F714">
        <v>18</v>
      </c>
      <c r="G714" t="str">
        <f>_xlfn.XLOOKUP(Table1[[#This Row],[branch_name]],Table3[branch_name],Table3[id_branch])</f>
        <v>BRCH004</v>
      </c>
      <c r="H714" t="s">
        <v>1216</v>
      </c>
      <c r="I714" t="str">
        <f>_xlfn.XLOOKUP(Table1[[#This Row],[city]],Table4[city],Table4[id_city])</f>
        <v>KOA0105</v>
      </c>
      <c r="J714" t="s">
        <v>1221</v>
      </c>
      <c r="K714" t="str">
        <f>_xlfn.XLOOKUP(Table1[[#This Row],[menu_name]],Table5[menu_name],Table5[id_menu])</f>
        <v>MENU003</v>
      </c>
      <c r="L714" t="s">
        <v>1225</v>
      </c>
      <c r="M714" t="str">
        <f>_xlfn.XLOOKUP(Table1[[#This Row],[category]],Table6[category],Table6[id_category])</f>
        <v>KTG0205</v>
      </c>
      <c r="N714" t="s">
        <v>1233</v>
      </c>
      <c r="O714">
        <v>5</v>
      </c>
      <c r="P714">
        <v>22000</v>
      </c>
      <c r="Q714">
        <v>15</v>
      </c>
      <c r="R714">
        <v>3.9</v>
      </c>
      <c r="S714" t="str">
        <f>_xlfn.XLOOKUP(Table1[[#This Row],[method]],Table7[method],Table7[id_method])</f>
        <v>PAY0709</v>
      </c>
      <c r="T714" t="s">
        <v>1236</v>
      </c>
      <c r="U714">
        <v>93500</v>
      </c>
    </row>
    <row r="715" spans="1:21" x14ac:dyDescent="0.25">
      <c r="A715" t="s">
        <v>727</v>
      </c>
      <c r="B715" t="str">
        <f>_xlfn.XLOOKUP(Table1[[#This Row],[date]],Table8[date],Table8[id_date])</f>
        <v>TGL0888</v>
      </c>
      <c r="C715" s="1">
        <v>45802</v>
      </c>
      <c r="D715" s="1" t="str">
        <f>_xlfn.XLOOKUP(Table1[[#This Row],[customer_name]],Table11[customer_name],Table11[id_cust])</f>
        <v>CNA0115</v>
      </c>
      <c r="E715" t="s">
        <v>1028</v>
      </c>
      <c r="F715">
        <v>46</v>
      </c>
      <c r="G715" t="str">
        <f>_xlfn.XLOOKUP(Table1[[#This Row],[branch_name]],Table3[branch_name],Table3[id_branch])</f>
        <v>BRCH003</v>
      </c>
      <c r="H715" t="s">
        <v>1215</v>
      </c>
      <c r="I715" t="str">
        <f>_xlfn.XLOOKUP(Table1[[#This Row],[city]],Table4[city],Table4[id_city])</f>
        <v>KOA0104</v>
      </c>
      <c r="J715" t="s">
        <v>1220</v>
      </c>
      <c r="K715" t="str">
        <f>_xlfn.XLOOKUP(Table1[[#This Row],[menu_name]],Table5[menu_name],Table5[id_menu])</f>
        <v>MENU008</v>
      </c>
      <c r="L715" t="s">
        <v>1230</v>
      </c>
      <c r="M715" t="str">
        <f>_xlfn.XLOOKUP(Table1[[#This Row],[category]],Table6[category],Table6[id_category])</f>
        <v>KTG0205</v>
      </c>
      <c r="N715" t="s">
        <v>1233</v>
      </c>
      <c r="O715">
        <v>4</v>
      </c>
      <c r="P715">
        <v>20000</v>
      </c>
      <c r="Q715">
        <v>0</v>
      </c>
      <c r="R715">
        <v>1.2</v>
      </c>
      <c r="S715" t="str">
        <f>_xlfn.XLOOKUP(Table1[[#This Row],[method]],Table7[method],Table7[id_method])</f>
        <v>PAY0709</v>
      </c>
      <c r="T715" t="s">
        <v>1236</v>
      </c>
      <c r="U715">
        <v>80000</v>
      </c>
    </row>
    <row r="716" spans="1:21" x14ac:dyDescent="0.25">
      <c r="A716" t="s">
        <v>728</v>
      </c>
      <c r="B716" t="str">
        <f>_xlfn.XLOOKUP(Table1[[#This Row],[date]],Table8[date],Table8[id_date])</f>
        <v>TGL0888</v>
      </c>
      <c r="C716" s="1">
        <v>45802</v>
      </c>
      <c r="D716" s="1" t="str">
        <f>_xlfn.XLOOKUP(Table1[[#This Row],[customer_name]],Table11[customer_name],Table11[id_cust])</f>
        <v>CNA0263</v>
      </c>
      <c r="E716" t="s">
        <v>1131</v>
      </c>
      <c r="F716">
        <v>36</v>
      </c>
      <c r="G716" t="str">
        <f>_xlfn.XLOOKUP(Table1[[#This Row],[branch_name]],Table3[branch_name],Table3[id_branch])</f>
        <v>BRCH002</v>
      </c>
      <c r="H716" t="s">
        <v>1214</v>
      </c>
      <c r="I716" t="str">
        <f>_xlfn.XLOOKUP(Table1[[#This Row],[city]],Table4[city],Table4[id_city])</f>
        <v>KOA0103</v>
      </c>
      <c r="J716" t="s">
        <v>1219</v>
      </c>
      <c r="K716" t="str">
        <f>_xlfn.XLOOKUP(Table1[[#This Row],[menu_name]],Table5[menu_name],Table5[id_menu])</f>
        <v>MENU006</v>
      </c>
      <c r="L716" t="s">
        <v>1228</v>
      </c>
      <c r="M716" t="str">
        <f>_xlfn.XLOOKUP(Table1[[#This Row],[category]],Table6[category],Table6[id_category])</f>
        <v>KTG0206</v>
      </c>
      <c r="N716" t="s">
        <v>1234</v>
      </c>
      <c r="O716">
        <v>3</v>
      </c>
      <c r="P716">
        <v>32000</v>
      </c>
      <c r="Q716">
        <v>0</v>
      </c>
      <c r="R716">
        <v>4.2</v>
      </c>
      <c r="S716" t="str">
        <f>_xlfn.XLOOKUP(Table1[[#This Row],[method]],Table7[method],Table7[id_method])</f>
        <v>PAY0709</v>
      </c>
      <c r="T716" t="s">
        <v>1236</v>
      </c>
      <c r="U716">
        <v>96000</v>
      </c>
    </row>
    <row r="717" spans="1:21" x14ac:dyDescent="0.25">
      <c r="A717" t="s">
        <v>729</v>
      </c>
      <c r="B717" t="str">
        <f>_xlfn.XLOOKUP(Table1[[#This Row],[date]],Table8[date],Table8[id_date])</f>
        <v>TGL0889</v>
      </c>
      <c r="C717" s="1">
        <v>45803</v>
      </c>
      <c r="D717" s="1" t="str">
        <f>_xlfn.XLOOKUP(Table1[[#This Row],[customer_name]],Table11[customer_name],Table11[id_cust])</f>
        <v>CNA0136</v>
      </c>
      <c r="E717" t="s">
        <v>1047</v>
      </c>
      <c r="F717">
        <v>31</v>
      </c>
      <c r="G717" t="str">
        <f>_xlfn.XLOOKUP(Table1[[#This Row],[branch_name]],Table3[branch_name],Table3[id_branch])</f>
        <v>BRCH005</v>
      </c>
      <c r="H717" t="s">
        <v>1217</v>
      </c>
      <c r="I717" t="str">
        <f>_xlfn.XLOOKUP(Table1[[#This Row],[city]],Table4[city],Table4[id_city])</f>
        <v>KOA0106</v>
      </c>
      <c r="J717" t="s">
        <v>1222</v>
      </c>
      <c r="K717" t="str">
        <f>_xlfn.XLOOKUP(Table1[[#This Row],[menu_name]],Table5[menu_name],Table5[id_menu])</f>
        <v>MENU010</v>
      </c>
      <c r="L717" t="s">
        <v>1232</v>
      </c>
      <c r="M717" t="str">
        <f>_xlfn.XLOOKUP(Table1[[#This Row],[category]],Table6[category],Table6[id_category])</f>
        <v>KTG0205</v>
      </c>
      <c r="N717" t="s">
        <v>1233</v>
      </c>
      <c r="O717">
        <v>4</v>
      </c>
      <c r="P717">
        <v>18000</v>
      </c>
      <c r="Q717">
        <v>15</v>
      </c>
      <c r="R717">
        <v>4.4000000000000004</v>
      </c>
      <c r="S717" t="str">
        <f>_xlfn.XLOOKUP(Table1[[#This Row],[method]],Table7[method],Table7[id_method])</f>
        <v>PAY0712</v>
      </c>
      <c r="T717" t="s">
        <v>1239</v>
      </c>
      <c r="U717">
        <v>61200</v>
      </c>
    </row>
    <row r="718" spans="1:21" x14ac:dyDescent="0.25">
      <c r="A718" t="s">
        <v>730</v>
      </c>
      <c r="B718" t="str">
        <f>_xlfn.XLOOKUP(Table1[[#This Row],[date]],Table8[date],Table8[id_date])</f>
        <v>TGL0889</v>
      </c>
      <c r="C718" s="1">
        <v>45803</v>
      </c>
      <c r="D718" s="1" t="str">
        <f>_xlfn.XLOOKUP(Table1[[#This Row],[customer_name]],Table11[customer_name],Table11[id_cust])</f>
        <v>CNA0177</v>
      </c>
      <c r="E718" t="s">
        <v>1082</v>
      </c>
      <c r="F718">
        <v>38</v>
      </c>
      <c r="G718" t="str">
        <f>_xlfn.XLOOKUP(Table1[[#This Row],[branch_name]],Table3[branch_name],Table3[id_branch])</f>
        <v>BRCH004</v>
      </c>
      <c r="H718" t="s">
        <v>1216</v>
      </c>
      <c r="I718" t="str">
        <f>_xlfn.XLOOKUP(Table1[[#This Row],[city]],Table4[city],Table4[id_city])</f>
        <v>KOA0105</v>
      </c>
      <c r="J718" t="s">
        <v>1221</v>
      </c>
      <c r="K718" t="str">
        <f>_xlfn.XLOOKUP(Table1[[#This Row],[menu_name]],Table5[menu_name],Table5[id_menu])</f>
        <v>MENU006</v>
      </c>
      <c r="L718" t="s">
        <v>1228</v>
      </c>
      <c r="M718" t="str">
        <f>_xlfn.XLOOKUP(Table1[[#This Row],[category]],Table6[category],Table6[id_category])</f>
        <v>KTG0206</v>
      </c>
      <c r="N718" t="s">
        <v>1234</v>
      </c>
      <c r="O718">
        <v>2</v>
      </c>
      <c r="P718">
        <v>32000</v>
      </c>
      <c r="Q718">
        <v>10</v>
      </c>
      <c r="R718">
        <v>5</v>
      </c>
      <c r="S718" t="str">
        <f>_xlfn.XLOOKUP(Table1[[#This Row],[method]],Table7[method],Table7[id_method])</f>
        <v>PAY0711</v>
      </c>
      <c r="T718" t="s">
        <v>1238</v>
      </c>
      <c r="U718">
        <v>57600</v>
      </c>
    </row>
    <row r="719" spans="1:21" x14ac:dyDescent="0.25">
      <c r="A719" t="s">
        <v>731</v>
      </c>
      <c r="B719" t="str">
        <f>_xlfn.XLOOKUP(Table1[[#This Row],[date]],Table8[date],Table8[id_date])</f>
        <v>TGL0890</v>
      </c>
      <c r="C719" s="1">
        <v>45804</v>
      </c>
      <c r="D719" s="1" t="str">
        <f>_xlfn.XLOOKUP(Table1[[#This Row],[customer_name]],Table11[customer_name],Table11[id_cust])</f>
        <v>CNA0325</v>
      </c>
      <c r="E719" t="s">
        <v>1160</v>
      </c>
      <c r="F719">
        <v>45</v>
      </c>
      <c r="G719" t="str">
        <f>_xlfn.XLOOKUP(Table1[[#This Row],[branch_name]],Table3[branch_name],Table3[id_branch])</f>
        <v>BRCH004</v>
      </c>
      <c r="H719" t="s">
        <v>1216</v>
      </c>
      <c r="I719" t="str">
        <f>_xlfn.XLOOKUP(Table1[[#This Row],[city]],Table4[city],Table4[id_city])</f>
        <v>KOA0105</v>
      </c>
      <c r="J719" t="s">
        <v>1221</v>
      </c>
      <c r="K719" t="str">
        <f>_xlfn.XLOOKUP(Table1[[#This Row],[menu_name]],Table5[menu_name],Table5[id_menu])</f>
        <v>MENU001</v>
      </c>
      <c r="L719" t="s">
        <v>1223</v>
      </c>
      <c r="M719" t="str">
        <f>_xlfn.XLOOKUP(Table1[[#This Row],[category]],Table6[category],Table6[id_category])</f>
        <v>KTG0205</v>
      </c>
      <c r="N719" t="s">
        <v>1233</v>
      </c>
      <c r="O719">
        <v>1</v>
      </c>
      <c r="P719">
        <v>25000</v>
      </c>
      <c r="Q719">
        <v>20</v>
      </c>
      <c r="R719">
        <v>2</v>
      </c>
      <c r="S719" t="str">
        <f>_xlfn.XLOOKUP(Table1[[#This Row],[method]],Table7[method],Table7[id_method])</f>
        <v>PAY0712</v>
      </c>
      <c r="T719" t="s">
        <v>1239</v>
      </c>
      <c r="U719">
        <v>20000</v>
      </c>
    </row>
    <row r="720" spans="1:21" x14ac:dyDescent="0.25">
      <c r="A720" t="s">
        <v>732</v>
      </c>
      <c r="B720" t="str">
        <f>_xlfn.XLOOKUP(Table1[[#This Row],[date]],Table8[date],Table8[id_date])</f>
        <v>TGL0890</v>
      </c>
      <c r="C720" s="1">
        <v>45804</v>
      </c>
      <c r="D720" s="1" t="str">
        <f>_xlfn.XLOOKUP(Table1[[#This Row],[customer_name]],Table11[customer_name],Table11[id_cust])</f>
        <v>CNA0385</v>
      </c>
      <c r="E720" t="s">
        <v>1169</v>
      </c>
      <c r="F720">
        <v>50</v>
      </c>
      <c r="G720" t="str">
        <f>_xlfn.XLOOKUP(Table1[[#This Row],[branch_name]],Table3[branch_name],Table3[id_branch])</f>
        <v>BRCH003</v>
      </c>
      <c r="H720" t="s">
        <v>1215</v>
      </c>
      <c r="I720" t="str">
        <f>_xlfn.XLOOKUP(Table1[[#This Row],[city]],Table4[city],Table4[id_city])</f>
        <v>KOA0104</v>
      </c>
      <c r="J720" t="s">
        <v>1220</v>
      </c>
      <c r="K720" t="str">
        <f>_xlfn.XLOOKUP(Table1[[#This Row],[menu_name]],Table5[menu_name],Table5[id_menu])</f>
        <v>MENU009</v>
      </c>
      <c r="L720" t="s">
        <v>1231</v>
      </c>
      <c r="M720" t="str">
        <f>_xlfn.XLOOKUP(Table1[[#This Row],[category]],Table6[category],Table6[id_category])</f>
        <v>KTG0206</v>
      </c>
      <c r="N720" t="s">
        <v>1234</v>
      </c>
      <c r="O720">
        <v>3</v>
      </c>
      <c r="P720">
        <v>18000</v>
      </c>
      <c r="Q720">
        <v>0</v>
      </c>
      <c r="R720">
        <v>3</v>
      </c>
      <c r="S720" t="str">
        <f>_xlfn.XLOOKUP(Table1[[#This Row],[method]],Table7[method],Table7[id_method])</f>
        <v>PAY0712</v>
      </c>
      <c r="T720" t="s">
        <v>1239</v>
      </c>
      <c r="U720">
        <v>54000</v>
      </c>
    </row>
    <row r="721" spans="1:21" x14ac:dyDescent="0.25">
      <c r="A721" t="s">
        <v>733</v>
      </c>
      <c r="B721" t="str">
        <f>_xlfn.XLOOKUP(Table1[[#This Row],[date]],Table8[date],Table8[id_date])</f>
        <v>TGL0890</v>
      </c>
      <c r="C721" s="1">
        <v>45804</v>
      </c>
      <c r="D721" s="1" t="str">
        <f>_xlfn.XLOOKUP(Table1[[#This Row],[customer_name]],Table11[customer_name],Table11[id_cust])</f>
        <v>CNA0350</v>
      </c>
      <c r="E721" t="s">
        <v>1165</v>
      </c>
      <c r="F721">
        <v>52</v>
      </c>
      <c r="G721" t="str">
        <f>_xlfn.XLOOKUP(Table1[[#This Row],[branch_name]],Table3[branch_name],Table3[id_branch])</f>
        <v>BRCH001</v>
      </c>
      <c r="H721" t="s">
        <v>1213</v>
      </c>
      <c r="I721" t="str">
        <f>_xlfn.XLOOKUP(Table1[[#This Row],[city]],Table4[city],Table4[id_city])</f>
        <v>KOA0102</v>
      </c>
      <c r="J721" t="s">
        <v>1218</v>
      </c>
      <c r="K721" t="str">
        <f>_xlfn.XLOOKUP(Table1[[#This Row],[menu_name]],Table5[menu_name],Table5[id_menu])</f>
        <v>MENU005</v>
      </c>
      <c r="L721" t="s">
        <v>1227</v>
      </c>
      <c r="M721" t="str">
        <f>_xlfn.XLOOKUP(Table1[[#This Row],[category]],Table6[category],Table6[id_category])</f>
        <v>KTG0206</v>
      </c>
      <c r="N721" t="s">
        <v>1234</v>
      </c>
      <c r="O721">
        <v>1</v>
      </c>
      <c r="P721">
        <v>23000</v>
      </c>
      <c r="Q721">
        <v>20</v>
      </c>
      <c r="R721">
        <v>1.7</v>
      </c>
      <c r="S721" t="str">
        <f>_xlfn.XLOOKUP(Table1[[#This Row],[method]],Table7[method],Table7[id_method])</f>
        <v>PAY0711</v>
      </c>
      <c r="T721" t="s">
        <v>1238</v>
      </c>
      <c r="U721">
        <v>18400</v>
      </c>
    </row>
    <row r="722" spans="1:21" x14ac:dyDescent="0.25">
      <c r="A722" t="s">
        <v>734</v>
      </c>
      <c r="B722" t="str">
        <f>_xlfn.XLOOKUP(Table1[[#This Row],[date]],Table8[date],Table8[id_date])</f>
        <v>TGL0890</v>
      </c>
      <c r="C722" s="1">
        <v>45804</v>
      </c>
      <c r="D722" s="1" t="str">
        <f>_xlfn.XLOOKUP(Table1[[#This Row],[customer_name]],Table11[customer_name],Table11[id_cust])</f>
        <v>CNA0821</v>
      </c>
      <c r="E722" t="s">
        <v>1205</v>
      </c>
      <c r="F722">
        <v>17</v>
      </c>
      <c r="G722" t="str">
        <f>_xlfn.XLOOKUP(Table1[[#This Row],[branch_name]],Table3[branch_name],Table3[id_branch])</f>
        <v>BRCH004</v>
      </c>
      <c r="H722" t="s">
        <v>1216</v>
      </c>
      <c r="I722" t="str">
        <f>_xlfn.XLOOKUP(Table1[[#This Row],[city]],Table4[city],Table4[id_city])</f>
        <v>KOA0105</v>
      </c>
      <c r="J722" t="s">
        <v>1221</v>
      </c>
      <c r="K722" t="str">
        <f>_xlfn.XLOOKUP(Table1[[#This Row],[menu_name]],Table5[menu_name],Table5[id_menu])</f>
        <v>MENU009</v>
      </c>
      <c r="L722" t="s">
        <v>1231</v>
      </c>
      <c r="M722" t="str">
        <f>_xlfn.XLOOKUP(Table1[[#This Row],[category]],Table6[category],Table6[id_category])</f>
        <v>KTG0206</v>
      </c>
      <c r="N722" t="s">
        <v>1234</v>
      </c>
      <c r="O722">
        <v>4</v>
      </c>
      <c r="P722">
        <v>18000</v>
      </c>
      <c r="Q722">
        <v>15</v>
      </c>
      <c r="R722">
        <v>4.8</v>
      </c>
      <c r="S722" t="str">
        <f>_xlfn.XLOOKUP(Table1[[#This Row],[method]],Table7[method],Table7[id_method])</f>
        <v>PAY0709</v>
      </c>
      <c r="T722" t="s">
        <v>1236</v>
      </c>
      <c r="U722">
        <v>61200</v>
      </c>
    </row>
    <row r="723" spans="1:21" x14ac:dyDescent="0.25">
      <c r="A723" t="s">
        <v>735</v>
      </c>
      <c r="B723" t="str">
        <f>_xlfn.XLOOKUP(Table1[[#This Row],[date]],Table8[date],Table8[id_date])</f>
        <v>TGL0891</v>
      </c>
      <c r="C723" s="1">
        <v>45807</v>
      </c>
      <c r="D723" s="1" t="str">
        <f>_xlfn.XLOOKUP(Table1[[#This Row],[customer_name]],Table11[customer_name],Table11[id_cust])</f>
        <v>CNA0271</v>
      </c>
      <c r="E723" t="s">
        <v>1135</v>
      </c>
      <c r="F723">
        <v>48</v>
      </c>
      <c r="G723" t="str">
        <f>_xlfn.XLOOKUP(Table1[[#This Row],[branch_name]],Table3[branch_name],Table3[id_branch])</f>
        <v>BRCH003</v>
      </c>
      <c r="H723" t="s">
        <v>1215</v>
      </c>
      <c r="I723" t="str">
        <f>_xlfn.XLOOKUP(Table1[[#This Row],[city]],Table4[city],Table4[id_city])</f>
        <v>KOA0104</v>
      </c>
      <c r="J723" t="s">
        <v>1220</v>
      </c>
      <c r="K723" t="str">
        <f>_xlfn.XLOOKUP(Table1[[#This Row],[menu_name]],Table5[menu_name],Table5[id_menu])</f>
        <v>MENU005</v>
      </c>
      <c r="L723" t="s">
        <v>1227</v>
      </c>
      <c r="M723" t="str">
        <f>_xlfn.XLOOKUP(Table1[[#This Row],[category]],Table6[category],Table6[id_category])</f>
        <v>KTG0206</v>
      </c>
      <c r="N723" t="s">
        <v>1234</v>
      </c>
      <c r="O723">
        <v>1</v>
      </c>
      <c r="P723">
        <v>23000</v>
      </c>
      <c r="Q723">
        <v>0</v>
      </c>
      <c r="R723">
        <v>2</v>
      </c>
      <c r="S723" t="str">
        <f>_xlfn.XLOOKUP(Table1[[#This Row],[method]],Table7[method],Table7[id_method])</f>
        <v>PAY0712</v>
      </c>
      <c r="T723" t="s">
        <v>1239</v>
      </c>
      <c r="U723">
        <v>23000</v>
      </c>
    </row>
    <row r="724" spans="1:21" x14ac:dyDescent="0.25">
      <c r="A724" t="s">
        <v>736</v>
      </c>
      <c r="B724" t="str">
        <f>_xlfn.XLOOKUP(Table1[[#This Row],[date]],Table8[date],Table8[id_date])</f>
        <v>TGL0891</v>
      </c>
      <c r="C724" s="1">
        <v>45807</v>
      </c>
      <c r="D724" s="1" t="str">
        <f>_xlfn.XLOOKUP(Table1[[#This Row],[customer_name]],Table11[customer_name],Table11[id_cust])</f>
        <v>CNA0291</v>
      </c>
      <c r="E724" t="s">
        <v>1145</v>
      </c>
      <c r="F724">
        <v>39</v>
      </c>
      <c r="G724" t="str">
        <f>_xlfn.XLOOKUP(Table1[[#This Row],[branch_name]],Table3[branch_name],Table3[id_branch])</f>
        <v>BRCH004</v>
      </c>
      <c r="H724" t="s">
        <v>1216</v>
      </c>
      <c r="I724" t="str">
        <f>_xlfn.XLOOKUP(Table1[[#This Row],[city]],Table4[city],Table4[id_city])</f>
        <v>KOA0105</v>
      </c>
      <c r="J724" t="s">
        <v>1221</v>
      </c>
      <c r="K724" t="str">
        <f>_xlfn.XLOOKUP(Table1[[#This Row],[menu_name]],Table5[menu_name],Table5[id_menu])</f>
        <v>MENU006</v>
      </c>
      <c r="L724" t="s">
        <v>1228</v>
      </c>
      <c r="M724" t="str">
        <f>_xlfn.XLOOKUP(Table1[[#This Row],[category]],Table6[category],Table6[id_category])</f>
        <v>KTG0206</v>
      </c>
      <c r="N724" t="s">
        <v>1234</v>
      </c>
      <c r="O724">
        <v>1</v>
      </c>
      <c r="P724">
        <v>32000</v>
      </c>
      <c r="Q724">
        <v>0</v>
      </c>
      <c r="R724">
        <v>3.8</v>
      </c>
      <c r="S724" t="str">
        <f>_xlfn.XLOOKUP(Table1[[#This Row],[method]],Table7[method],Table7[id_method])</f>
        <v>PAY0709</v>
      </c>
      <c r="T724" t="s">
        <v>1236</v>
      </c>
      <c r="U724">
        <v>32000</v>
      </c>
    </row>
    <row r="725" spans="1:21" x14ac:dyDescent="0.25">
      <c r="A725" t="s">
        <v>737</v>
      </c>
      <c r="B725" t="str">
        <f>_xlfn.XLOOKUP(Table1[[#This Row],[date]],Table8[date],Table8[id_date])</f>
        <v>TGL0891</v>
      </c>
      <c r="C725" s="1">
        <v>45807</v>
      </c>
      <c r="D725" s="1" t="str">
        <f>_xlfn.XLOOKUP(Table1[[#This Row],[customer_name]],Table11[customer_name],Table11[id_cust])</f>
        <v>CNA0106</v>
      </c>
      <c r="E725" t="s">
        <v>1019</v>
      </c>
      <c r="F725">
        <v>30</v>
      </c>
      <c r="G725" t="str">
        <f>_xlfn.XLOOKUP(Table1[[#This Row],[branch_name]],Table3[branch_name],Table3[id_branch])</f>
        <v>BRCH003</v>
      </c>
      <c r="H725" t="s">
        <v>1215</v>
      </c>
      <c r="I725" t="str">
        <f>_xlfn.XLOOKUP(Table1[[#This Row],[city]],Table4[city],Table4[id_city])</f>
        <v>KOA0104</v>
      </c>
      <c r="J725" t="s">
        <v>1220</v>
      </c>
      <c r="K725" t="str">
        <f>_xlfn.XLOOKUP(Table1[[#This Row],[menu_name]],Table5[menu_name],Table5[id_menu])</f>
        <v>MENU001</v>
      </c>
      <c r="L725" t="s">
        <v>1223</v>
      </c>
      <c r="M725" t="str">
        <f>_xlfn.XLOOKUP(Table1[[#This Row],[category]],Table6[category],Table6[id_category])</f>
        <v>KTG0205</v>
      </c>
      <c r="N725" t="s">
        <v>1233</v>
      </c>
      <c r="O725">
        <v>1</v>
      </c>
      <c r="P725">
        <v>25000</v>
      </c>
      <c r="Q725">
        <v>0</v>
      </c>
      <c r="R725">
        <v>2</v>
      </c>
      <c r="S725" t="str">
        <f>_xlfn.XLOOKUP(Table1[[#This Row],[method]],Table7[method],Table7[id_method])</f>
        <v>PAY0712</v>
      </c>
      <c r="T725" t="s">
        <v>1239</v>
      </c>
      <c r="U725">
        <v>25000</v>
      </c>
    </row>
    <row r="726" spans="1:21" x14ac:dyDescent="0.25">
      <c r="A726" t="s">
        <v>738</v>
      </c>
      <c r="B726" t="str">
        <f>_xlfn.XLOOKUP(Table1[[#This Row],[date]],Table8[date],Table8[id_date])</f>
        <v>TGL0892</v>
      </c>
      <c r="C726" s="1">
        <v>45808</v>
      </c>
      <c r="D726" s="1" t="str">
        <f>_xlfn.XLOOKUP(Table1[[#This Row],[customer_name]],Table11[customer_name],Table11[id_cust])</f>
        <v>CNA0268</v>
      </c>
      <c r="E726" t="s">
        <v>1133</v>
      </c>
      <c r="F726">
        <v>31</v>
      </c>
      <c r="G726" t="str">
        <f>_xlfn.XLOOKUP(Table1[[#This Row],[branch_name]],Table3[branch_name],Table3[id_branch])</f>
        <v>BRCH002</v>
      </c>
      <c r="H726" t="s">
        <v>1214</v>
      </c>
      <c r="I726" t="str">
        <f>_xlfn.XLOOKUP(Table1[[#This Row],[city]],Table4[city],Table4[id_city])</f>
        <v>KOA0103</v>
      </c>
      <c r="J726" t="s">
        <v>1219</v>
      </c>
      <c r="K726" t="str">
        <f>_xlfn.XLOOKUP(Table1[[#This Row],[menu_name]],Table5[menu_name],Table5[id_menu])</f>
        <v>MENU007</v>
      </c>
      <c r="L726" t="s">
        <v>1229</v>
      </c>
      <c r="M726" t="str">
        <f>_xlfn.XLOOKUP(Table1[[#This Row],[category]],Table6[category],Table6[id_category])</f>
        <v>KTG0207</v>
      </c>
      <c r="N726" t="s">
        <v>1235</v>
      </c>
      <c r="O726">
        <v>5</v>
      </c>
      <c r="P726">
        <v>27000</v>
      </c>
      <c r="Q726">
        <v>20</v>
      </c>
      <c r="R726">
        <v>1.9</v>
      </c>
      <c r="S726" t="str">
        <f>_xlfn.XLOOKUP(Table1[[#This Row],[method]],Table7[method],Table7[id_method])</f>
        <v>PAY0711</v>
      </c>
      <c r="T726" t="s">
        <v>1238</v>
      </c>
      <c r="U726">
        <v>108000</v>
      </c>
    </row>
    <row r="727" spans="1:21" x14ac:dyDescent="0.25">
      <c r="A727" t="s">
        <v>739</v>
      </c>
      <c r="B727" t="str">
        <f>_xlfn.XLOOKUP(Table1[[#This Row],[date]],Table8[date],Table8[id_date])</f>
        <v>TGL0892</v>
      </c>
      <c r="C727" s="1">
        <v>45808</v>
      </c>
      <c r="D727" s="1" t="str">
        <f>_xlfn.XLOOKUP(Table1[[#This Row],[customer_name]],Table11[customer_name],Table11[id_cust])</f>
        <v>CNA0102</v>
      </c>
      <c r="E727" t="s">
        <v>1015</v>
      </c>
      <c r="F727">
        <v>36</v>
      </c>
      <c r="G727" t="str">
        <f>_xlfn.XLOOKUP(Table1[[#This Row],[branch_name]],Table3[branch_name],Table3[id_branch])</f>
        <v>BRCH004</v>
      </c>
      <c r="H727" t="s">
        <v>1216</v>
      </c>
      <c r="I727" t="str">
        <f>_xlfn.XLOOKUP(Table1[[#This Row],[city]],Table4[city],Table4[id_city])</f>
        <v>KOA0105</v>
      </c>
      <c r="J727" t="s">
        <v>1221</v>
      </c>
      <c r="K727" t="str">
        <f>_xlfn.XLOOKUP(Table1[[#This Row],[menu_name]],Table5[menu_name],Table5[id_menu])</f>
        <v>MENU003</v>
      </c>
      <c r="L727" t="s">
        <v>1225</v>
      </c>
      <c r="M727" t="str">
        <f>_xlfn.XLOOKUP(Table1[[#This Row],[category]],Table6[category],Table6[id_category])</f>
        <v>KTG0205</v>
      </c>
      <c r="N727" t="s">
        <v>1233</v>
      </c>
      <c r="O727">
        <v>5</v>
      </c>
      <c r="P727">
        <v>22000</v>
      </c>
      <c r="Q727">
        <v>15</v>
      </c>
      <c r="R727">
        <v>3.9</v>
      </c>
      <c r="S727" t="str">
        <f>_xlfn.XLOOKUP(Table1[[#This Row],[method]],Table7[method],Table7[id_method])</f>
        <v>PAY0710</v>
      </c>
      <c r="T727" t="s">
        <v>1237</v>
      </c>
      <c r="U727">
        <v>93500</v>
      </c>
    </row>
    <row r="728" spans="1:21" x14ac:dyDescent="0.25">
      <c r="A728" t="s">
        <v>740</v>
      </c>
      <c r="B728" t="str">
        <f>_xlfn.XLOOKUP(Table1[[#This Row],[date]],Table8[date],Table8[id_date])</f>
        <v>TGL0893</v>
      </c>
      <c r="C728" s="1">
        <v>45809</v>
      </c>
      <c r="D728" s="1" t="str">
        <f>_xlfn.XLOOKUP(Table1[[#This Row],[customer_name]],Table11[customer_name],Table11[id_cust])</f>
        <v>CNA0117</v>
      </c>
      <c r="E728" t="s">
        <v>1030</v>
      </c>
      <c r="F728">
        <v>53</v>
      </c>
      <c r="G728" t="str">
        <f>_xlfn.XLOOKUP(Table1[[#This Row],[branch_name]],Table3[branch_name],Table3[id_branch])</f>
        <v>BRCH004</v>
      </c>
      <c r="H728" t="s">
        <v>1216</v>
      </c>
      <c r="I728" t="str">
        <f>_xlfn.XLOOKUP(Table1[[#This Row],[city]],Table4[city],Table4[id_city])</f>
        <v>KOA0105</v>
      </c>
      <c r="J728" t="s">
        <v>1221</v>
      </c>
      <c r="K728" t="str">
        <f>_xlfn.XLOOKUP(Table1[[#This Row],[menu_name]],Table5[menu_name],Table5[id_menu])</f>
        <v>MENU007</v>
      </c>
      <c r="L728" t="s">
        <v>1229</v>
      </c>
      <c r="M728" t="str">
        <f>_xlfn.XLOOKUP(Table1[[#This Row],[category]],Table6[category],Table6[id_category])</f>
        <v>KTG0207</v>
      </c>
      <c r="N728" t="s">
        <v>1235</v>
      </c>
      <c r="O728">
        <v>4</v>
      </c>
      <c r="P728">
        <v>27000</v>
      </c>
      <c r="Q728">
        <v>20</v>
      </c>
      <c r="R728">
        <v>1.4</v>
      </c>
      <c r="S728" t="str">
        <f>_xlfn.XLOOKUP(Table1[[#This Row],[method]],Table7[method],Table7[id_method])</f>
        <v>PAY0712</v>
      </c>
      <c r="T728" t="s">
        <v>1239</v>
      </c>
      <c r="U728">
        <v>86400</v>
      </c>
    </row>
    <row r="729" spans="1:21" x14ac:dyDescent="0.25">
      <c r="A729" t="s">
        <v>741</v>
      </c>
      <c r="B729" t="str">
        <f>_xlfn.XLOOKUP(Table1[[#This Row],[date]],Table8[date],Table8[id_date])</f>
        <v>TGL0893</v>
      </c>
      <c r="C729" s="1">
        <v>45809</v>
      </c>
      <c r="D729" s="1" t="str">
        <f>_xlfn.XLOOKUP(Table1[[#This Row],[customer_name]],Table11[customer_name],Table11[id_cust])</f>
        <v>CNA0167</v>
      </c>
      <c r="E729" t="s">
        <v>1072</v>
      </c>
      <c r="F729">
        <v>38</v>
      </c>
      <c r="G729" t="str">
        <f>_xlfn.XLOOKUP(Table1[[#This Row],[branch_name]],Table3[branch_name],Table3[id_branch])</f>
        <v>BRCH002</v>
      </c>
      <c r="H729" t="s">
        <v>1214</v>
      </c>
      <c r="I729" t="str">
        <f>_xlfn.XLOOKUP(Table1[[#This Row],[city]],Table4[city],Table4[id_city])</f>
        <v>KOA0103</v>
      </c>
      <c r="J729" t="s">
        <v>1219</v>
      </c>
      <c r="K729" t="str">
        <f>_xlfn.XLOOKUP(Table1[[#This Row],[menu_name]],Table5[menu_name],Table5[id_menu])</f>
        <v>MENU008</v>
      </c>
      <c r="L729" t="s">
        <v>1230</v>
      </c>
      <c r="M729" t="str">
        <f>_xlfn.XLOOKUP(Table1[[#This Row],[category]],Table6[category],Table6[id_category])</f>
        <v>KTG0205</v>
      </c>
      <c r="N729" t="s">
        <v>1233</v>
      </c>
      <c r="O729">
        <v>5</v>
      </c>
      <c r="P729">
        <v>20000</v>
      </c>
      <c r="Q729">
        <v>20</v>
      </c>
      <c r="R729">
        <v>1.6</v>
      </c>
      <c r="S729" t="str">
        <f>_xlfn.XLOOKUP(Table1[[#This Row],[method]],Table7[method],Table7[id_method])</f>
        <v>PAY0711</v>
      </c>
      <c r="T729" t="s">
        <v>1238</v>
      </c>
      <c r="U729">
        <v>80000</v>
      </c>
    </row>
    <row r="730" spans="1:21" x14ac:dyDescent="0.25">
      <c r="A730" t="s">
        <v>742</v>
      </c>
      <c r="B730" t="str">
        <f>_xlfn.XLOOKUP(Table1[[#This Row],[date]],Table8[date],Table8[id_date])</f>
        <v>TGL0893</v>
      </c>
      <c r="C730" s="1">
        <v>45809</v>
      </c>
      <c r="D730" s="1" t="str">
        <f>_xlfn.XLOOKUP(Table1[[#This Row],[customer_name]],Table11[customer_name],Table11[id_cust])</f>
        <v>CNA0310</v>
      </c>
      <c r="E730" t="s">
        <v>1153</v>
      </c>
      <c r="F730">
        <v>22</v>
      </c>
      <c r="G730" t="str">
        <f>_xlfn.XLOOKUP(Table1[[#This Row],[branch_name]],Table3[branch_name],Table3[id_branch])</f>
        <v>BRCH003</v>
      </c>
      <c r="H730" t="s">
        <v>1215</v>
      </c>
      <c r="I730" t="str">
        <f>_xlfn.XLOOKUP(Table1[[#This Row],[city]],Table4[city],Table4[id_city])</f>
        <v>KOA0104</v>
      </c>
      <c r="J730" t="s">
        <v>1220</v>
      </c>
      <c r="K730" t="str">
        <f>_xlfn.XLOOKUP(Table1[[#This Row],[menu_name]],Table5[menu_name],Table5[id_menu])</f>
        <v>MENU005</v>
      </c>
      <c r="L730" t="s">
        <v>1227</v>
      </c>
      <c r="M730" t="str">
        <f>_xlfn.XLOOKUP(Table1[[#This Row],[category]],Table6[category],Table6[id_category])</f>
        <v>KTG0206</v>
      </c>
      <c r="N730" t="s">
        <v>1234</v>
      </c>
      <c r="O730">
        <v>1</v>
      </c>
      <c r="P730">
        <v>23000</v>
      </c>
      <c r="Q730">
        <v>0</v>
      </c>
      <c r="R730">
        <v>3.9</v>
      </c>
      <c r="S730" t="str">
        <f>_xlfn.XLOOKUP(Table1[[#This Row],[method]],Table7[method],Table7[id_method])</f>
        <v>PAY0709</v>
      </c>
      <c r="T730" t="s">
        <v>1236</v>
      </c>
      <c r="U730">
        <v>23000</v>
      </c>
    </row>
    <row r="731" spans="1:21" x14ac:dyDescent="0.25">
      <c r="A731" t="s">
        <v>743</v>
      </c>
      <c r="B731" t="str">
        <f>_xlfn.XLOOKUP(Table1[[#This Row],[date]],Table8[date],Table8[id_date])</f>
        <v>TGL0894</v>
      </c>
      <c r="C731" s="1">
        <v>45810</v>
      </c>
      <c r="D731" s="1" t="str">
        <f>_xlfn.XLOOKUP(Table1[[#This Row],[customer_name]],Table11[customer_name],Table11[id_cust])</f>
        <v>CNA0124</v>
      </c>
      <c r="E731" t="s">
        <v>1037</v>
      </c>
      <c r="F731">
        <v>33</v>
      </c>
      <c r="G731" t="str">
        <f>_xlfn.XLOOKUP(Table1[[#This Row],[branch_name]],Table3[branch_name],Table3[id_branch])</f>
        <v>BRCH004</v>
      </c>
      <c r="H731" t="s">
        <v>1216</v>
      </c>
      <c r="I731" t="str">
        <f>_xlfn.XLOOKUP(Table1[[#This Row],[city]],Table4[city],Table4[id_city])</f>
        <v>KOA0105</v>
      </c>
      <c r="J731" t="s">
        <v>1221</v>
      </c>
      <c r="K731" t="str">
        <f>_xlfn.XLOOKUP(Table1[[#This Row],[menu_name]],Table5[menu_name],Table5[id_menu])</f>
        <v>MENU008</v>
      </c>
      <c r="L731" t="s">
        <v>1230</v>
      </c>
      <c r="M731" t="str">
        <f>_xlfn.XLOOKUP(Table1[[#This Row],[category]],Table6[category],Table6[id_category])</f>
        <v>KTG0205</v>
      </c>
      <c r="N731" t="s">
        <v>1233</v>
      </c>
      <c r="O731">
        <v>3</v>
      </c>
      <c r="P731">
        <v>20000</v>
      </c>
      <c r="Q731">
        <v>10</v>
      </c>
      <c r="R731">
        <v>2</v>
      </c>
      <c r="S731" t="str">
        <f>_xlfn.XLOOKUP(Table1[[#This Row],[method]],Table7[method],Table7[id_method])</f>
        <v>PAY0710</v>
      </c>
      <c r="T731" t="s">
        <v>1237</v>
      </c>
      <c r="U731">
        <v>54000</v>
      </c>
    </row>
    <row r="732" spans="1:21" x14ac:dyDescent="0.25">
      <c r="A732" t="s">
        <v>744</v>
      </c>
      <c r="B732" t="str">
        <f>_xlfn.XLOOKUP(Table1[[#This Row],[date]],Table8[date],Table8[id_date])</f>
        <v>TGL0895</v>
      </c>
      <c r="C732" s="1">
        <v>45811</v>
      </c>
      <c r="D732" s="1" t="str">
        <f>_xlfn.XLOOKUP(Table1[[#This Row],[customer_name]],Table11[customer_name],Table11[id_cust])</f>
        <v>CNA0176</v>
      </c>
      <c r="E732" t="s">
        <v>1081</v>
      </c>
      <c r="F732">
        <v>25</v>
      </c>
      <c r="G732" t="str">
        <f>_xlfn.XLOOKUP(Table1[[#This Row],[branch_name]],Table3[branch_name],Table3[id_branch])</f>
        <v>BRCH005</v>
      </c>
      <c r="H732" t="s">
        <v>1217</v>
      </c>
      <c r="I732" t="str">
        <f>_xlfn.XLOOKUP(Table1[[#This Row],[city]],Table4[city],Table4[id_city])</f>
        <v>KOA0106</v>
      </c>
      <c r="J732" t="s">
        <v>1222</v>
      </c>
      <c r="K732" t="str">
        <f>_xlfn.XLOOKUP(Table1[[#This Row],[menu_name]],Table5[menu_name],Table5[id_menu])</f>
        <v>MENU002</v>
      </c>
      <c r="L732" t="s">
        <v>1224</v>
      </c>
      <c r="M732" t="str">
        <f>_xlfn.XLOOKUP(Table1[[#This Row],[category]],Table6[category],Table6[id_category])</f>
        <v>KTG0206</v>
      </c>
      <c r="N732" t="s">
        <v>1234</v>
      </c>
      <c r="O732">
        <v>1</v>
      </c>
      <c r="P732">
        <v>30000</v>
      </c>
      <c r="Q732">
        <v>0</v>
      </c>
      <c r="R732">
        <v>3</v>
      </c>
      <c r="S732" t="str">
        <f>_xlfn.XLOOKUP(Table1[[#This Row],[method]],Table7[method],Table7[id_method])</f>
        <v>PAY0711</v>
      </c>
      <c r="T732" t="s">
        <v>1238</v>
      </c>
      <c r="U732">
        <v>30000</v>
      </c>
    </row>
    <row r="733" spans="1:21" x14ac:dyDescent="0.25">
      <c r="A733" t="s">
        <v>745</v>
      </c>
      <c r="B733" t="str">
        <f>_xlfn.XLOOKUP(Table1[[#This Row],[date]],Table8[date],Table8[id_date])</f>
        <v>TGL0896</v>
      </c>
      <c r="C733" s="1">
        <v>45813</v>
      </c>
      <c r="D733" s="1" t="str">
        <f>_xlfn.XLOOKUP(Table1[[#This Row],[customer_name]],Table11[customer_name],Table11[id_cust])</f>
        <v>CNA0170</v>
      </c>
      <c r="E733" t="s">
        <v>1075</v>
      </c>
      <c r="F733">
        <v>18</v>
      </c>
      <c r="G733" t="str">
        <f>_xlfn.XLOOKUP(Table1[[#This Row],[branch_name]],Table3[branch_name],Table3[id_branch])</f>
        <v>BRCH004</v>
      </c>
      <c r="H733" t="s">
        <v>1216</v>
      </c>
      <c r="I733" t="str">
        <f>_xlfn.XLOOKUP(Table1[[#This Row],[city]],Table4[city],Table4[id_city])</f>
        <v>KOA0105</v>
      </c>
      <c r="J733" t="s">
        <v>1221</v>
      </c>
      <c r="K733" t="str">
        <f>_xlfn.XLOOKUP(Table1[[#This Row],[menu_name]],Table5[menu_name],Table5[id_menu])</f>
        <v>MENU003</v>
      </c>
      <c r="L733" t="s">
        <v>1225</v>
      </c>
      <c r="M733" t="str">
        <f>_xlfn.XLOOKUP(Table1[[#This Row],[category]],Table6[category],Table6[id_category])</f>
        <v>KTG0205</v>
      </c>
      <c r="N733" t="s">
        <v>1233</v>
      </c>
      <c r="O733">
        <v>3</v>
      </c>
      <c r="P733">
        <v>22000</v>
      </c>
      <c r="Q733">
        <v>0</v>
      </c>
      <c r="R733">
        <v>2.6</v>
      </c>
      <c r="S733" t="str">
        <f>_xlfn.XLOOKUP(Table1[[#This Row],[method]],Table7[method],Table7[id_method])</f>
        <v>PAY0710</v>
      </c>
      <c r="T733" t="s">
        <v>1237</v>
      </c>
      <c r="U733">
        <v>66000</v>
      </c>
    </row>
    <row r="734" spans="1:21" x14ac:dyDescent="0.25">
      <c r="A734" t="s">
        <v>746</v>
      </c>
      <c r="B734" t="str">
        <f>_xlfn.XLOOKUP(Table1[[#This Row],[date]],Table8[date],Table8[id_date])</f>
        <v>TGL0896</v>
      </c>
      <c r="C734" s="1">
        <v>45813</v>
      </c>
      <c r="D734" s="1" t="str">
        <f>_xlfn.XLOOKUP(Table1[[#This Row],[customer_name]],Table11[customer_name],Table11[id_cust])</f>
        <v>CNA0494</v>
      </c>
      <c r="E734" t="s">
        <v>1183</v>
      </c>
      <c r="F734">
        <v>40</v>
      </c>
      <c r="G734" t="str">
        <f>_xlfn.XLOOKUP(Table1[[#This Row],[branch_name]],Table3[branch_name],Table3[id_branch])</f>
        <v>BRCH002</v>
      </c>
      <c r="H734" t="s">
        <v>1214</v>
      </c>
      <c r="I734" t="str">
        <f>_xlfn.XLOOKUP(Table1[[#This Row],[city]],Table4[city],Table4[id_city])</f>
        <v>KOA0103</v>
      </c>
      <c r="J734" t="s">
        <v>1219</v>
      </c>
      <c r="K734" t="str">
        <f>_xlfn.XLOOKUP(Table1[[#This Row],[menu_name]],Table5[menu_name],Table5[id_menu])</f>
        <v>MENU005</v>
      </c>
      <c r="L734" t="s">
        <v>1227</v>
      </c>
      <c r="M734" t="str">
        <f>_xlfn.XLOOKUP(Table1[[#This Row],[category]],Table6[category],Table6[id_category])</f>
        <v>KTG0206</v>
      </c>
      <c r="N734" t="s">
        <v>1234</v>
      </c>
      <c r="O734">
        <v>4</v>
      </c>
      <c r="P734">
        <v>23000</v>
      </c>
      <c r="Q734">
        <v>0</v>
      </c>
      <c r="R734">
        <v>3.7</v>
      </c>
      <c r="S734" t="str">
        <f>_xlfn.XLOOKUP(Table1[[#This Row],[method]],Table7[method],Table7[id_method])</f>
        <v>PAY0709</v>
      </c>
      <c r="T734" t="s">
        <v>1236</v>
      </c>
      <c r="U734">
        <v>92000</v>
      </c>
    </row>
    <row r="735" spans="1:21" x14ac:dyDescent="0.25">
      <c r="A735" t="s">
        <v>747</v>
      </c>
      <c r="B735" t="str">
        <f>_xlfn.XLOOKUP(Table1[[#This Row],[date]],Table8[date],Table8[id_date])</f>
        <v>TGL0897</v>
      </c>
      <c r="C735" s="1">
        <v>45815</v>
      </c>
      <c r="D735" s="1" t="str">
        <f>_xlfn.XLOOKUP(Table1[[#This Row],[customer_name]],Table11[customer_name],Table11[id_cust])</f>
        <v>CNA0342</v>
      </c>
      <c r="E735" t="s">
        <v>1162</v>
      </c>
      <c r="F735">
        <v>35</v>
      </c>
      <c r="G735" t="str">
        <f>_xlfn.XLOOKUP(Table1[[#This Row],[branch_name]],Table3[branch_name],Table3[id_branch])</f>
        <v>BRCH003</v>
      </c>
      <c r="H735" t="s">
        <v>1215</v>
      </c>
      <c r="I735" t="str">
        <f>_xlfn.XLOOKUP(Table1[[#This Row],[city]],Table4[city],Table4[id_city])</f>
        <v>KOA0104</v>
      </c>
      <c r="J735" t="s">
        <v>1220</v>
      </c>
      <c r="K735" t="str">
        <f>_xlfn.XLOOKUP(Table1[[#This Row],[menu_name]],Table5[menu_name],Table5[id_menu])</f>
        <v>MENU009</v>
      </c>
      <c r="L735" t="s">
        <v>1231</v>
      </c>
      <c r="M735" t="str">
        <f>_xlfn.XLOOKUP(Table1[[#This Row],[category]],Table6[category],Table6[id_category])</f>
        <v>KTG0206</v>
      </c>
      <c r="N735" t="s">
        <v>1234</v>
      </c>
      <c r="O735">
        <v>2</v>
      </c>
      <c r="P735">
        <v>18000</v>
      </c>
      <c r="Q735">
        <v>5</v>
      </c>
      <c r="R735">
        <v>4.4000000000000004</v>
      </c>
      <c r="S735" t="str">
        <f>_xlfn.XLOOKUP(Table1[[#This Row],[method]],Table7[method],Table7[id_method])</f>
        <v>PAY0712</v>
      </c>
      <c r="T735" t="s">
        <v>1239</v>
      </c>
      <c r="U735">
        <v>34200</v>
      </c>
    </row>
    <row r="736" spans="1:21" x14ac:dyDescent="0.25">
      <c r="A736" t="s">
        <v>748</v>
      </c>
      <c r="B736" t="str">
        <f>_xlfn.XLOOKUP(Table1[[#This Row],[date]],Table8[date],Table8[id_date])</f>
        <v>TGL0898</v>
      </c>
      <c r="C736" s="1">
        <v>45816</v>
      </c>
      <c r="D736" s="1" t="str">
        <f>_xlfn.XLOOKUP(Table1[[#This Row],[customer_name]],Table11[customer_name],Table11[id_cust])</f>
        <v>CNA0191</v>
      </c>
      <c r="E736" t="s">
        <v>1091</v>
      </c>
      <c r="F736">
        <v>41</v>
      </c>
      <c r="G736" t="str">
        <f>_xlfn.XLOOKUP(Table1[[#This Row],[branch_name]],Table3[branch_name],Table3[id_branch])</f>
        <v>BRCH001</v>
      </c>
      <c r="H736" t="s">
        <v>1213</v>
      </c>
      <c r="I736" t="str">
        <f>_xlfn.XLOOKUP(Table1[[#This Row],[city]],Table4[city],Table4[id_city])</f>
        <v>KOA0102</v>
      </c>
      <c r="J736" t="s">
        <v>1218</v>
      </c>
      <c r="K736" t="str">
        <f>_xlfn.XLOOKUP(Table1[[#This Row],[menu_name]],Table5[menu_name],Table5[id_menu])</f>
        <v>MENU005</v>
      </c>
      <c r="L736" t="s">
        <v>1227</v>
      </c>
      <c r="M736" t="str">
        <f>_xlfn.XLOOKUP(Table1[[#This Row],[category]],Table6[category],Table6[id_category])</f>
        <v>KTG0206</v>
      </c>
      <c r="N736" t="s">
        <v>1234</v>
      </c>
      <c r="O736">
        <v>3</v>
      </c>
      <c r="P736">
        <v>23000</v>
      </c>
      <c r="Q736">
        <v>0</v>
      </c>
      <c r="R736">
        <v>3.6</v>
      </c>
      <c r="S736" t="str">
        <f>_xlfn.XLOOKUP(Table1[[#This Row],[method]],Table7[method],Table7[id_method])</f>
        <v>PAY0712</v>
      </c>
      <c r="T736" t="s">
        <v>1239</v>
      </c>
      <c r="U736">
        <v>69000</v>
      </c>
    </row>
    <row r="737" spans="1:21" x14ac:dyDescent="0.25">
      <c r="A737" t="s">
        <v>749</v>
      </c>
      <c r="B737" t="str">
        <f>_xlfn.XLOOKUP(Table1[[#This Row],[date]],Table8[date],Table8[id_date])</f>
        <v>TGL0898</v>
      </c>
      <c r="C737" s="1">
        <v>45816</v>
      </c>
      <c r="D737" s="1" t="str">
        <f>_xlfn.XLOOKUP(Table1[[#This Row],[customer_name]],Table11[customer_name],Table11[id_cust])</f>
        <v>CNA0284</v>
      </c>
      <c r="E737" t="s">
        <v>1141</v>
      </c>
      <c r="F737">
        <v>21</v>
      </c>
      <c r="G737" t="str">
        <f>_xlfn.XLOOKUP(Table1[[#This Row],[branch_name]],Table3[branch_name],Table3[id_branch])</f>
        <v>BRCH002</v>
      </c>
      <c r="H737" t="s">
        <v>1214</v>
      </c>
      <c r="I737" t="str">
        <f>_xlfn.XLOOKUP(Table1[[#This Row],[city]],Table4[city],Table4[id_city])</f>
        <v>KOA0103</v>
      </c>
      <c r="J737" t="s">
        <v>1219</v>
      </c>
      <c r="K737" t="str">
        <f>_xlfn.XLOOKUP(Table1[[#This Row],[menu_name]],Table5[menu_name],Table5[id_menu])</f>
        <v>MENU005</v>
      </c>
      <c r="L737" t="s">
        <v>1227</v>
      </c>
      <c r="M737" t="str">
        <f>_xlfn.XLOOKUP(Table1[[#This Row],[category]],Table6[category],Table6[id_category])</f>
        <v>KTG0206</v>
      </c>
      <c r="N737" t="s">
        <v>1234</v>
      </c>
      <c r="O737">
        <v>5</v>
      </c>
      <c r="P737">
        <v>23000</v>
      </c>
      <c r="Q737">
        <v>0</v>
      </c>
      <c r="R737">
        <v>2.6</v>
      </c>
      <c r="S737" t="str">
        <f>_xlfn.XLOOKUP(Table1[[#This Row],[method]],Table7[method],Table7[id_method])</f>
        <v>PAY0712</v>
      </c>
      <c r="T737" t="s">
        <v>1239</v>
      </c>
      <c r="U737">
        <v>115000</v>
      </c>
    </row>
    <row r="738" spans="1:21" x14ac:dyDescent="0.25">
      <c r="A738" t="s">
        <v>750</v>
      </c>
      <c r="B738" t="str">
        <f>_xlfn.XLOOKUP(Table1[[#This Row],[date]],Table8[date],Table8[id_date])</f>
        <v>TGL0898</v>
      </c>
      <c r="C738" s="1">
        <v>45816</v>
      </c>
      <c r="D738" s="1" t="str">
        <f>_xlfn.XLOOKUP(Table1[[#This Row],[customer_name]],Table11[customer_name],Table11[id_cust])</f>
        <v>CNA0140</v>
      </c>
      <c r="E738" t="s">
        <v>1051</v>
      </c>
      <c r="F738">
        <v>43</v>
      </c>
      <c r="G738" t="str">
        <f>_xlfn.XLOOKUP(Table1[[#This Row],[branch_name]],Table3[branch_name],Table3[id_branch])</f>
        <v>BRCH004</v>
      </c>
      <c r="H738" t="s">
        <v>1216</v>
      </c>
      <c r="I738" t="str">
        <f>_xlfn.XLOOKUP(Table1[[#This Row],[city]],Table4[city],Table4[id_city])</f>
        <v>KOA0105</v>
      </c>
      <c r="J738" t="s">
        <v>1221</v>
      </c>
      <c r="K738" t="str">
        <f>_xlfn.XLOOKUP(Table1[[#This Row],[menu_name]],Table5[menu_name],Table5[id_menu])</f>
        <v>MENU001</v>
      </c>
      <c r="L738" t="s">
        <v>1223</v>
      </c>
      <c r="M738" t="str">
        <f>_xlfn.XLOOKUP(Table1[[#This Row],[category]],Table6[category],Table6[id_category])</f>
        <v>KTG0205</v>
      </c>
      <c r="N738" t="s">
        <v>1233</v>
      </c>
      <c r="O738">
        <v>4</v>
      </c>
      <c r="P738">
        <v>25000</v>
      </c>
      <c r="Q738">
        <v>0</v>
      </c>
      <c r="R738">
        <v>2.2999999999999998</v>
      </c>
      <c r="S738" t="str">
        <f>_xlfn.XLOOKUP(Table1[[#This Row],[method]],Table7[method],Table7[id_method])</f>
        <v>PAY0709</v>
      </c>
      <c r="T738" t="s">
        <v>1236</v>
      </c>
      <c r="U738">
        <v>100000</v>
      </c>
    </row>
    <row r="739" spans="1:21" x14ac:dyDescent="0.25">
      <c r="A739" t="s">
        <v>751</v>
      </c>
      <c r="B739" t="str">
        <f>_xlfn.XLOOKUP(Table1[[#This Row],[date]],Table8[date],Table8[id_date])</f>
        <v>TGL0899</v>
      </c>
      <c r="C739" s="1">
        <v>45817</v>
      </c>
      <c r="D739" s="1" t="str">
        <f>_xlfn.XLOOKUP(Table1[[#This Row],[customer_name]],Table11[customer_name],Table11[id_cust])</f>
        <v>CNA0201</v>
      </c>
      <c r="E739" t="s">
        <v>1096</v>
      </c>
      <c r="F739">
        <v>23</v>
      </c>
      <c r="G739" t="str">
        <f>_xlfn.XLOOKUP(Table1[[#This Row],[branch_name]],Table3[branch_name],Table3[id_branch])</f>
        <v>BRCH004</v>
      </c>
      <c r="H739" t="s">
        <v>1216</v>
      </c>
      <c r="I739" t="str">
        <f>_xlfn.XLOOKUP(Table1[[#This Row],[city]],Table4[city],Table4[id_city])</f>
        <v>KOA0105</v>
      </c>
      <c r="J739" t="s">
        <v>1221</v>
      </c>
      <c r="K739" t="str">
        <f>_xlfn.XLOOKUP(Table1[[#This Row],[menu_name]],Table5[menu_name],Table5[id_menu])</f>
        <v>MENU007</v>
      </c>
      <c r="L739" t="s">
        <v>1229</v>
      </c>
      <c r="M739" t="str">
        <f>_xlfn.XLOOKUP(Table1[[#This Row],[category]],Table6[category],Table6[id_category])</f>
        <v>KTG0207</v>
      </c>
      <c r="N739" t="s">
        <v>1235</v>
      </c>
      <c r="O739">
        <v>1</v>
      </c>
      <c r="P739">
        <v>27000</v>
      </c>
      <c r="Q739">
        <v>5</v>
      </c>
      <c r="R739">
        <v>3.6</v>
      </c>
      <c r="S739" t="str">
        <f>_xlfn.XLOOKUP(Table1[[#This Row],[method]],Table7[method],Table7[id_method])</f>
        <v>PAY0710</v>
      </c>
      <c r="T739" t="s">
        <v>1237</v>
      </c>
      <c r="U739">
        <v>25650</v>
      </c>
    </row>
    <row r="740" spans="1:21" x14ac:dyDescent="0.25">
      <c r="A740" t="s">
        <v>752</v>
      </c>
      <c r="B740" t="str">
        <f>_xlfn.XLOOKUP(Table1[[#This Row],[date]],Table8[date],Table8[id_date])</f>
        <v>TGL0899</v>
      </c>
      <c r="C740" s="1">
        <v>45817</v>
      </c>
      <c r="D740" s="1" t="str">
        <f>_xlfn.XLOOKUP(Table1[[#This Row],[customer_name]],Table11[customer_name],Table11[id_cust])</f>
        <v>CNA0212</v>
      </c>
      <c r="E740" t="s">
        <v>1104</v>
      </c>
      <c r="F740">
        <v>39</v>
      </c>
      <c r="G740" t="str">
        <f>_xlfn.XLOOKUP(Table1[[#This Row],[branch_name]],Table3[branch_name],Table3[id_branch])</f>
        <v>BRCH002</v>
      </c>
      <c r="H740" t="s">
        <v>1214</v>
      </c>
      <c r="I740" t="str">
        <f>_xlfn.XLOOKUP(Table1[[#This Row],[city]],Table4[city],Table4[id_city])</f>
        <v>KOA0103</v>
      </c>
      <c r="J740" t="s">
        <v>1219</v>
      </c>
      <c r="K740" t="str">
        <f>_xlfn.XLOOKUP(Table1[[#This Row],[menu_name]],Table5[menu_name],Table5[id_menu])</f>
        <v>MENU001</v>
      </c>
      <c r="L740" t="s">
        <v>1223</v>
      </c>
      <c r="M740" t="str">
        <f>_xlfn.XLOOKUP(Table1[[#This Row],[category]],Table6[category],Table6[id_category])</f>
        <v>KTG0205</v>
      </c>
      <c r="N740" t="s">
        <v>1233</v>
      </c>
      <c r="O740">
        <v>2</v>
      </c>
      <c r="P740">
        <v>25000</v>
      </c>
      <c r="Q740">
        <v>0</v>
      </c>
      <c r="R740">
        <v>4.0999999999999996</v>
      </c>
      <c r="S740" t="str">
        <f>_xlfn.XLOOKUP(Table1[[#This Row],[method]],Table7[method],Table7[id_method])</f>
        <v>PAY0711</v>
      </c>
      <c r="T740" t="s">
        <v>1238</v>
      </c>
      <c r="U740">
        <v>50000</v>
      </c>
    </row>
    <row r="741" spans="1:21" x14ac:dyDescent="0.25">
      <c r="A741" t="s">
        <v>753</v>
      </c>
      <c r="B741" t="str">
        <f>_xlfn.XLOOKUP(Table1[[#This Row],[date]],Table8[date],Table8[id_date])</f>
        <v>TGL0899</v>
      </c>
      <c r="C741" s="1">
        <v>45817</v>
      </c>
      <c r="D741" s="1" t="str">
        <f>_xlfn.XLOOKUP(Table1[[#This Row],[customer_name]],Table11[customer_name],Table11[id_cust])</f>
        <v>CNA0646</v>
      </c>
      <c r="E741" t="s">
        <v>1195</v>
      </c>
      <c r="F741">
        <v>27</v>
      </c>
      <c r="G741" t="str">
        <f>_xlfn.XLOOKUP(Table1[[#This Row],[branch_name]],Table3[branch_name],Table3[id_branch])</f>
        <v>BRCH003</v>
      </c>
      <c r="H741" t="s">
        <v>1215</v>
      </c>
      <c r="I741" t="str">
        <f>_xlfn.XLOOKUP(Table1[[#This Row],[city]],Table4[city],Table4[id_city])</f>
        <v>KOA0104</v>
      </c>
      <c r="J741" t="s">
        <v>1220</v>
      </c>
      <c r="K741" t="str">
        <f>_xlfn.XLOOKUP(Table1[[#This Row],[menu_name]],Table5[menu_name],Table5[id_menu])</f>
        <v>MENU007</v>
      </c>
      <c r="L741" t="s">
        <v>1229</v>
      </c>
      <c r="M741" t="str">
        <f>_xlfn.XLOOKUP(Table1[[#This Row],[category]],Table6[category],Table6[id_category])</f>
        <v>KTG0207</v>
      </c>
      <c r="N741" t="s">
        <v>1235</v>
      </c>
      <c r="O741">
        <v>4</v>
      </c>
      <c r="P741">
        <v>27000</v>
      </c>
      <c r="Q741">
        <v>0</v>
      </c>
      <c r="R741">
        <v>4.4000000000000004</v>
      </c>
      <c r="S741" t="str">
        <f>_xlfn.XLOOKUP(Table1[[#This Row],[method]],Table7[method],Table7[id_method])</f>
        <v>PAY0712</v>
      </c>
      <c r="T741" t="s">
        <v>1239</v>
      </c>
      <c r="U741">
        <v>108000</v>
      </c>
    </row>
    <row r="742" spans="1:21" x14ac:dyDescent="0.25">
      <c r="A742" t="s">
        <v>754</v>
      </c>
      <c r="B742" t="str">
        <f>_xlfn.XLOOKUP(Table1[[#This Row],[date]],Table8[date],Table8[id_date])</f>
        <v>TGL0899</v>
      </c>
      <c r="C742" s="1">
        <v>45817</v>
      </c>
      <c r="D742" s="1" t="str">
        <f>_xlfn.XLOOKUP(Table1[[#This Row],[customer_name]],Table11[customer_name],Table11[id_cust])</f>
        <v>CNA0494</v>
      </c>
      <c r="E742" t="s">
        <v>1183</v>
      </c>
      <c r="F742">
        <v>40</v>
      </c>
      <c r="G742" t="str">
        <f>_xlfn.XLOOKUP(Table1[[#This Row],[branch_name]],Table3[branch_name],Table3[id_branch])</f>
        <v>BRCH001</v>
      </c>
      <c r="H742" t="s">
        <v>1213</v>
      </c>
      <c r="I742" t="str">
        <f>_xlfn.XLOOKUP(Table1[[#This Row],[city]],Table4[city],Table4[id_city])</f>
        <v>KOA0102</v>
      </c>
      <c r="J742" t="s">
        <v>1218</v>
      </c>
      <c r="K742" t="str">
        <f>_xlfn.XLOOKUP(Table1[[#This Row],[menu_name]],Table5[menu_name],Table5[id_menu])</f>
        <v>MENU005</v>
      </c>
      <c r="L742" t="s">
        <v>1227</v>
      </c>
      <c r="M742" t="str">
        <f>_xlfn.XLOOKUP(Table1[[#This Row],[category]],Table6[category],Table6[id_category])</f>
        <v>KTG0206</v>
      </c>
      <c r="N742" t="s">
        <v>1234</v>
      </c>
      <c r="O742">
        <v>2</v>
      </c>
      <c r="P742">
        <v>23000</v>
      </c>
      <c r="Q742">
        <v>0</v>
      </c>
      <c r="R742">
        <v>3.6</v>
      </c>
      <c r="S742" t="str">
        <f>_xlfn.XLOOKUP(Table1[[#This Row],[method]],Table7[method],Table7[id_method])</f>
        <v>PAY0712</v>
      </c>
      <c r="T742" t="s">
        <v>1239</v>
      </c>
      <c r="U742">
        <v>46000</v>
      </c>
    </row>
    <row r="743" spans="1:21" x14ac:dyDescent="0.25">
      <c r="A743" t="s">
        <v>755</v>
      </c>
      <c r="B743" t="str">
        <f>_xlfn.XLOOKUP(Table1[[#This Row],[date]],Table8[date],Table8[id_date])</f>
        <v>TGL0900</v>
      </c>
      <c r="C743" s="1">
        <v>45820</v>
      </c>
      <c r="D743" s="1" t="str">
        <f>_xlfn.XLOOKUP(Table1[[#This Row],[customer_name]],Table11[customer_name],Table11[id_cust])</f>
        <v>CNA0145</v>
      </c>
      <c r="E743" t="s">
        <v>1054</v>
      </c>
      <c r="F743">
        <v>19</v>
      </c>
      <c r="G743" t="str">
        <f>_xlfn.XLOOKUP(Table1[[#This Row],[branch_name]],Table3[branch_name],Table3[id_branch])</f>
        <v>BRCH003</v>
      </c>
      <c r="H743" t="s">
        <v>1215</v>
      </c>
      <c r="I743" t="str">
        <f>_xlfn.XLOOKUP(Table1[[#This Row],[city]],Table4[city],Table4[id_city])</f>
        <v>KOA0104</v>
      </c>
      <c r="J743" t="s">
        <v>1220</v>
      </c>
      <c r="K743" t="str">
        <f>_xlfn.XLOOKUP(Table1[[#This Row],[menu_name]],Table5[menu_name],Table5[id_menu])</f>
        <v>MENU010</v>
      </c>
      <c r="L743" t="s">
        <v>1232</v>
      </c>
      <c r="M743" t="str">
        <f>_xlfn.XLOOKUP(Table1[[#This Row],[category]],Table6[category],Table6[id_category])</f>
        <v>KTG0205</v>
      </c>
      <c r="N743" t="s">
        <v>1233</v>
      </c>
      <c r="O743">
        <v>2</v>
      </c>
      <c r="P743">
        <v>18000</v>
      </c>
      <c r="Q743">
        <v>0</v>
      </c>
      <c r="R743">
        <v>4</v>
      </c>
      <c r="S743" t="str">
        <f>_xlfn.XLOOKUP(Table1[[#This Row],[method]],Table7[method],Table7[id_method])</f>
        <v>PAY0710</v>
      </c>
      <c r="T743" t="s">
        <v>1237</v>
      </c>
      <c r="U743">
        <v>36000</v>
      </c>
    </row>
    <row r="744" spans="1:21" x14ac:dyDescent="0.25">
      <c r="A744" t="s">
        <v>756</v>
      </c>
      <c r="B744" t="str">
        <f>_xlfn.XLOOKUP(Table1[[#This Row],[date]],Table8[date],Table8[id_date])</f>
        <v>TGL0901</v>
      </c>
      <c r="C744" s="1">
        <v>45822</v>
      </c>
      <c r="D744" s="1" t="str">
        <f>_xlfn.XLOOKUP(Table1[[#This Row],[customer_name]],Table11[customer_name],Table11[id_cust])</f>
        <v>CNA0151</v>
      </c>
      <c r="E744" t="s">
        <v>1060</v>
      </c>
      <c r="F744">
        <v>20</v>
      </c>
      <c r="G744" t="str">
        <f>_xlfn.XLOOKUP(Table1[[#This Row],[branch_name]],Table3[branch_name],Table3[id_branch])</f>
        <v>BRCH005</v>
      </c>
      <c r="H744" t="s">
        <v>1217</v>
      </c>
      <c r="I744" t="str">
        <f>_xlfn.XLOOKUP(Table1[[#This Row],[city]],Table4[city],Table4[id_city])</f>
        <v>KOA0106</v>
      </c>
      <c r="J744" t="s">
        <v>1222</v>
      </c>
      <c r="K744" t="str">
        <f>_xlfn.XLOOKUP(Table1[[#This Row],[menu_name]],Table5[menu_name],Table5[id_menu])</f>
        <v>MENU005</v>
      </c>
      <c r="L744" t="s">
        <v>1227</v>
      </c>
      <c r="M744" t="str">
        <f>_xlfn.XLOOKUP(Table1[[#This Row],[category]],Table6[category],Table6[id_category])</f>
        <v>KTG0206</v>
      </c>
      <c r="N744" t="s">
        <v>1234</v>
      </c>
      <c r="O744">
        <v>2</v>
      </c>
      <c r="P744">
        <v>23000</v>
      </c>
      <c r="Q744">
        <v>5</v>
      </c>
      <c r="R744">
        <v>4.5</v>
      </c>
      <c r="S744" t="str">
        <f>_xlfn.XLOOKUP(Table1[[#This Row],[method]],Table7[method],Table7[id_method])</f>
        <v>PAY0710</v>
      </c>
      <c r="T744" t="s">
        <v>1237</v>
      </c>
      <c r="U744">
        <v>43700</v>
      </c>
    </row>
    <row r="745" spans="1:21" x14ac:dyDescent="0.25">
      <c r="A745" t="s">
        <v>757</v>
      </c>
      <c r="B745" t="str">
        <f>_xlfn.XLOOKUP(Table1[[#This Row],[date]],Table8[date],Table8[id_date])</f>
        <v>TGL0902</v>
      </c>
      <c r="C745" s="1">
        <v>45823</v>
      </c>
      <c r="D745" s="1" t="str">
        <f>_xlfn.XLOOKUP(Table1[[#This Row],[customer_name]],Table11[customer_name],Table11[id_cust])</f>
        <v>CNA0319</v>
      </c>
      <c r="E745" t="s">
        <v>1158</v>
      </c>
      <c r="F745">
        <v>31</v>
      </c>
      <c r="G745" t="str">
        <f>_xlfn.XLOOKUP(Table1[[#This Row],[branch_name]],Table3[branch_name],Table3[id_branch])</f>
        <v>BRCH003</v>
      </c>
      <c r="H745" t="s">
        <v>1215</v>
      </c>
      <c r="I745" t="str">
        <f>_xlfn.XLOOKUP(Table1[[#This Row],[city]],Table4[city],Table4[id_city])</f>
        <v>KOA0104</v>
      </c>
      <c r="J745" t="s">
        <v>1220</v>
      </c>
      <c r="K745" t="str">
        <f>_xlfn.XLOOKUP(Table1[[#This Row],[menu_name]],Table5[menu_name],Table5[id_menu])</f>
        <v>MENU004</v>
      </c>
      <c r="L745" t="s">
        <v>1226</v>
      </c>
      <c r="M745" t="str">
        <f>_xlfn.XLOOKUP(Table1[[#This Row],[category]],Table6[category],Table6[id_category])</f>
        <v>KTG0207</v>
      </c>
      <c r="N745" t="s">
        <v>1235</v>
      </c>
      <c r="O745">
        <v>4</v>
      </c>
      <c r="P745">
        <v>28000</v>
      </c>
      <c r="Q745">
        <v>10</v>
      </c>
      <c r="R745">
        <v>3.8</v>
      </c>
      <c r="S745" t="str">
        <f>_xlfn.XLOOKUP(Table1[[#This Row],[method]],Table7[method],Table7[id_method])</f>
        <v>PAY0711</v>
      </c>
      <c r="T745" t="s">
        <v>1238</v>
      </c>
      <c r="U745">
        <v>100800</v>
      </c>
    </row>
    <row r="746" spans="1:21" x14ac:dyDescent="0.25">
      <c r="A746" t="s">
        <v>758</v>
      </c>
      <c r="B746" t="str">
        <f>_xlfn.XLOOKUP(Table1[[#This Row],[date]],Table8[date],Table8[id_date])</f>
        <v>TGL0902</v>
      </c>
      <c r="C746" s="1">
        <v>45823</v>
      </c>
      <c r="D746" s="1" t="str">
        <f>_xlfn.XLOOKUP(Table1[[#This Row],[customer_name]],Table11[customer_name],Table11[id_cust])</f>
        <v>CNA0344</v>
      </c>
      <c r="E746" t="s">
        <v>1163</v>
      </c>
      <c r="F746">
        <v>43</v>
      </c>
      <c r="G746" t="str">
        <f>_xlfn.XLOOKUP(Table1[[#This Row],[branch_name]],Table3[branch_name],Table3[id_branch])</f>
        <v>BRCH005</v>
      </c>
      <c r="H746" t="s">
        <v>1217</v>
      </c>
      <c r="I746" t="str">
        <f>_xlfn.XLOOKUP(Table1[[#This Row],[city]],Table4[city],Table4[id_city])</f>
        <v>KOA0106</v>
      </c>
      <c r="J746" t="s">
        <v>1222</v>
      </c>
      <c r="K746" t="str">
        <f>_xlfn.XLOOKUP(Table1[[#This Row],[menu_name]],Table5[menu_name],Table5[id_menu])</f>
        <v>MENU009</v>
      </c>
      <c r="L746" t="s">
        <v>1231</v>
      </c>
      <c r="M746" t="str">
        <f>_xlfn.XLOOKUP(Table1[[#This Row],[category]],Table6[category],Table6[id_category])</f>
        <v>KTG0206</v>
      </c>
      <c r="N746" t="s">
        <v>1234</v>
      </c>
      <c r="O746">
        <v>4</v>
      </c>
      <c r="P746">
        <v>18000</v>
      </c>
      <c r="Q746">
        <v>10</v>
      </c>
      <c r="R746">
        <v>3.3</v>
      </c>
      <c r="S746" t="str">
        <f>_xlfn.XLOOKUP(Table1[[#This Row],[method]],Table7[method],Table7[id_method])</f>
        <v>PAY0711</v>
      </c>
      <c r="T746" t="s">
        <v>1238</v>
      </c>
      <c r="U746">
        <v>64800</v>
      </c>
    </row>
    <row r="747" spans="1:21" x14ac:dyDescent="0.25">
      <c r="A747" t="s">
        <v>759</v>
      </c>
      <c r="B747" t="str">
        <f>_xlfn.XLOOKUP(Table1[[#This Row],[date]],Table8[date],Table8[id_date])</f>
        <v>TGL0903</v>
      </c>
      <c r="C747" s="1">
        <v>45825</v>
      </c>
      <c r="D747" s="1" t="str">
        <f>_xlfn.XLOOKUP(Table1[[#This Row],[customer_name]],Table11[customer_name],Table11[id_cust])</f>
        <v>CNA0348</v>
      </c>
      <c r="E747" t="s">
        <v>1164</v>
      </c>
      <c r="F747">
        <v>42</v>
      </c>
      <c r="G747" t="str">
        <f>_xlfn.XLOOKUP(Table1[[#This Row],[branch_name]],Table3[branch_name],Table3[id_branch])</f>
        <v>BRCH004</v>
      </c>
      <c r="H747" t="s">
        <v>1216</v>
      </c>
      <c r="I747" t="str">
        <f>_xlfn.XLOOKUP(Table1[[#This Row],[city]],Table4[city],Table4[id_city])</f>
        <v>KOA0105</v>
      </c>
      <c r="J747" t="s">
        <v>1221</v>
      </c>
      <c r="K747" t="str">
        <f>_xlfn.XLOOKUP(Table1[[#This Row],[menu_name]],Table5[menu_name],Table5[id_menu])</f>
        <v>MENU010</v>
      </c>
      <c r="L747" t="s">
        <v>1232</v>
      </c>
      <c r="M747" t="str">
        <f>_xlfn.XLOOKUP(Table1[[#This Row],[category]],Table6[category],Table6[id_category])</f>
        <v>KTG0205</v>
      </c>
      <c r="N747" t="s">
        <v>1233</v>
      </c>
      <c r="O747">
        <v>3</v>
      </c>
      <c r="P747">
        <v>18000</v>
      </c>
      <c r="Q747">
        <v>0</v>
      </c>
      <c r="R747">
        <v>4.9000000000000004</v>
      </c>
      <c r="S747" t="str">
        <f>_xlfn.XLOOKUP(Table1[[#This Row],[method]],Table7[method],Table7[id_method])</f>
        <v>PAY0709</v>
      </c>
      <c r="T747" t="s">
        <v>1236</v>
      </c>
      <c r="U747">
        <v>54000</v>
      </c>
    </row>
    <row r="748" spans="1:21" x14ac:dyDescent="0.25">
      <c r="A748" t="s">
        <v>760</v>
      </c>
      <c r="B748" t="str">
        <f>_xlfn.XLOOKUP(Table1[[#This Row],[date]],Table8[date],Table8[id_date])</f>
        <v>TGL0904</v>
      </c>
      <c r="C748" s="1">
        <v>45828</v>
      </c>
      <c r="D748" s="1" t="str">
        <f>_xlfn.XLOOKUP(Table1[[#This Row],[customer_name]],Table11[customer_name],Table11[id_cust])</f>
        <v>CNA0847</v>
      </c>
      <c r="E748" t="s">
        <v>1206</v>
      </c>
      <c r="F748">
        <v>51</v>
      </c>
      <c r="G748" t="str">
        <f>_xlfn.XLOOKUP(Table1[[#This Row],[branch_name]],Table3[branch_name],Table3[id_branch])</f>
        <v>BRCH004</v>
      </c>
      <c r="H748" t="s">
        <v>1216</v>
      </c>
      <c r="I748" t="str">
        <f>_xlfn.XLOOKUP(Table1[[#This Row],[city]],Table4[city],Table4[id_city])</f>
        <v>KOA0105</v>
      </c>
      <c r="J748" t="s">
        <v>1221</v>
      </c>
      <c r="K748" t="str">
        <f>_xlfn.XLOOKUP(Table1[[#This Row],[menu_name]],Table5[menu_name],Table5[id_menu])</f>
        <v>MENU008</v>
      </c>
      <c r="L748" t="s">
        <v>1230</v>
      </c>
      <c r="M748" t="str">
        <f>_xlfn.XLOOKUP(Table1[[#This Row],[category]],Table6[category],Table6[id_category])</f>
        <v>KTG0205</v>
      </c>
      <c r="N748" t="s">
        <v>1233</v>
      </c>
      <c r="O748">
        <v>4</v>
      </c>
      <c r="P748">
        <v>20000</v>
      </c>
      <c r="Q748">
        <v>0</v>
      </c>
      <c r="R748">
        <v>4.9000000000000004</v>
      </c>
      <c r="S748" t="str">
        <f>_xlfn.XLOOKUP(Table1[[#This Row],[method]],Table7[method],Table7[id_method])</f>
        <v>PAY0711</v>
      </c>
      <c r="T748" t="s">
        <v>1238</v>
      </c>
      <c r="U748">
        <v>80000</v>
      </c>
    </row>
    <row r="749" spans="1:21" x14ac:dyDescent="0.25">
      <c r="A749" t="s">
        <v>761</v>
      </c>
      <c r="B749" t="str">
        <f>_xlfn.XLOOKUP(Table1[[#This Row],[date]],Table8[date],Table8[id_date])</f>
        <v>TGL0904</v>
      </c>
      <c r="C749" s="1">
        <v>45828</v>
      </c>
      <c r="D749" s="1" t="str">
        <f>_xlfn.XLOOKUP(Table1[[#This Row],[customer_name]],Table11[customer_name],Table11[id_cust])</f>
        <v>CNA0103</v>
      </c>
      <c r="E749" t="s">
        <v>1016</v>
      </c>
      <c r="F749">
        <v>44</v>
      </c>
      <c r="G749" t="str">
        <f>_xlfn.XLOOKUP(Table1[[#This Row],[branch_name]],Table3[branch_name],Table3[id_branch])</f>
        <v>BRCH001</v>
      </c>
      <c r="H749" t="s">
        <v>1213</v>
      </c>
      <c r="I749" t="str">
        <f>_xlfn.XLOOKUP(Table1[[#This Row],[city]],Table4[city],Table4[id_city])</f>
        <v>KOA0102</v>
      </c>
      <c r="J749" t="s">
        <v>1218</v>
      </c>
      <c r="K749" t="str">
        <f>_xlfn.XLOOKUP(Table1[[#This Row],[menu_name]],Table5[menu_name],Table5[id_menu])</f>
        <v>MENU009</v>
      </c>
      <c r="L749" t="s">
        <v>1231</v>
      </c>
      <c r="M749" t="str">
        <f>_xlfn.XLOOKUP(Table1[[#This Row],[category]],Table6[category],Table6[id_category])</f>
        <v>KTG0206</v>
      </c>
      <c r="N749" t="s">
        <v>1234</v>
      </c>
      <c r="O749">
        <v>2</v>
      </c>
      <c r="P749">
        <v>18000</v>
      </c>
      <c r="Q749">
        <v>15</v>
      </c>
      <c r="R749">
        <v>2.8</v>
      </c>
      <c r="S749" t="str">
        <f>_xlfn.XLOOKUP(Table1[[#This Row],[method]],Table7[method],Table7[id_method])</f>
        <v>PAY0709</v>
      </c>
      <c r="T749" t="s">
        <v>1236</v>
      </c>
      <c r="U749">
        <v>30600</v>
      </c>
    </row>
    <row r="750" spans="1:21" x14ac:dyDescent="0.25">
      <c r="A750" t="s">
        <v>762</v>
      </c>
      <c r="B750" t="str">
        <f>_xlfn.XLOOKUP(Table1[[#This Row],[date]],Table8[date],Table8[id_date])</f>
        <v>TGL0905</v>
      </c>
      <c r="C750" s="1">
        <v>45829</v>
      </c>
      <c r="D750" s="1" t="str">
        <f>_xlfn.XLOOKUP(Table1[[#This Row],[customer_name]],Table11[customer_name],Table11[id_cust])</f>
        <v>CNA0420</v>
      </c>
      <c r="E750" t="s">
        <v>1177</v>
      </c>
      <c r="F750">
        <v>44</v>
      </c>
      <c r="G750" t="str">
        <f>_xlfn.XLOOKUP(Table1[[#This Row],[branch_name]],Table3[branch_name],Table3[id_branch])</f>
        <v>BRCH002</v>
      </c>
      <c r="H750" t="s">
        <v>1214</v>
      </c>
      <c r="I750" t="str">
        <f>_xlfn.XLOOKUP(Table1[[#This Row],[city]],Table4[city],Table4[id_city])</f>
        <v>KOA0103</v>
      </c>
      <c r="J750" t="s">
        <v>1219</v>
      </c>
      <c r="K750" t="str">
        <f>_xlfn.XLOOKUP(Table1[[#This Row],[menu_name]],Table5[menu_name],Table5[id_menu])</f>
        <v>MENU008</v>
      </c>
      <c r="L750" t="s">
        <v>1230</v>
      </c>
      <c r="M750" t="str">
        <f>_xlfn.XLOOKUP(Table1[[#This Row],[category]],Table6[category],Table6[id_category])</f>
        <v>KTG0205</v>
      </c>
      <c r="N750" t="s">
        <v>1233</v>
      </c>
      <c r="O750">
        <v>3</v>
      </c>
      <c r="P750">
        <v>20000</v>
      </c>
      <c r="Q750">
        <v>15</v>
      </c>
      <c r="R750">
        <v>4.4000000000000004</v>
      </c>
      <c r="S750" t="str">
        <f>_xlfn.XLOOKUP(Table1[[#This Row],[method]],Table7[method],Table7[id_method])</f>
        <v>PAY0712</v>
      </c>
      <c r="T750" t="s">
        <v>1239</v>
      </c>
      <c r="U750">
        <v>51000</v>
      </c>
    </row>
    <row r="751" spans="1:21" x14ac:dyDescent="0.25">
      <c r="A751" t="s">
        <v>763</v>
      </c>
      <c r="B751" t="str">
        <f>_xlfn.XLOOKUP(Table1[[#This Row],[date]],Table8[date],Table8[id_date])</f>
        <v>TGL0906</v>
      </c>
      <c r="C751" s="1">
        <v>45831</v>
      </c>
      <c r="D751" s="1" t="str">
        <f>_xlfn.XLOOKUP(Table1[[#This Row],[customer_name]],Table11[customer_name],Table11[id_cust])</f>
        <v>CNA0173</v>
      </c>
      <c r="E751" t="s">
        <v>1078</v>
      </c>
      <c r="F751">
        <v>35</v>
      </c>
      <c r="G751" t="str">
        <f>_xlfn.XLOOKUP(Table1[[#This Row],[branch_name]],Table3[branch_name],Table3[id_branch])</f>
        <v>BRCH002</v>
      </c>
      <c r="H751" t="s">
        <v>1214</v>
      </c>
      <c r="I751" t="str">
        <f>_xlfn.XLOOKUP(Table1[[#This Row],[city]],Table4[city],Table4[id_city])</f>
        <v>KOA0103</v>
      </c>
      <c r="J751" t="s">
        <v>1219</v>
      </c>
      <c r="K751" t="str">
        <f>_xlfn.XLOOKUP(Table1[[#This Row],[menu_name]],Table5[menu_name],Table5[id_menu])</f>
        <v>MENU002</v>
      </c>
      <c r="L751" t="s">
        <v>1224</v>
      </c>
      <c r="M751" t="str">
        <f>_xlfn.XLOOKUP(Table1[[#This Row],[category]],Table6[category],Table6[id_category])</f>
        <v>KTG0206</v>
      </c>
      <c r="N751" t="s">
        <v>1234</v>
      </c>
      <c r="O751">
        <v>2</v>
      </c>
      <c r="P751">
        <v>30000</v>
      </c>
      <c r="Q751">
        <v>0</v>
      </c>
      <c r="R751">
        <v>4.8</v>
      </c>
      <c r="S751" t="str">
        <f>_xlfn.XLOOKUP(Table1[[#This Row],[method]],Table7[method],Table7[id_method])</f>
        <v>PAY0711</v>
      </c>
      <c r="T751" t="s">
        <v>1238</v>
      </c>
      <c r="U751">
        <v>60000</v>
      </c>
    </row>
    <row r="752" spans="1:21" x14ac:dyDescent="0.25">
      <c r="A752" t="s">
        <v>764</v>
      </c>
      <c r="B752" t="str">
        <f>_xlfn.XLOOKUP(Table1[[#This Row],[date]],Table8[date],Table8[id_date])</f>
        <v>TGL0907</v>
      </c>
      <c r="C752" s="1">
        <v>45833</v>
      </c>
      <c r="D752" s="1" t="str">
        <f>_xlfn.XLOOKUP(Table1[[#This Row],[customer_name]],Table11[customer_name],Table11[id_cust])</f>
        <v>CNA0183</v>
      </c>
      <c r="E752" t="s">
        <v>1085</v>
      </c>
      <c r="F752">
        <v>54</v>
      </c>
      <c r="G752" t="str">
        <f>_xlfn.XLOOKUP(Table1[[#This Row],[branch_name]],Table3[branch_name],Table3[id_branch])</f>
        <v>BRCH001</v>
      </c>
      <c r="H752" t="s">
        <v>1213</v>
      </c>
      <c r="I752" t="str">
        <f>_xlfn.XLOOKUP(Table1[[#This Row],[city]],Table4[city],Table4[id_city])</f>
        <v>KOA0102</v>
      </c>
      <c r="J752" t="s">
        <v>1218</v>
      </c>
      <c r="K752" t="str">
        <f>_xlfn.XLOOKUP(Table1[[#This Row],[menu_name]],Table5[menu_name],Table5[id_menu])</f>
        <v>MENU007</v>
      </c>
      <c r="L752" t="s">
        <v>1229</v>
      </c>
      <c r="M752" t="str">
        <f>_xlfn.XLOOKUP(Table1[[#This Row],[category]],Table6[category],Table6[id_category])</f>
        <v>KTG0207</v>
      </c>
      <c r="N752" t="s">
        <v>1235</v>
      </c>
      <c r="O752">
        <v>1</v>
      </c>
      <c r="P752">
        <v>27000</v>
      </c>
      <c r="Q752">
        <v>0</v>
      </c>
      <c r="R752">
        <v>3.5</v>
      </c>
      <c r="S752" t="str">
        <f>_xlfn.XLOOKUP(Table1[[#This Row],[method]],Table7[method],Table7[id_method])</f>
        <v>PAY0712</v>
      </c>
      <c r="T752" t="s">
        <v>1239</v>
      </c>
      <c r="U752">
        <v>27000</v>
      </c>
    </row>
    <row r="753" spans="1:21" x14ac:dyDescent="0.25">
      <c r="A753" t="s">
        <v>765</v>
      </c>
      <c r="B753" t="str">
        <f>_xlfn.XLOOKUP(Table1[[#This Row],[date]],Table8[date],Table8[id_date])</f>
        <v>TGL0908</v>
      </c>
      <c r="C753" s="1">
        <v>45834</v>
      </c>
      <c r="D753" s="1" t="str">
        <f>_xlfn.XLOOKUP(Table1[[#This Row],[customer_name]],Table11[customer_name],Table11[id_cust])</f>
        <v>CNA0133</v>
      </c>
      <c r="E753" t="s">
        <v>1045</v>
      </c>
      <c r="F753">
        <v>42</v>
      </c>
      <c r="G753" t="str">
        <f>_xlfn.XLOOKUP(Table1[[#This Row],[branch_name]],Table3[branch_name],Table3[id_branch])</f>
        <v>BRCH001</v>
      </c>
      <c r="H753" t="s">
        <v>1213</v>
      </c>
      <c r="I753" t="str">
        <f>_xlfn.XLOOKUP(Table1[[#This Row],[city]],Table4[city],Table4[id_city])</f>
        <v>KOA0102</v>
      </c>
      <c r="J753" t="s">
        <v>1218</v>
      </c>
      <c r="K753" t="str">
        <f>_xlfn.XLOOKUP(Table1[[#This Row],[menu_name]],Table5[menu_name],Table5[id_menu])</f>
        <v>MENU004</v>
      </c>
      <c r="L753" t="s">
        <v>1226</v>
      </c>
      <c r="M753" t="str">
        <f>_xlfn.XLOOKUP(Table1[[#This Row],[category]],Table6[category],Table6[id_category])</f>
        <v>KTG0207</v>
      </c>
      <c r="N753" t="s">
        <v>1235</v>
      </c>
      <c r="O753">
        <v>4</v>
      </c>
      <c r="P753">
        <v>28000</v>
      </c>
      <c r="Q753">
        <v>15</v>
      </c>
      <c r="R753">
        <v>3.4</v>
      </c>
      <c r="S753" t="str">
        <f>_xlfn.XLOOKUP(Table1[[#This Row],[method]],Table7[method],Table7[id_method])</f>
        <v>PAY0711</v>
      </c>
      <c r="T753" t="s">
        <v>1238</v>
      </c>
      <c r="U753">
        <v>95200</v>
      </c>
    </row>
    <row r="754" spans="1:21" x14ac:dyDescent="0.25">
      <c r="A754" t="s">
        <v>766</v>
      </c>
      <c r="B754" t="str">
        <f>_xlfn.XLOOKUP(Table1[[#This Row],[date]],Table8[date],Table8[id_date])</f>
        <v>TGL0909</v>
      </c>
      <c r="C754" s="1">
        <v>45836</v>
      </c>
      <c r="D754" s="1" t="str">
        <f>_xlfn.XLOOKUP(Table1[[#This Row],[customer_name]],Table11[customer_name],Table11[id_cust])</f>
        <v>CNA0853</v>
      </c>
      <c r="E754" t="s">
        <v>1207</v>
      </c>
      <c r="F754">
        <v>32</v>
      </c>
      <c r="G754" t="str">
        <f>_xlfn.XLOOKUP(Table1[[#This Row],[branch_name]],Table3[branch_name],Table3[id_branch])</f>
        <v>BRCH003</v>
      </c>
      <c r="H754" t="s">
        <v>1215</v>
      </c>
      <c r="I754" t="str">
        <f>_xlfn.XLOOKUP(Table1[[#This Row],[city]],Table4[city],Table4[id_city])</f>
        <v>KOA0104</v>
      </c>
      <c r="J754" t="s">
        <v>1220</v>
      </c>
      <c r="K754" t="str">
        <f>_xlfn.XLOOKUP(Table1[[#This Row],[menu_name]],Table5[menu_name],Table5[id_menu])</f>
        <v>MENU010</v>
      </c>
      <c r="L754" t="s">
        <v>1232</v>
      </c>
      <c r="M754" t="str">
        <f>_xlfn.XLOOKUP(Table1[[#This Row],[category]],Table6[category],Table6[id_category])</f>
        <v>KTG0205</v>
      </c>
      <c r="N754" t="s">
        <v>1233</v>
      </c>
      <c r="O754">
        <v>5</v>
      </c>
      <c r="P754">
        <v>18000</v>
      </c>
      <c r="Q754">
        <v>20</v>
      </c>
      <c r="R754">
        <v>2</v>
      </c>
      <c r="S754" t="str">
        <f>_xlfn.XLOOKUP(Table1[[#This Row],[method]],Table7[method],Table7[id_method])</f>
        <v>PAY0712</v>
      </c>
      <c r="T754" t="s">
        <v>1239</v>
      </c>
      <c r="U754">
        <v>72000</v>
      </c>
    </row>
    <row r="755" spans="1:21" x14ac:dyDescent="0.25">
      <c r="A755" t="s">
        <v>767</v>
      </c>
      <c r="B755" t="str">
        <f>_xlfn.XLOOKUP(Table1[[#This Row],[date]],Table8[date],Table8[id_date])</f>
        <v>TGL0910</v>
      </c>
      <c r="C755" s="1">
        <v>45837</v>
      </c>
      <c r="D755" s="1" t="str">
        <f>_xlfn.XLOOKUP(Table1[[#This Row],[customer_name]],Table11[customer_name],Table11[id_cust])</f>
        <v>CNA0205</v>
      </c>
      <c r="E755" t="s">
        <v>1100</v>
      </c>
      <c r="F755">
        <v>17</v>
      </c>
      <c r="G755" t="str">
        <f>_xlfn.XLOOKUP(Table1[[#This Row],[branch_name]],Table3[branch_name],Table3[id_branch])</f>
        <v>BRCH004</v>
      </c>
      <c r="H755" t="s">
        <v>1216</v>
      </c>
      <c r="I755" t="str">
        <f>_xlfn.XLOOKUP(Table1[[#This Row],[city]],Table4[city],Table4[id_city])</f>
        <v>KOA0105</v>
      </c>
      <c r="J755" t="s">
        <v>1221</v>
      </c>
      <c r="K755" t="str">
        <f>_xlfn.XLOOKUP(Table1[[#This Row],[menu_name]],Table5[menu_name],Table5[id_menu])</f>
        <v>MENU001</v>
      </c>
      <c r="L755" t="s">
        <v>1223</v>
      </c>
      <c r="M755" t="str">
        <f>_xlfn.XLOOKUP(Table1[[#This Row],[category]],Table6[category],Table6[id_category])</f>
        <v>KTG0205</v>
      </c>
      <c r="N755" t="s">
        <v>1233</v>
      </c>
      <c r="O755">
        <v>4</v>
      </c>
      <c r="P755">
        <v>25000</v>
      </c>
      <c r="Q755">
        <v>20</v>
      </c>
      <c r="R755">
        <v>4.3</v>
      </c>
      <c r="S755" t="str">
        <f>_xlfn.XLOOKUP(Table1[[#This Row],[method]],Table7[method],Table7[id_method])</f>
        <v>PAY0712</v>
      </c>
      <c r="T755" t="s">
        <v>1239</v>
      </c>
      <c r="U755">
        <v>80000</v>
      </c>
    </row>
    <row r="756" spans="1:21" x14ac:dyDescent="0.25">
      <c r="A756" t="s">
        <v>768</v>
      </c>
      <c r="B756" t="str">
        <f>_xlfn.XLOOKUP(Table1[[#This Row],[date]],Table8[date],Table8[id_date])</f>
        <v>TGL0910</v>
      </c>
      <c r="C756" s="1">
        <v>45837</v>
      </c>
      <c r="D756" s="1" t="str">
        <f>_xlfn.XLOOKUP(Table1[[#This Row],[customer_name]],Table11[customer_name],Table11[id_cust])</f>
        <v>CNA0317</v>
      </c>
      <c r="E756" t="s">
        <v>1156</v>
      </c>
      <c r="F756">
        <v>31</v>
      </c>
      <c r="G756" t="str">
        <f>_xlfn.XLOOKUP(Table1[[#This Row],[branch_name]],Table3[branch_name],Table3[id_branch])</f>
        <v>BRCH001</v>
      </c>
      <c r="H756" t="s">
        <v>1213</v>
      </c>
      <c r="I756" t="str">
        <f>_xlfn.XLOOKUP(Table1[[#This Row],[city]],Table4[city],Table4[id_city])</f>
        <v>KOA0102</v>
      </c>
      <c r="J756" t="s">
        <v>1218</v>
      </c>
      <c r="K756" t="str">
        <f>_xlfn.XLOOKUP(Table1[[#This Row],[menu_name]],Table5[menu_name],Table5[id_menu])</f>
        <v>MENU008</v>
      </c>
      <c r="L756" t="s">
        <v>1230</v>
      </c>
      <c r="M756" t="str">
        <f>_xlfn.XLOOKUP(Table1[[#This Row],[category]],Table6[category],Table6[id_category])</f>
        <v>KTG0205</v>
      </c>
      <c r="N756" t="s">
        <v>1233</v>
      </c>
      <c r="O756">
        <v>2</v>
      </c>
      <c r="P756">
        <v>20000</v>
      </c>
      <c r="Q756">
        <v>0</v>
      </c>
      <c r="R756">
        <v>2.9</v>
      </c>
      <c r="S756" t="str">
        <f>_xlfn.XLOOKUP(Table1[[#This Row],[method]],Table7[method],Table7[id_method])</f>
        <v>PAY0711</v>
      </c>
      <c r="T756" t="s">
        <v>1238</v>
      </c>
      <c r="U756">
        <v>40000</v>
      </c>
    </row>
    <row r="757" spans="1:21" x14ac:dyDescent="0.25">
      <c r="A757" t="s">
        <v>769</v>
      </c>
      <c r="B757" t="str">
        <f>_xlfn.XLOOKUP(Table1[[#This Row],[date]],Table8[date],Table8[id_date])</f>
        <v>TGL0911</v>
      </c>
      <c r="C757" s="1">
        <v>45838</v>
      </c>
      <c r="D757" s="1" t="str">
        <f>_xlfn.XLOOKUP(Table1[[#This Row],[customer_name]],Table11[customer_name],Table11[id_cust])</f>
        <v>CNA0856</v>
      </c>
      <c r="E757" t="s">
        <v>1208</v>
      </c>
      <c r="F757">
        <v>50</v>
      </c>
      <c r="G757" t="str">
        <f>_xlfn.XLOOKUP(Table1[[#This Row],[branch_name]],Table3[branch_name],Table3[id_branch])</f>
        <v>BRCH004</v>
      </c>
      <c r="H757" t="s">
        <v>1216</v>
      </c>
      <c r="I757" t="str">
        <f>_xlfn.XLOOKUP(Table1[[#This Row],[city]],Table4[city],Table4[id_city])</f>
        <v>KOA0105</v>
      </c>
      <c r="J757" t="s">
        <v>1221</v>
      </c>
      <c r="K757" t="str">
        <f>_xlfn.XLOOKUP(Table1[[#This Row],[menu_name]],Table5[menu_name],Table5[id_menu])</f>
        <v>MENU002</v>
      </c>
      <c r="L757" t="s">
        <v>1224</v>
      </c>
      <c r="M757" t="str">
        <f>_xlfn.XLOOKUP(Table1[[#This Row],[category]],Table6[category],Table6[id_category])</f>
        <v>KTG0206</v>
      </c>
      <c r="N757" t="s">
        <v>1234</v>
      </c>
      <c r="O757">
        <v>4</v>
      </c>
      <c r="P757">
        <v>30000</v>
      </c>
      <c r="Q757">
        <v>10</v>
      </c>
      <c r="R757">
        <v>2.6</v>
      </c>
      <c r="S757" t="str">
        <f>_xlfn.XLOOKUP(Table1[[#This Row],[method]],Table7[method],Table7[id_method])</f>
        <v>PAY0709</v>
      </c>
      <c r="T757" t="s">
        <v>1236</v>
      </c>
      <c r="U757">
        <v>108000</v>
      </c>
    </row>
    <row r="758" spans="1:21" x14ac:dyDescent="0.25">
      <c r="A758" t="s">
        <v>770</v>
      </c>
      <c r="B758" t="str">
        <f>_xlfn.XLOOKUP(Table1[[#This Row],[date]],Table8[date],Table8[id_date])</f>
        <v>TGL0911</v>
      </c>
      <c r="C758" s="1">
        <v>45838</v>
      </c>
      <c r="D758" s="1" t="str">
        <f>_xlfn.XLOOKUP(Table1[[#This Row],[customer_name]],Table11[customer_name],Table11[id_cust])</f>
        <v>CNA0184</v>
      </c>
      <c r="E758" t="s">
        <v>1086</v>
      </c>
      <c r="F758">
        <v>24</v>
      </c>
      <c r="G758" t="str">
        <f>_xlfn.XLOOKUP(Table1[[#This Row],[branch_name]],Table3[branch_name],Table3[id_branch])</f>
        <v>BRCH001</v>
      </c>
      <c r="H758" t="s">
        <v>1213</v>
      </c>
      <c r="I758" t="str">
        <f>_xlfn.XLOOKUP(Table1[[#This Row],[city]],Table4[city],Table4[id_city])</f>
        <v>KOA0102</v>
      </c>
      <c r="J758" t="s">
        <v>1218</v>
      </c>
      <c r="K758" t="str">
        <f>_xlfn.XLOOKUP(Table1[[#This Row],[menu_name]],Table5[menu_name],Table5[id_menu])</f>
        <v>MENU008</v>
      </c>
      <c r="L758" t="s">
        <v>1230</v>
      </c>
      <c r="M758" t="str">
        <f>_xlfn.XLOOKUP(Table1[[#This Row],[category]],Table6[category],Table6[id_category])</f>
        <v>KTG0205</v>
      </c>
      <c r="N758" t="s">
        <v>1233</v>
      </c>
      <c r="O758">
        <v>3</v>
      </c>
      <c r="P758">
        <v>20000</v>
      </c>
      <c r="Q758">
        <v>20</v>
      </c>
      <c r="R758">
        <v>4.0999999999999996</v>
      </c>
      <c r="S758" t="str">
        <f>_xlfn.XLOOKUP(Table1[[#This Row],[method]],Table7[method],Table7[id_method])</f>
        <v>PAY0710</v>
      </c>
      <c r="T758" t="s">
        <v>1237</v>
      </c>
      <c r="U758">
        <v>48000</v>
      </c>
    </row>
    <row r="759" spans="1:21" x14ac:dyDescent="0.25">
      <c r="A759" t="s">
        <v>771</v>
      </c>
      <c r="B759" t="str">
        <f>_xlfn.XLOOKUP(Table1[[#This Row],[date]],Table8[date],Table8[id_date])</f>
        <v>TGL0911</v>
      </c>
      <c r="C759" s="1">
        <v>45838</v>
      </c>
      <c r="D759" s="1" t="str">
        <f>_xlfn.XLOOKUP(Table1[[#This Row],[customer_name]],Table11[customer_name],Table11[id_cust])</f>
        <v>CNA0187</v>
      </c>
      <c r="E759" t="s">
        <v>1089</v>
      </c>
      <c r="F759">
        <v>49</v>
      </c>
      <c r="G759" t="str">
        <f>_xlfn.XLOOKUP(Table1[[#This Row],[branch_name]],Table3[branch_name],Table3[id_branch])</f>
        <v>BRCH005</v>
      </c>
      <c r="H759" t="s">
        <v>1217</v>
      </c>
      <c r="I759" t="str">
        <f>_xlfn.XLOOKUP(Table1[[#This Row],[city]],Table4[city],Table4[id_city])</f>
        <v>KOA0106</v>
      </c>
      <c r="J759" t="s">
        <v>1222</v>
      </c>
      <c r="K759" t="str">
        <f>_xlfn.XLOOKUP(Table1[[#This Row],[menu_name]],Table5[menu_name],Table5[id_menu])</f>
        <v>MENU009</v>
      </c>
      <c r="L759" t="s">
        <v>1231</v>
      </c>
      <c r="M759" t="str">
        <f>_xlfn.XLOOKUP(Table1[[#This Row],[category]],Table6[category],Table6[id_category])</f>
        <v>KTG0206</v>
      </c>
      <c r="N759" t="s">
        <v>1234</v>
      </c>
      <c r="O759">
        <v>4</v>
      </c>
      <c r="P759">
        <v>18000</v>
      </c>
      <c r="Q759">
        <v>15</v>
      </c>
      <c r="R759">
        <v>1.9</v>
      </c>
      <c r="S759" t="str">
        <f>_xlfn.XLOOKUP(Table1[[#This Row],[method]],Table7[method],Table7[id_method])</f>
        <v>PAY0709</v>
      </c>
      <c r="T759" t="s">
        <v>1236</v>
      </c>
      <c r="U759">
        <v>61200</v>
      </c>
    </row>
    <row r="760" spans="1:21" x14ac:dyDescent="0.25">
      <c r="A760" t="s">
        <v>772</v>
      </c>
      <c r="B760" t="str">
        <f>_xlfn.XLOOKUP(Table1[[#This Row],[date]],Table8[date],Table8[id_date])</f>
        <v>TGL0912</v>
      </c>
      <c r="C760" s="1">
        <v>45839</v>
      </c>
      <c r="D760" s="1" t="str">
        <f>_xlfn.XLOOKUP(Table1[[#This Row],[customer_name]],Table11[customer_name],Table11[id_cust])</f>
        <v>CNA0205</v>
      </c>
      <c r="E760" t="s">
        <v>1100</v>
      </c>
      <c r="F760">
        <v>17</v>
      </c>
      <c r="G760" t="str">
        <f>_xlfn.XLOOKUP(Table1[[#This Row],[branch_name]],Table3[branch_name],Table3[id_branch])</f>
        <v>BRCH001</v>
      </c>
      <c r="H760" t="s">
        <v>1213</v>
      </c>
      <c r="I760" t="str">
        <f>_xlfn.XLOOKUP(Table1[[#This Row],[city]],Table4[city],Table4[id_city])</f>
        <v>KOA0102</v>
      </c>
      <c r="J760" t="s">
        <v>1218</v>
      </c>
      <c r="K760" t="str">
        <f>_xlfn.XLOOKUP(Table1[[#This Row],[menu_name]],Table5[menu_name],Table5[id_menu])</f>
        <v>MENU001</v>
      </c>
      <c r="L760" t="s">
        <v>1223</v>
      </c>
      <c r="M760" t="str">
        <f>_xlfn.XLOOKUP(Table1[[#This Row],[category]],Table6[category],Table6[id_category])</f>
        <v>KTG0205</v>
      </c>
      <c r="N760" t="s">
        <v>1233</v>
      </c>
      <c r="O760">
        <v>5</v>
      </c>
      <c r="P760">
        <v>25000</v>
      </c>
      <c r="Q760">
        <v>20</v>
      </c>
      <c r="R760">
        <v>1.1000000000000001</v>
      </c>
      <c r="S760" t="str">
        <f>_xlfn.XLOOKUP(Table1[[#This Row],[method]],Table7[method],Table7[id_method])</f>
        <v>PAY0711</v>
      </c>
      <c r="T760" t="s">
        <v>1238</v>
      </c>
      <c r="U760">
        <v>100000</v>
      </c>
    </row>
    <row r="761" spans="1:21" x14ac:dyDescent="0.25">
      <c r="A761" t="s">
        <v>773</v>
      </c>
      <c r="B761" t="str">
        <f>_xlfn.XLOOKUP(Table1[[#This Row],[date]],Table8[date],Table8[id_date])</f>
        <v>TGL0912</v>
      </c>
      <c r="C761" s="1">
        <v>45839</v>
      </c>
      <c r="D761" s="1" t="str">
        <f>_xlfn.XLOOKUP(Table1[[#This Row],[customer_name]],Table11[customer_name],Table11[id_cust])</f>
        <v>CNA0390</v>
      </c>
      <c r="E761" t="s">
        <v>1170</v>
      </c>
      <c r="F761">
        <v>32</v>
      </c>
      <c r="G761" t="str">
        <f>_xlfn.XLOOKUP(Table1[[#This Row],[branch_name]],Table3[branch_name],Table3[id_branch])</f>
        <v>BRCH005</v>
      </c>
      <c r="H761" t="s">
        <v>1217</v>
      </c>
      <c r="I761" t="str">
        <f>_xlfn.XLOOKUP(Table1[[#This Row],[city]],Table4[city],Table4[id_city])</f>
        <v>KOA0106</v>
      </c>
      <c r="J761" t="s">
        <v>1222</v>
      </c>
      <c r="K761" t="str">
        <f>_xlfn.XLOOKUP(Table1[[#This Row],[menu_name]],Table5[menu_name],Table5[id_menu])</f>
        <v>MENU008</v>
      </c>
      <c r="L761" t="s">
        <v>1230</v>
      </c>
      <c r="M761" t="str">
        <f>_xlfn.XLOOKUP(Table1[[#This Row],[category]],Table6[category],Table6[id_category])</f>
        <v>KTG0205</v>
      </c>
      <c r="N761" t="s">
        <v>1233</v>
      </c>
      <c r="O761">
        <v>1</v>
      </c>
      <c r="P761">
        <v>20000</v>
      </c>
      <c r="Q761">
        <v>20</v>
      </c>
      <c r="R761">
        <v>1.3</v>
      </c>
      <c r="S761" t="str">
        <f>_xlfn.XLOOKUP(Table1[[#This Row],[method]],Table7[method],Table7[id_method])</f>
        <v>PAY0709</v>
      </c>
      <c r="T761" t="s">
        <v>1236</v>
      </c>
      <c r="U761">
        <v>16000</v>
      </c>
    </row>
    <row r="762" spans="1:21" x14ac:dyDescent="0.25">
      <c r="A762" t="s">
        <v>774</v>
      </c>
      <c r="B762" t="str">
        <f>_xlfn.XLOOKUP(Table1[[#This Row],[date]],Table8[date],Table8[id_date])</f>
        <v>TGL0913</v>
      </c>
      <c r="C762" s="1">
        <v>45841</v>
      </c>
      <c r="D762" s="1" t="str">
        <f>_xlfn.XLOOKUP(Table1[[#This Row],[customer_name]],Table11[customer_name],Table11[id_cust])</f>
        <v>CNA0708</v>
      </c>
      <c r="E762" t="s">
        <v>1200</v>
      </c>
      <c r="F762">
        <v>24</v>
      </c>
      <c r="G762" t="str">
        <f>_xlfn.XLOOKUP(Table1[[#This Row],[branch_name]],Table3[branch_name],Table3[id_branch])</f>
        <v>BRCH002</v>
      </c>
      <c r="H762" t="s">
        <v>1214</v>
      </c>
      <c r="I762" t="str">
        <f>_xlfn.XLOOKUP(Table1[[#This Row],[city]],Table4[city],Table4[id_city])</f>
        <v>KOA0103</v>
      </c>
      <c r="J762" t="s">
        <v>1219</v>
      </c>
      <c r="K762" t="str">
        <f>_xlfn.XLOOKUP(Table1[[#This Row],[menu_name]],Table5[menu_name],Table5[id_menu])</f>
        <v>MENU003</v>
      </c>
      <c r="L762" t="s">
        <v>1225</v>
      </c>
      <c r="M762" t="str">
        <f>_xlfn.XLOOKUP(Table1[[#This Row],[category]],Table6[category],Table6[id_category])</f>
        <v>KTG0205</v>
      </c>
      <c r="N762" t="s">
        <v>1233</v>
      </c>
      <c r="O762">
        <v>5</v>
      </c>
      <c r="P762">
        <v>22000</v>
      </c>
      <c r="Q762">
        <v>20</v>
      </c>
      <c r="R762">
        <v>1.2</v>
      </c>
      <c r="S762" t="str">
        <f>_xlfn.XLOOKUP(Table1[[#This Row],[method]],Table7[method],Table7[id_method])</f>
        <v>PAY0711</v>
      </c>
      <c r="T762" t="s">
        <v>1238</v>
      </c>
      <c r="U762">
        <v>88000</v>
      </c>
    </row>
    <row r="763" spans="1:21" x14ac:dyDescent="0.25">
      <c r="A763" t="s">
        <v>775</v>
      </c>
      <c r="B763" t="str">
        <f>_xlfn.XLOOKUP(Table1[[#This Row],[date]],Table8[date],Table8[id_date])</f>
        <v>TGL0913</v>
      </c>
      <c r="C763" s="1">
        <v>45841</v>
      </c>
      <c r="D763" s="1" t="str">
        <f>_xlfn.XLOOKUP(Table1[[#This Row],[customer_name]],Table11[customer_name],Table11[id_cust])</f>
        <v>CNA0162</v>
      </c>
      <c r="E763" t="s">
        <v>1068</v>
      </c>
      <c r="F763">
        <v>24</v>
      </c>
      <c r="G763" t="str">
        <f>_xlfn.XLOOKUP(Table1[[#This Row],[branch_name]],Table3[branch_name],Table3[id_branch])</f>
        <v>BRCH001</v>
      </c>
      <c r="H763" t="s">
        <v>1213</v>
      </c>
      <c r="I763" t="str">
        <f>_xlfn.XLOOKUP(Table1[[#This Row],[city]],Table4[city],Table4[id_city])</f>
        <v>KOA0102</v>
      </c>
      <c r="J763" t="s">
        <v>1218</v>
      </c>
      <c r="K763" t="str">
        <f>_xlfn.XLOOKUP(Table1[[#This Row],[menu_name]],Table5[menu_name],Table5[id_menu])</f>
        <v>MENU006</v>
      </c>
      <c r="L763" t="s">
        <v>1228</v>
      </c>
      <c r="M763" t="str">
        <f>_xlfn.XLOOKUP(Table1[[#This Row],[category]],Table6[category],Table6[id_category])</f>
        <v>KTG0206</v>
      </c>
      <c r="N763" t="s">
        <v>1234</v>
      </c>
      <c r="O763">
        <v>3</v>
      </c>
      <c r="P763">
        <v>32000</v>
      </c>
      <c r="Q763">
        <v>0</v>
      </c>
      <c r="R763">
        <v>4.9000000000000004</v>
      </c>
      <c r="S763" t="str">
        <f>_xlfn.XLOOKUP(Table1[[#This Row],[method]],Table7[method],Table7[id_method])</f>
        <v>PAY0709</v>
      </c>
      <c r="T763" t="s">
        <v>1236</v>
      </c>
      <c r="U763">
        <v>96000</v>
      </c>
    </row>
    <row r="764" spans="1:21" x14ac:dyDescent="0.25">
      <c r="A764" t="s">
        <v>776</v>
      </c>
      <c r="B764" t="str">
        <f>_xlfn.XLOOKUP(Table1[[#This Row],[date]],Table8[date],Table8[id_date])</f>
        <v>TGL0913</v>
      </c>
      <c r="C764" s="1">
        <v>45841</v>
      </c>
      <c r="D764" s="1" t="str">
        <f>_xlfn.XLOOKUP(Table1[[#This Row],[customer_name]],Table11[customer_name],Table11[id_cust])</f>
        <v>CNA0402</v>
      </c>
      <c r="E764" t="s">
        <v>1173</v>
      </c>
      <c r="F764">
        <v>19</v>
      </c>
      <c r="G764" t="str">
        <f>_xlfn.XLOOKUP(Table1[[#This Row],[branch_name]],Table3[branch_name],Table3[id_branch])</f>
        <v>BRCH002</v>
      </c>
      <c r="H764" t="s">
        <v>1214</v>
      </c>
      <c r="I764" t="str">
        <f>_xlfn.XLOOKUP(Table1[[#This Row],[city]],Table4[city],Table4[id_city])</f>
        <v>KOA0103</v>
      </c>
      <c r="J764" t="s">
        <v>1219</v>
      </c>
      <c r="K764" t="str">
        <f>_xlfn.XLOOKUP(Table1[[#This Row],[menu_name]],Table5[menu_name],Table5[id_menu])</f>
        <v>MENU006</v>
      </c>
      <c r="L764" t="s">
        <v>1228</v>
      </c>
      <c r="M764" t="str">
        <f>_xlfn.XLOOKUP(Table1[[#This Row],[category]],Table6[category],Table6[id_category])</f>
        <v>KTG0206</v>
      </c>
      <c r="N764" t="s">
        <v>1234</v>
      </c>
      <c r="O764">
        <v>4</v>
      </c>
      <c r="P764">
        <v>32000</v>
      </c>
      <c r="Q764">
        <v>0</v>
      </c>
      <c r="R764">
        <v>4.3</v>
      </c>
      <c r="S764" t="str">
        <f>_xlfn.XLOOKUP(Table1[[#This Row],[method]],Table7[method],Table7[id_method])</f>
        <v>PAY0709</v>
      </c>
      <c r="T764" t="s">
        <v>1236</v>
      </c>
      <c r="U764">
        <v>128000</v>
      </c>
    </row>
    <row r="765" spans="1:21" x14ac:dyDescent="0.25">
      <c r="A765" t="s">
        <v>777</v>
      </c>
      <c r="B765" t="str">
        <f>_xlfn.XLOOKUP(Table1[[#This Row],[date]],Table8[date],Table8[id_date])</f>
        <v>TGL0913</v>
      </c>
      <c r="C765" s="1">
        <v>45841</v>
      </c>
      <c r="D765" s="1" t="str">
        <f>_xlfn.XLOOKUP(Table1[[#This Row],[customer_name]],Table11[customer_name],Table11[id_cust])</f>
        <v>CNA0207</v>
      </c>
      <c r="E765" t="s">
        <v>1101</v>
      </c>
      <c r="F765">
        <v>50</v>
      </c>
      <c r="G765" t="str">
        <f>_xlfn.XLOOKUP(Table1[[#This Row],[branch_name]],Table3[branch_name],Table3[id_branch])</f>
        <v>BRCH004</v>
      </c>
      <c r="H765" t="s">
        <v>1216</v>
      </c>
      <c r="I765" t="str">
        <f>_xlfn.XLOOKUP(Table1[[#This Row],[city]],Table4[city],Table4[id_city])</f>
        <v>KOA0105</v>
      </c>
      <c r="J765" t="s">
        <v>1221</v>
      </c>
      <c r="K765" t="str">
        <f>_xlfn.XLOOKUP(Table1[[#This Row],[menu_name]],Table5[menu_name],Table5[id_menu])</f>
        <v>MENU010</v>
      </c>
      <c r="L765" t="s">
        <v>1232</v>
      </c>
      <c r="M765" t="str">
        <f>_xlfn.XLOOKUP(Table1[[#This Row],[category]],Table6[category],Table6[id_category])</f>
        <v>KTG0205</v>
      </c>
      <c r="N765" t="s">
        <v>1233</v>
      </c>
      <c r="O765">
        <v>5</v>
      </c>
      <c r="P765">
        <v>18000</v>
      </c>
      <c r="Q765">
        <v>0</v>
      </c>
      <c r="R765">
        <v>4.0999999999999996</v>
      </c>
      <c r="S765" t="str">
        <f>_xlfn.XLOOKUP(Table1[[#This Row],[method]],Table7[method],Table7[id_method])</f>
        <v>PAY0709</v>
      </c>
      <c r="T765" t="s">
        <v>1236</v>
      </c>
      <c r="U765">
        <v>90000</v>
      </c>
    </row>
    <row r="766" spans="1:21" x14ac:dyDescent="0.25">
      <c r="A766" t="s">
        <v>778</v>
      </c>
      <c r="B766" t="str">
        <f>_xlfn.XLOOKUP(Table1[[#This Row],[date]],Table8[date],Table8[id_date])</f>
        <v>TGL0914</v>
      </c>
      <c r="C766" s="1">
        <v>45842</v>
      </c>
      <c r="D766" s="1" t="str">
        <f>_xlfn.XLOOKUP(Table1[[#This Row],[customer_name]],Table11[customer_name],Table11[id_cust])</f>
        <v>CNA0420</v>
      </c>
      <c r="E766" t="s">
        <v>1177</v>
      </c>
      <c r="F766">
        <v>44</v>
      </c>
      <c r="G766" t="str">
        <f>_xlfn.XLOOKUP(Table1[[#This Row],[branch_name]],Table3[branch_name],Table3[id_branch])</f>
        <v>BRCH005</v>
      </c>
      <c r="H766" t="s">
        <v>1217</v>
      </c>
      <c r="I766" t="str">
        <f>_xlfn.XLOOKUP(Table1[[#This Row],[city]],Table4[city],Table4[id_city])</f>
        <v>KOA0106</v>
      </c>
      <c r="J766" t="s">
        <v>1222</v>
      </c>
      <c r="K766" t="str">
        <f>_xlfn.XLOOKUP(Table1[[#This Row],[menu_name]],Table5[menu_name],Table5[id_menu])</f>
        <v>MENU004</v>
      </c>
      <c r="L766" t="s">
        <v>1226</v>
      </c>
      <c r="M766" t="str">
        <f>_xlfn.XLOOKUP(Table1[[#This Row],[category]],Table6[category],Table6[id_category])</f>
        <v>KTG0207</v>
      </c>
      <c r="N766" t="s">
        <v>1235</v>
      </c>
      <c r="O766">
        <v>5</v>
      </c>
      <c r="P766">
        <v>28000</v>
      </c>
      <c r="Q766">
        <v>10</v>
      </c>
      <c r="R766">
        <v>4.9000000000000004</v>
      </c>
      <c r="S766" t="str">
        <f>_xlfn.XLOOKUP(Table1[[#This Row],[method]],Table7[method],Table7[id_method])</f>
        <v>PAY0712</v>
      </c>
      <c r="T766" t="s">
        <v>1239</v>
      </c>
      <c r="U766">
        <v>126000</v>
      </c>
    </row>
    <row r="767" spans="1:21" x14ac:dyDescent="0.25">
      <c r="A767" t="s">
        <v>779</v>
      </c>
      <c r="B767" t="str">
        <f>_xlfn.XLOOKUP(Table1[[#This Row],[date]],Table8[date],Table8[id_date])</f>
        <v>TGL0914</v>
      </c>
      <c r="C767" s="1">
        <v>45842</v>
      </c>
      <c r="D767" s="1" t="str">
        <f>_xlfn.XLOOKUP(Table1[[#This Row],[customer_name]],Table11[customer_name],Table11[id_cust])</f>
        <v>CNA0207</v>
      </c>
      <c r="E767" t="s">
        <v>1101</v>
      </c>
      <c r="F767">
        <v>50</v>
      </c>
      <c r="G767" t="str">
        <f>_xlfn.XLOOKUP(Table1[[#This Row],[branch_name]],Table3[branch_name],Table3[id_branch])</f>
        <v>BRCH001</v>
      </c>
      <c r="H767" t="s">
        <v>1213</v>
      </c>
      <c r="I767" t="str">
        <f>_xlfn.XLOOKUP(Table1[[#This Row],[city]],Table4[city],Table4[id_city])</f>
        <v>KOA0102</v>
      </c>
      <c r="J767" t="s">
        <v>1218</v>
      </c>
      <c r="K767" t="str">
        <f>_xlfn.XLOOKUP(Table1[[#This Row],[menu_name]],Table5[menu_name],Table5[id_menu])</f>
        <v>MENU008</v>
      </c>
      <c r="L767" t="s">
        <v>1230</v>
      </c>
      <c r="M767" t="str">
        <f>_xlfn.XLOOKUP(Table1[[#This Row],[category]],Table6[category],Table6[id_category])</f>
        <v>KTG0205</v>
      </c>
      <c r="N767" t="s">
        <v>1233</v>
      </c>
      <c r="O767">
        <v>2</v>
      </c>
      <c r="P767">
        <v>20000</v>
      </c>
      <c r="Q767">
        <v>0</v>
      </c>
      <c r="R767">
        <v>3.5</v>
      </c>
      <c r="S767" t="str">
        <f>_xlfn.XLOOKUP(Table1[[#This Row],[method]],Table7[method],Table7[id_method])</f>
        <v>PAY0712</v>
      </c>
      <c r="T767" t="s">
        <v>1239</v>
      </c>
      <c r="U767">
        <v>40000</v>
      </c>
    </row>
    <row r="768" spans="1:21" x14ac:dyDescent="0.25">
      <c r="A768" t="s">
        <v>780</v>
      </c>
      <c r="B768" t="str">
        <f>_xlfn.XLOOKUP(Table1[[#This Row],[date]],Table8[date],Table8[id_date])</f>
        <v>TGL0914</v>
      </c>
      <c r="C768" s="1">
        <v>45842</v>
      </c>
      <c r="D768" s="1" t="str">
        <f>_xlfn.XLOOKUP(Table1[[#This Row],[customer_name]],Table11[customer_name],Table11[id_cust])</f>
        <v>CNA0312</v>
      </c>
      <c r="E768" t="s">
        <v>1154</v>
      </c>
      <c r="F768">
        <v>49</v>
      </c>
      <c r="G768" t="str">
        <f>_xlfn.XLOOKUP(Table1[[#This Row],[branch_name]],Table3[branch_name],Table3[id_branch])</f>
        <v>BRCH005</v>
      </c>
      <c r="H768" t="s">
        <v>1217</v>
      </c>
      <c r="I768" t="str">
        <f>_xlfn.XLOOKUP(Table1[[#This Row],[city]],Table4[city],Table4[id_city])</f>
        <v>KOA0106</v>
      </c>
      <c r="J768" t="s">
        <v>1222</v>
      </c>
      <c r="K768" t="str">
        <f>_xlfn.XLOOKUP(Table1[[#This Row],[menu_name]],Table5[menu_name],Table5[id_menu])</f>
        <v>MENU010</v>
      </c>
      <c r="L768" t="s">
        <v>1232</v>
      </c>
      <c r="M768" t="str">
        <f>_xlfn.XLOOKUP(Table1[[#This Row],[category]],Table6[category],Table6[id_category])</f>
        <v>KTG0205</v>
      </c>
      <c r="N768" t="s">
        <v>1233</v>
      </c>
      <c r="O768">
        <v>3</v>
      </c>
      <c r="P768">
        <v>18000</v>
      </c>
      <c r="Q768">
        <v>0</v>
      </c>
      <c r="R768">
        <v>4.8</v>
      </c>
      <c r="S768" t="str">
        <f>_xlfn.XLOOKUP(Table1[[#This Row],[method]],Table7[method],Table7[id_method])</f>
        <v>PAY0710</v>
      </c>
      <c r="T768" t="s">
        <v>1237</v>
      </c>
      <c r="U768">
        <v>54000</v>
      </c>
    </row>
    <row r="769" spans="1:21" x14ac:dyDescent="0.25">
      <c r="A769" t="s">
        <v>781</v>
      </c>
      <c r="B769" t="str">
        <f>_xlfn.XLOOKUP(Table1[[#This Row],[date]],Table8[date],Table8[id_date])</f>
        <v>TGL0915</v>
      </c>
      <c r="C769" s="1">
        <v>45845</v>
      </c>
      <c r="D769" s="1" t="str">
        <f>_xlfn.XLOOKUP(Table1[[#This Row],[customer_name]],Table11[customer_name],Table11[id_cust])</f>
        <v>CNA0171</v>
      </c>
      <c r="E769" t="s">
        <v>1076</v>
      </c>
      <c r="F769">
        <v>43</v>
      </c>
      <c r="G769" t="str">
        <f>_xlfn.XLOOKUP(Table1[[#This Row],[branch_name]],Table3[branch_name],Table3[id_branch])</f>
        <v>BRCH002</v>
      </c>
      <c r="H769" t="s">
        <v>1214</v>
      </c>
      <c r="I769" t="str">
        <f>_xlfn.XLOOKUP(Table1[[#This Row],[city]],Table4[city],Table4[id_city])</f>
        <v>KOA0103</v>
      </c>
      <c r="J769" t="s">
        <v>1219</v>
      </c>
      <c r="K769" t="str">
        <f>_xlfn.XLOOKUP(Table1[[#This Row],[menu_name]],Table5[menu_name],Table5[id_menu])</f>
        <v>MENU010</v>
      </c>
      <c r="L769" t="s">
        <v>1232</v>
      </c>
      <c r="M769" t="str">
        <f>_xlfn.XLOOKUP(Table1[[#This Row],[category]],Table6[category],Table6[id_category])</f>
        <v>KTG0205</v>
      </c>
      <c r="N769" t="s">
        <v>1233</v>
      </c>
      <c r="O769">
        <v>4</v>
      </c>
      <c r="P769">
        <v>18000</v>
      </c>
      <c r="Q769">
        <v>15</v>
      </c>
      <c r="R769">
        <v>2.6</v>
      </c>
      <c r="S769" t="str">
        <f>_xlfn.XLOOKUP(Table1[[#This Row],[method]],Table7[method],Table7[id_method])</f>
        <v>PAY0710</v>
      </c>
      <c r="T769" t="s">
        <v>1237</v>
      </c>
      <c r="U769">
        <v>61200</v>
      </c>
    </row>
    <row r="770" spans="1:21" x14ac:dyDescent="0.25">
      <c r="A770" t="s">
        <v>782</v>
      </c>
      <c r="B770" t="str">
        <f>_xlfn.XLOOKUP(Table1[[#This Row],[date]],Table8[date],Table8[id_date])</f>
        <v>TGL0915</v>
      </c>
      <c r="C770" s="1">
        <v>45845</v>
      </c>
      <c r="D770" s="1" t="str">
        <f>_xlfn.XLOOKUP(Table1[[#This Row],[customer_name]],Table11[customer_name],Table11[id_cust])</f>
        <v>CNA0109</v>
      </c>
      <c r="E770" t="s">
        <v>1022</v>
      </c>
      <c r="F770">
        <v>45</v>
      </c>
      <c r="G770" t="str">
        <f>_xlfn.XLOOKUP(Table1[[#This Row],[branch_name]],Table3[branch_name],Table3[id_branch])</f>
        <v>BRCH005</v>
      </c>
      <c r="H770" t="s">
        <v>1217</v>
      </c>
      <c r="I770" t="str">
        <f>_xlfn.XLOOKUP(Table1[[#This Row],[city]],Table4[city],Table4[id_city])</f>
        <v>KOA0106</v>
      </c>
      <c r="J770" t="s">
        <v>1222</v>
      </c>
      <c r="K770" t="str">
        <f>_xlfn.XLOOKUP(Table1[[#This Row],[menu_name]],Table5[menu_name],Table5[id_menu])</f>
        <v>MENU008</v>
      </c>
      <c r="L770" t="s">
        <v>1230</v>
      </c>
      <c r="M770" t="str">
        <f>_xlfn.XLOOKUP(Table1[[#This Row],[category]],Table6[category],Table6[id_category])</f>
        <v>KTG0205</v>
      </c>
      <c r="N770" t="s">
        <v>1233</v>
      </c>
      <c r="O770">
        <v>2</v>
      </c>
      <c r="P770">
        <v>20000</v>
      </c>
      <c r="Q770">
        <v>0</v>
      </c>
      <c r="R770">
        <v>2.2999999999999998</v>
      </c>
      <c r="S770" t="str">
        <f>_xlfn.XLOOKUP(Table1[[#This Row],[method]],Table7[method],Table7[id_method])</f>
        <v>PAY0711</v>
      </c>
      <c r="T770" t="s">
        <v>1238</v>
      </c>
      <c r="U770">
        <v>40000</v>
      </c>
    </row>
    <row r="771" spans="1:21" x14ac:dyDescent="0.25">
      <c r="A771" t="s">
        <v>783</v>
      </c>
      <c r="B771" t="str">
        <f>_xlfn.XLOOKUP(Table1[[#This Row],[date]],Table8[date],Table8[id_date])</f>
        <v>TGL0916</v>
      </c>
      <c r="C771" s="1">
        <v>45847</v>
      </c>
      <c r="D771" s="1" t="str">
        <f>_xlfn.XLOOKUP(Table1[[#This Row],[customer_name]],Table11[customer_name],Table11[id_cust])</f>
        <v>CNA0180</v>
      </c>
      <c r="E771" t="s">
        <v>1083</v>
      </c>
      <c r="F771">
        <v>19</v>
      </c>
      <c r="G771" t="str">
        <f>_xlfn.XLOOKUP(Table1[[#This Row],[branch_name]],Table3[branch_name],Table3[id_branch])</f>
        <v>BRCH004</v>
      </c>
      <c r="H771" t="s">
        <v>1216</v>
      </c>
      <c r="I771" t="str">
        <f>_xlfn.XLOOKUP(Table1[[#This Row],[city]],Table4[city],Table4[id_city])</f>
        <v>KOA0105</v>
      </c>
      <c r="J771" t="s">
        <v>1221</v>
      </c>
      <c r="K771" t="str">
        <f>_xlfn.XLOOKUP(Table1[[#This Row],[menu_name]],Table5[menu_name],Table5[id_menu])</f>
        <v>MENU008</v>
      </c>
      <c r="L771" t="s">
        <v>1230</v>
      </c>
      <c r="M771" t="str">
        <f>_xlfn.XLOOKUP(Table1[[#This Row],[category]],Table6[category],Table6[id_category])</f>
        <v>KTG0205</v>
      </c>
      <c r="N771" t="s">
        <v>1233</v>
      </c>
      <c r="O771">
        <v>3</v>
      </c>
      <c r="P771">
        <v>20000</v>
      </c>
      <c r="Q771">
        <v>5</v>
      </c>
      <c r="R771">
        <v>4.5</v>
      </c>
      <c r="S771" t="str">
        <f>_xlfn.XLOOKUP(Table1[[#This Row],[method]],Table7[method],Table7[id_method])</f>
        <v>PAY0710</v>
      </c>
      <c r="T771" t="s">
        <v>1237</v>
      </c>
      <c r="U771">
        <v>57000</v>
      </c>
    </row>
    <row r="772" spans="1:21" x14ac:dyDescent="0.25">
      <c r="A772" t="s">
        <v>784</v>
      </c>
      <c r="B772" t="str">
        <f>_xlfn.XLOOKUP(Table1[[#This Row],[date]],Table8[date],Table8[id_date])</f>
        <v>TGL0916</v>
      </c>
      <c r="C772" s="1">
        <v>45847</v>
      </c>
      <c r="D772" s="1" t="str">
        <f>_xlfn.XLOOKUP(Table1[[#This Row],[customer_name]],Table11[customer_name],Table11[id_cust])</f>
        <v>CNA0233</v>
      </c>
      <c r="E772" t="s">
        <v>1117</v>
      </c>
      <c r="F772">
        <v>18</v>
      </c>
      <c r="G772" t="str">
        <f>_xlfn.XLOOKUP(Table1[[#This Row],[branch_name]],Table3[branch_name],Table3[id_branch])</f>
        <v>BRCH002</v>
      </c>
      <c r="H772" t="s">
        <v>1214</v>
      </c>
      <c r="I772" t="str">
        <f>_xlfn.XLOOKUP(Table1[[#This Row],[city]],Table4[city],Table4[id_city])</f>
        <v>KOA0103</v>
      </c>
      <c r="J772" t="s">
        <v>1219</v>
      </c>
      <c r="K772" t="str">
        <f>_xlfn.XLOOKUP(Table1[[#This Row],[menu_name]],Table5[menu_name],Table5[id_menu])</f>
        <v>MENU003</v>
      </c>
      <c r="L772" t="s">
        <v>1225</v>
      </c>
      <c r="M772" t="str">
        <f>_xlfn.XLOOKUP(Table1[[#This Row],[category]],Table6[category],Table6[id_category])</f>
        <v>KTG0205</v>
      </c>
      <c r="N772" t="s">
        <v>1233</v>
      </c>
      <c r="O772">
        <v>1</v>
      </c>
      <c r="P772">
        <v>22000</v>
      </c>
      <c r="Q772">
        <v>20</v>
      </c>
      <c r="R772">
        <v>4.2</v>
      </c>
      <c r="S772" t="str">
        <f>_xlfn.XLOOKUP(Table1[[#This Row],[method]],Table7[method],Table7[id_method])</f>
        <v>PAY0712</v>
      </c>
      <c r="T772" t="s">
        <v>1239</v>
      </c>
      <c r="U772">
        <v>17600</v>
      </c>
    </row>
    <row r="773" spans="1:21" x14ac:dyDescent="0.25">
      <c r="A773" t="s">
        <v>785</v>
      </c>
      <c r="B773" t="str">
        <f>_xlfn.XLOOKUP(Table1[[#This Row],[date]],Table8[date],Table8[id_date])</f>
        <v>TGL0917</v>
      </c>
      <c r="C773" s="1">
        <v>45849</v>
      </c>
      <c r="D773" s="1" t="str">
        <f>_xlfn.XLOOKUP(Table1[[#This Row],[customer_name]],Table11[customer_name],Table11[id_cust])</f>
        <v>CNA0186</v>
      </c>
      <c r="E773" t="s">
        <v>1088</v>
      </c>
      <c r="F773">
        <v>53</v>
      </c>
      <c r="G773" t="str">
        <f>_xlfn.XLOOKUP(Table1[[#This Row],[branch_name]],Table3[branch_name],Table3[id_branch])</f>
        <v>BRCH002</v>
      </c>
      <c r="H773" t="s">
        <v>1214</v>
      </c>
      <c r="I773" t="str">
        <f>_xlfn.XLOOKUP(Table1[[#This Row],[city]],Table4[city],Table4[id_city])</f>
        <v>KOA0103</v>
      </c>
      <c r="J773" t="s">
        <v>1219</v>
      </c>
      <c r="K773" t="str">
        <f>_xlfn.XLOOKUP(Table1[[#This Row],[menu_name]],Table5[menu_name],Table5[id_menu])</f>
        <v>MENU003</v>
      </c>
      <c r="L773" t="s">
        <v>1225</v>
      </c>
      <c r="M773" t="str">
        <f>_xlfn.XLOOKUP(Table1[[#This Row],[category]],Table6[category],Table6[id_category])</f>
        <v>KTG0205</v>
      </c>
      <c r="N773" t="s">
        <v>1233</v>
      </c>
      <c r="O773">
        <v>2</v>
      </c>
      <c r="P773">
        <v>22000</v>
      </c>
      <c r="Q773">
        <v>5</v>
      </c>
      <c r="R773">
        <v>4.0999999999999996</v>
      </c>
      <c r="S773" t="str">
        <f>_xlfn.XLOOKUP(Table1[[#This Row],[method]],Table7[method],Table7[id_method])</f>
        <v>PAY0711</v>
      </c>
      <c r="T773" t="s">
        <v>1238</v>
      </c>
      <c r="U773">
        <v>41800</v>
      </c>
    </row>
    <row r="774" spans="1:21" x14ac:dyDescent="0.25">
      <c r="A774" t="s">
        <v>786</v>
      </c>
      <c r="B774" t="str">
        <f>_xlfn.XLOOKUP(Table1[[#This Row],[date]],Table8[date],Table8[id_date])</f>
        <v>TGL0918</v>
      </c>
      <c r="C774" s="1">
        <v>45850</v>
      </c>
      <c r="D774" s="1" t="str">
        <f>_xlfn.XLOOKUP(Table1[[#This Row],[customer_name]],Table11[customer_name],Table11[id_cust])</f>
        <v>CNA0200</v>
      </c>
      <c r="E774" t="s">
        <v>1095</v>
      </c>
      <c r="F774">
        <v>51</v>
      </c>
      <c r="G774" t="str">
        <f>_xlfn.XLOOKUP(Table1[[#This Row],[branch_name]],Table3[branch_name],Table3[id_branch])</f>
        <v>BRCH003</v>
      </c>
      <c r="H774" t="s">
        <v>1215</v>
      </c>
      <c r="I774" t="str">
        <f>_xlfn.XLOOKUP(Table1[[#This Row],[city]],Table4[city],Table4[id_city])</f>
        <v>KOA0104</v>
      </c>
      <c r="J774" t="s">
        <v>1220</v>
      </c>
      <c r="K774" t="str">
        <f>_xlfn.XLOOKUP(Table1[[#This Row],[menu_name]],Table5[menu_name],Table5[id_menu])</f>
        <v>MENU004</v>
      </c>
      <c r="L774" t="s">
        <v>1226</v>
      </c>
      <c r="M774" t="str">
        <f>_xlfn.XLOOKUP(Table1[[#This Row],[category]],Table6[category],Table6[id_category])</f>
        <v>KTG0207</v>
      </c>
      <c r="N774" t="s">
        <v>1235</v>
      </c>
      <c r="O774">
        <v>1</v>
      </c>
      <c r="P774">
        <v>28000</v>
      </c>
      <c r="Q774">
        <v>5</v>
      </c>
      <c r="R774">
        <v>3</v>
      </c>
      <c r="S774" t="str">
        <f>_xlfn.XLOOKUP(Table1[[#This Row],[method]],Table7[method],Table7[id_method])</f>
        <v>PAY0712</v>
      </c>
      <c r="T774" t="s">
        <v>1239</v>
      </c>
      <c r="U774">
        <v>26600</v>
      </c>
    </row>
    <row r="775" spans="1:21" x14ac:dyDescent="0.25">
      <c r="A775" t="s">
        <v>787</v>
      </c>
      <c r="B775" t="str">
        <f>_xlfn.XLOOKUP(Table1[[#This Row],[date]],Table8[date],Table8[id_date])</f>
        <v>TGL0919</v>
      </c>
      <c r="C775" s="1">
        <v>45851</v>
      </c>
      <c r="D775" s="1" t="str">
        <f>_xlfn.XLOOKUP(Table1[[#This Row],[customer_name]],Table11[customer_name],Table11[id_cust])</f>
        <v>CNA0183</v>
      </c>
      <c r="E775" t="s">
        <v>1085</v>
      </c>
      <c r="F775">
        <v>54</v>
      </c>
      <c r="G775" t="str">
        <f>_xlfn.XLOOKUP(Table1[[#This Row],[branch_name]],Table3[branch_name],Table3[id_branch])</f>
        <v>BRCH002</v>
      </c>
      <c r="H775" t="s">
        <v>1214</v>
      </c>
      <c r="I775" t="str">
        <f>_xlfn.XLOOKUP(Table1[[#This Row],[city]],Table4[city],Table4[id_city])</f>
        <v>KOA0103</v>
      </c>
      <c r="J775" t="s">
        <v>1219</v>
      </c>
      <c r="K775" t="str">
        <f>_xlfn.XLOOKUP(Table1[[#This Row],[menu_name]],Table5[menu_name],Table5[id_menu])</f>
        <v>MENU001</v>
      </c>
      <c r="L775" t="s">
        <v>1223</v>
      </c>
      <c r="M775" t="str">
        <f>_xlfn.XLOOKUP(Table1[[#This Row],[category]],Table6[category],Table6[id_category])</f>
        <v>KTG0205</v>
      </c>
      <c r="N775" t="s">
        <v>1233</v>
      </c>
      <c r="O775">
        <v>2</v>
      </c>
      <c r="P775">
        <v>25000</v>
      </c>
      <c r="Q775">
        <v>15</v>
      </c>
      <c r="R775">
        <v>2.8</v>
      </c>
      <c r="S775" t="str">
        <f>_xlfn.XLOOKUP(Table1[[#This Row],[method]],Table7[method],Table7[id_method])</f>
        <v>PAY0710</v>
      </c>
      <c r="T775" t="s">
        <v>1237</v>
      </c>
      <c r="U775">
        <v>42500</v>
      </c>
    </row>
    <row r="776" spans="1:21" x14ac:dyDescent="0.25">
      <c r="A776" t="s">
        <v>788</v>
      </c>
      <c r="B776" t="str">
        <f>_xlfn.XLOOKUP(Table1[[#This Row],[date]],Table8[date],Table8[id_date])</f>
        <v>TGL0920</v>
      </c>
      <c r="C776" s="1">
        <v>45852</v>
      </c>
      <c r="D776" s="1" t="str">
        <f>_xlfn.XLOOKUP(Table1[[#This Row],[customer_name]],Table11[customer_name],Table11[id_cust])</f>
        <v>CNA0127</v>
      </c>
      <c r="E776" t="s">
        <v>1039</v>
      </c>
      <c r="F776">
        <v>48</v>
      </c>
      <c r="G776" t="str">
        <f>_xlfn.XLOOKUP(Table1[[#This Row],[branch_name]],Table3[branch_name],Table3[id_branch])</f>
        <v>BRCH001</v>
      </c>
      <c r="H776" t="s">
        <v>1213</v>
      </c>
      <c r="I776" t="str">
        <f>_xlfn.XLOOKUP(Table1[[#This Row],[city]],Table4[city],Table4[id_city])</f>
        <v>KOA0102</v>
      </c>
      <c r="J776" t="s">
        <v>1218</v>
      </c>
      <c r="K776" t="str">
        <f>_xlfn.XLOOKUP(Table1[[#This Row],[menu_name]],Table5[menu_name],Table5[id_menu])</f>
        <v>MENU006</v>
      </c>
      <c r="L776" t="s">
        <v>1228</v>
      </c>
      <c r="M776" t="str">
        <f>_xlfn.XLOOKUP(Table1[[#This Row],[category]],Table6[category],Table6[id_category])</f>
        <v>KTG0206</v>
      </c>
      <c r="N776" t="s">
        <v>1234</v>
      </c>
      <c r="O776">
        <v>3</v>
      </c>
      <c r="P776">
        <v>32000</v>
      </c>
      <c r="Q776">
        <v>5</v>
      </c>
      <c r="R776">
        <v>1.6</v>
      </c>
      <c r="S776" t="str">
        <f>_xlfn.XLOOKUP(Table1[[#This Row],[method]],Table7[method],Table7[id_method])</f>
        <v>PAY0710</v>
      </c>
      <c r="T776" t="s">
        <v>1237</v>
      </c>
      <c r="U776">
        <v>91200</v>
      </c>
    </row>
    <row r="777" spans="1:21" x14ac:dyDescent="0.25">
      <c r="A777" t="s">
        <v>789</v>
      </c>
      <c r="B777" t="str">
        <f>_xlfn.XLOOKUP(Table1[[#This Row],[date]],Table8[date],Table8[id_date])</f>
        <v>TGL0921</v>
      </c>
      <c r="C777" s="1">
        <v>45854</v>
      </c>
      <c r="D777" s="1" t="str">
        <f>_xlfn.XLOOKUP(Table1[[#This Row],[customer_name]],Table11[customer_name],Table11[id_cust])</f>
        <v>CNA0208</v>
      </c>
      <c r="E777" t="s">
        <v>1102</v>
      </c>
      <c r="F777">
        <v>21</v>
      </c>
      <c r="G777" t="str">
        <f>_xlfn.XLOOKUP(Table1[[#This Row],[branch_name]],Table3[branch_name],Table3[id_branch])</f>
        <v>BRCH003</v>
      </c>
      <c r="H777" t="s">
        <v>1215</v>
      </c>
      <c r="I777" t="str">
        <f>_xlfn.XLOOKUP(Table1[[#This Row],[city]],Table4[city],Table4[id_city])</f>
        <v>KOA0104</v>
      </c>
      <c r="J777" t="s">
        <v>1220</v>
      </c>
      <c r="K777" t="str">
        <f>_xlfn.XLOOKUP(Table1[[#This Row],[menu_name]],Table5[menu_name],Table5[id_menu])</f>
        <v>MENU007</v>
      </c>
      <c r="L777" t="s">
        <v>1229</v>
      </c>
      <c r="M777" t="str">
        <f>_xlfn.XLOOKUP(Table1[[#This Row],[category]],Table6[category],Table6[id_category])</f>
        <v>KTG0207</v>
      </c>
      <c r="N777" t="s">
        <v>1235</v>
      </c>
      <c r="O777">
        <v>2</v>
      </c>
      <c r="P777">
        <v>27000</v>
      </c>
      <c r="Q777">
        <v>20</v>
      </c>
      <c r="R777">
        <v>3.9</v>
      </c>
      <c r="S777" t="str">
        <f>_xlfn.XLOOKUP(Table1[[#This Row],[method]],Table7[method],Table7[id_method])</f>
        <v>PAY0712</v>
      </c>
      <c r="T777" t="s">
        <v>1239</v>
      </c>
      <c r="U777">
        <v>43200</v>
      </c>
    </row>
    <row r="778" spans="1:21" x14ac:dyDescent="0.25">
      <c r="A778" t="s">
        <v>790</v>
      </c>
      <c r="B778" t="str">
        <f>_xlfn.XLOOKUP(Table1[[#This Row],[date]],Table8[date],Table8[id_date])</f>
        <v>TGL0921</v>
      </c>
      <c r="C778" s="1">
        <v>45854</v>
      </c>
      <c r="D778" s="1" t="str">
        <f>_xlfn.XLOOKUP(Table1[[#This Row],[customer_name]],Table11[customer_name],Table11[id_cust])</f>
        <v>CNA0114</v>
      </c>
      <c r="E778" t="s">
        <v>1027</v>
      </c>
      <c r="F778">
        <v>51</v>
      </c>
      <c r="G778" t="str">
        <f>_xlfn.XLOOKUP(Table1[[#This Row],[branch_name]],Table3[branch_name],Table3[id_branch])</f>
        <v>BRCH005</v>
      </c>
      <c r="H778" t="s">
        <v>1217</v>
      </c>
      <c r="I778" t="str">
        <f>_xlfn.XLOOKUP(Table1[[#This Row],[city]],Table4[city],Table4[id_city])</f>
        <v>KOA0106</v>
      </c>
      <c r="J778" t="s">
        <v>1222</v>
      </c>
      <c r="K778" t="str">
        <f>_xlfn.XLOOKUP(Table1[[#This Row],[menu_name]],Table5[menu_name],Table5[id_menu])</f>
        <v>MENU008</v>
      </c>
      <c r="L778" t="s">
        <v>1230</v>
      </c>
      <c r="M778" t="str">
        <f>_xlfn.XLOOKUP(Table1[[#This Row],[category]],Table6[category],Table6[id_category])</f>
        <v>KTG0205</v>
      </c>
      <c r="N778" t="s">
        <v>1233</v>
      </c>
      <c r="O778">
        <v>5</v>
      </c>
      <c r="P778">
        <v>20000</v>
      </c>
      <c r="Q778">
        <v>20</v>
      </c>
      <c r="R778">
        <v>4.5999999999999996</v>
      </c>
      <c r="S778" t="str">
        <f>_xlfn.XLOOKUP(Table1[[#This Row],[method]],Table7[method],Table7[id_method])</f>
        <v>PAY0709</v>
      </c>
      <c r="T778" t="s">
        <v>1236</v>
      </c>
      <c r="U778">
        <v>80000</v>
      </c>
    </row>
    <row r="779" spans="1:21" x14ac:dyDescent="0.25">
      <c r="A779" t="s">
        <v>791</v>
      </c>
      <c r="B779" t="str">
        <f>_xlfn.XLOOKUP(Table1[[#This Row],[date]],Table8[date],Table8[id_date])</f>
        <v>TGL0922</v>
      </c>
      <c r="C779" s="1">
        <v>45855</v>
      </c>
      <c r="D779" s="1" t="str">
        <f>_xlfn.XLOOKUP(Table1[[#This Row],[customer_name]],Table11[customer_name],Table11[id_cust])</f>
        <v>CNA0184</v>
      </c>
      <c r="E779" t="s">
        <v>1086</v>
      </c>
      <c r="F779">
        <v>24</v>
      </c>
      <c r="G779" t="str">
        <f>_xlfn.XLOOKUP(Table1[[#This Row],[branch_name]],Table3[branch_name],Table3[id_branch])</f>
        <v>BRCH005</v>
      </c>
      <c r="H779" t="s">
        <v>1217</v>
      </c>
      <c r="I779" t="str">
        <f>_xlfn.XLOOKUP(Table1[[#This Row],[city]],Table4[city],Table4[id_city])</f>
        <v>KOA0106</v>
      </c>
      <c r="J779" t="s">
        <v>1222</v>
      </c>
      <c r="K779" t="str">
        <f>_xlfn.XLOOKUP(Table1[[#This Row],[menu_name]],Table5[menu_name],Table5[id_menu])</f>
        <v>MENU010</v>
      </c>
      <c r="L779" t="s">
        <v>1232</v>
      </c>
      <c r="M779" t="str">
        <f>_xlfn.XLOOKUP(Table1[[#This Row],[category]],Table6[category],Table6[id_category])</f>
        <v>KTG0205</v>
      </c>
      <c r="N779" t="s">
        <v>1233</v>
      </c>
      <c r="O779">
        <v>4</v>
      </c>
      <c r="P779">
        <v>18000</v>
      </c>
      <c r="Q779">
        <v>10</v>
      </c>
      <c r="R779">
        <v>3.8</v>
      </c>
      <c r="S779" t="str">
        <f>_xlfn.XLOOKUP(Table1[[#This Row],[method]],Table7[method],Table7[id_method])</f>
        <v>PAY0709</v>
      </c>
      <c r="T779" t="s">
        <v>1236</v>
      </c>
      <c r="U779">
        <v>64800</v>
      </c>
    </row>
    <row r="780" spans="1:21" x14ac:dyDescent="0.25">
      <c r="A780" t="s">
        <v>792</v>
      </c>
      <c r="B780" t="str">
        <f>_xlfn.XLOOKUP(Table1[[#This Row],[date]],Table8[date],Table8[id_date])</f>
        <v>TGL0923</v>
      </c>
      <c r="C780" s="1">
        <v>45856</v>
      </c>
      <c r="D780" s="1" t="str">
        <f>_xlfn.XLOOKUP(Table1[[#This Row],[customer_name]],Table11[customer_name],Table11[id_cust])</f>
        <v>CNA0748</v>
      </c>
      <c r="E780" t="s">
        <v>1202</v>
      </c>
      <c r="F780">
        <v>17</v>
      </c>
      <c r="G780" t="str">
        <f>_xlfn.XLOOKUP(Table1[[#This Row],[branch_name]],Table3[branch_name],Table3[id_branch])</f>
        <v>BRCH001</v>
      </c>
      <c r="H780" t="s">
        <v>1213</v>
      </c>
      <c r="I780" t="str">
        <f>_xlfn.XLOOKUP(Table1[[#This Row],[city]],Table4[city],Table4[id_city])</f>
        <v>KOA0102</v>
      </c>
      <c r="J780" t="s">
        <v>1218</v>
      </c>
      <c r="K780" t="str">
        <f>_xlfn.XLOOKUP(Table1[[#This Row],[menu_name]],Table5[menu_name],Table5[id_menu])</f>
        <v>MENU006</v>
      </c>
      <c r="L780" t="s">
        <v>1228</v>
      </c>
      <c r="M780" t="str">
        <f>_xlfn.XLOOKUP(Table1[[#This Row],[category]],Table6[category],Table6[id_category])</f>
        <v>KTG0206</v>
      </c>
      <c r="N780" t="s">
        <v>1234</v>
      </c>
      <c r="O780">
        <v>3</v>
      </c>
      <c r="P780">
        <v>32000</v>
      </c>
      <c r="Q780">
        <v>20</v>
      </c>
      <c r="R780">
        <v>2.7</v>
      </c>
      <c r="S780" t="str">
        <f>_xlfn.XLOOKUP(Table1[[#This Row],[method]],Table7[method],Table7[id_method])</f>
        <v>PAY0710</v>
      </c>
      <c r="T780" t="s">
        <v>1237</v>
      </c>
      <c r="U780">
        <v>76800</v>
      </c>
    </row>
    <row r="781" spans="1:21" x14ac:dyDescent="0.25">
      <c r="A781" t="s">
        <v>793</v>
      </c>
      <c r="B781" t="str">
        <f>_xlfn.XLOOKUP(Table1[[#This Row],[date]],Table8[date],Table8[id_date])</f>
        <v>TGL0923</v>
      </c>
      <c r="C781" s="1">
        <v>45856</v>
      </c>
      <c r="D781" s="1" t="str">
        <f>_xlfn.XLOOKUP(Table1[[#This Row],[customer_name]],Table11[customer_name],Table11[id_cust])</f>
        <v>CNA0385</v>
      </c>
      <c r="E781" t="s">
        <v>1169</v>
      </c>
      <c r="F781">
        <v>50</v>
      </c>
      <c r="G781" t="str">
        <f>_xlfn.XLOOKUP(Table1[[#This Row],[branch_name]],Table3[branch_name],Table3[id_branch])</f>
        <v>BRCH003</v>
      </c>
      <c r="H781" t="s">
        <v>1215</v>
      </c>
      <c r="I781" t="str">
        <f>_xlfn.XLOOKUP(Table1[[#This Row],[city]],Table4[city],Table4[id_city])</f>
        <v>KOA0104</v>
      </c>
      <c r="J781" t="s">
        <v>1220</v>
      </c>
      <c r="K781" t="str">
        <f>_xlfn.XLOOKUP(Table1[[#This Row],[menu_name]],Table5[menu_name],Table5[id_menu])</f>
        <v>MENU003</v>
      </c>
      <c r="L781" t="s">
        <v>1225</v>
      </c>
      <c r="M781" t="str">
        <f>_xlfn.XLOOKUP(Table1[[#This Row],[category]],Table6[category],Table6[id_category])</f>
        <v>KTG0205</v>
      </c>
      <c r="N781" t="s">
        <v>1233</v>
      </c>
      <c r="O781">
        <v>3</v>
      </c>
      <c r="P781">
        <v>22000</v>
      </c>
      <c r="Q781">
        <v>20</v>
      </c>
      <c r="R781">
        <v>5</v>
      </c>
      <c r="S781" t="str">
        <f>_xlfn.XLOOKUP(Table1[[#This Row],[method]],Table7[method],Table7[id_method])</f>
        <v>PAY0711</v>
      </c>
      <c r="T781" t="s">
        <v>1238</v>
      </c>
      <c r="U781">
        <v>52800</v>
      </c>
    </row>
    <row r="782" spans="1:21" x14ac:dyDescent="0.25">
      <c r="A782" t="s">
        <v>794</v>
      </c>
      <c r="B782" t="str">
        <f>_xlfn.XLOOKUP(Table1[[#This Row],[date]],Table8[date],Table8[id_date])</f>
        <v>TGL0924</v>
      </c>
      <c r="C782" s="1">
        <v>45857</v>
      </c>
      <c r="D782" s="1" t="str">
        <f>_xlfn.XLOOKUP(Table1[[#This Row],[customer_name]],Table11[customer_name],Table11[id_cust])</f>
        <v>CNA0641</v>
      </c>
      <c r="E782" t="s">
        <v>1194</v>
      </c>
      <c r="F782">
        <v>41</v>
      </c>
      <c r="G782" t="str">
        <f>_xlfn.XLOOKUP(Table1[[#This Row],[branch_name]],Table3[branch_name],Table3[id_branch])</f>
        <v>BRCH003</v>
      </c>
      <c r="H782" t="s">
        <v>1215</v>
      </c>
      <c r="I782" t="str">
        <f>_xlfn.XLOOKUP(Table1[[#This Row],[city]],Table4[city],Table4[id_city])</f>
        <v>KOA0104</v>
      </c>
      <c r="J782" t="s">
        <v>1220</v>
      </c>
      <c r="K782" t="str">
        <f>_xlfn.XLOOKUP(Table1[[#This Row],[menu_name]],Table5[menu_name],Table5[id_menu])</f>
        <v>MENU007</v>
      </c>
      <c r="L782" t="s">
        <v>1229</v>
      </c>
      <c r="M782" t="str">
        <f>_xlfn.XLOOKUP(Table1[[#This Row],[category]],Table6[category],Table6[id_category])</f>
        <v>KTG0207</v>
      </c>
      <c r="N782" t="s">
        <v>1235</v>
      </c>
      <c r="O782">
        <v>3</v>
      </c>
      <c r="P782">
        <v>27000</v>
      </c>
      <c r="Q782">
        <v>5</v>
      </c>
      <c r="R782">
        <v>4.4000000000000004</v>
      </c>
      <c r="S782" t="str">
        <f>_xlfn.XLOOKUP(Table1[[#This Row],[method]],Table7[method],Table7[id_method])</f>
        <v>PAY0710</v>
      </c>
      <c r="T782" t="s">
        <v>1237</v>
      </c>
      <c r="U782">
        <v>76950</v>
      </c>
    </row>
    <row r="783" spans="1:21" x14ac:dyDescent="0.25">
      <c r="A783" t="s">
        <v>795</v>
      </c>
      <c r="B783" t="str">
        <f>_xlfn.XLOOKUP(Table1[[#This Row],[date]],Table8[date],Table8[id_date])</f>
        <v>TGL0924</v>
      </c>
      <c r="C783" s="1">
        <v>45857</v>
      </c>
      <c r="D783" s="1" t="str">
        <f>_xlfn.XLOOKUP(Table1[[#This Row],[customer_name]],Table11[customer_name],Table11[id_cust])</f>
        <v>CNA0219</v>
      </c>
      <c r="E783" t="s">
        <v>1108</v>
      </c>
      <c r="F783">
        <v>23</v>
      </c>
      <c r="G783" t="str">
        <f>_xlfn.XLOOKUP(Table1[[#This Row],[branch_name]],Table3[branch_name],Table3[id_branch])</f>
        <v>BRCH001</v>
      </c>
      <c r="H783" t="s">
        <v>1213</v>
      </c>
      <c r="I783" t="str">
        <f>_xlfn.XLOOKUP(Table1[[#This Row],[city]],Table4[city],Table4[id_city])</f>
        <v>KOA0102</v>
      </c>
      <c r="J783" t="s">
        <v>1218</v>
      </c>
      <c r="K783" t="str">
        <f>_xlfn.XLOOKUP(Table1[[#This Row],[menu_name]],Table5[menu_name],Table5[id_menu])</f>
        <v>MENU004</v>
      </c>
      <c r="L783" t="s">
        <v>1226</v>
      </c>
      <c r="M783" t="str">
        <f>_xlfn.XLOOKUP(Table1[[#This Row],[category]],Table6[category],Table6[id_category])</f>
        <v>KTG0207</v>
      </c>
      <c r="N783" t="s">
        <v>1235</v>
      </c>
      <c r="O783">
        <v>4</v>
      </c>
      <c r="P783">
        <v>28000</v>
      </c>
      <c r="Q783">
        <v>10</v>
      </c>
      <c r="R783">
        <v>3.9</v>
      </c>
      <c r="S783" t="str">
        <f>_xlfn.XLOOKUP(Table1[[#This Row],[method]],Table7[method],Table7[id_method])</f>
        <v>PAY0710</v>
      </c>
      <c r="T783" t="s">
        <v>1237</v>
      </c>
      <c r="U783">
        <v>100800</v>
      </c>
    </row>
    <row r="784" spans="1:21" x14ac:dyDescent="0.25">
      <c r="A784" t="s">
        <v>796</v>
      </c>
      <c r="B784" t="str">
        <f>_xlfn.XLOOKUP(Table1[[#This Row],[date]],Table8[date],Table8[id_date])</f>
        <v>TGL0925</v>
      </c>
      <c r="C784" s="1">
        <v>45858</v>
      </c>
      <c r="D784" s="1" t="str">
        <f>_xlfn.XLOOKUP(Table1[[#This Row],[customer_name]],Table11[customer_name],Table11[id_cust])</f>
        <v>CNA0227</v>
      </c>
      <c r="E784" t="s">
        <v>1113</v>
      </c>
      <c r="F784">
        <v>17</v>
      </c>
      <c r="G784" t="str">
        <f>_xlfn.XLOOKUP(Table1[[#This Row],[branch_name]],Table3[branch_name],Table3[id_branch])</f>
        <v>BRCH002</v>
      </c>
      <c r="H784" t="s">
        <v>1214</v>
      </c>
      <c r="I784" t="str">
        <f>_xlfn.XLOOKUP(Table1[[#This Row],[city]],Table4[city],Table4[id_city])</f>
        <v>KOA0103</v>
      </c>
      <c r="J784" t="s">
        <v>1219</v>
      </c>
      <c r="K784" t="str">
        <f>_xlfn.XLOOKUP(Table1[[#This Row],[menu_name]],Table5[menu_name],Table5[id_menu])</f>
        <v>MENU008</v>
      </c>
      <c r="L784" t="s">
        <v>1230</v>
      </c>
      <c r="M784" t="str">
        <f>_xlfn.XLOOKUP(Table1[[#This Row],[category]],Table6[category],Table6[id_category])</f>
        <v>KTG0205</v>
      </c>
      <c r="N784" t="s">
        <v>1233</v>
      </c>
      <c r="O784">
        <v>2</v>
      </c>
      <c r="P784">
        <v>20000</v>
      </c>
      <c r="Q784">
        <v>0</v>
      </c>
      <c r="R784">
        <v>2.4</v>
      </c>
      <c r="S784" t="str">
        <f>_xlfn.XLOOKUP(Table1[[#This Row],[method]],Table7[method],Table7[id_method])</f>
        <v>PAY0710</v>
      </c>
      <c r="T784" t="s">
        <v>1237</v>
      </c>
      <c r="U784">
        <v>40000</v>
      </c>
    </row>
    <row r="785" spans="1:21" x14ac:dyDescent="0.25">
      <c r="A785" t="s">
        <v>797</v>
      </c>
      <c r="B785" t="str">
        <f>_xlfn.XLOOKUP(Table1[[#This Row],[date]],Table8[date],Table8[id_date])</f>
        <v>TGL0926</v>
      </c>
      <c r="C785" s="1">
        <v>45860</v>
      </c>
      <c r="D785" s="1" t="str">
        <f>_xlfn.XLOOKUP(Table1[[#This Row],[customer_name]],Table11[customer_name],Table11[id_cust])</f>
        <v>CNA0107</v>
      </c>
      <c r="E785" t="s">
        <v>1020</v>
      </c>
      <c r="F785">
        <v>19</v>
      </c>
      <c r="G785" t="str">
        <f>_xlfn.XLOOKUP(Table1[[#This Row],[branch_name]],Table3[branch_name],Table3[id_branch])</f>
        <v>BRCH004</v>
      </c>
      <c r="H785" t="s">
        <v>1216</v>
      </c>
      <c r="I785" t="str">
        <f>_xlfn.XLOOKUP(Table1[[#This Row],[city]],Table4[city],Table4[id_city])</f>
        <v>KOA0105</v>
      </c>
      <c r="J785" t="s">
        <v>1221</v>
      </c>
      <c r="K785" t="str">
        <f>_xlfn.XLOOKUP(Table1[[#This Row],[menu_name]],Table5[menu_name],Table5[id_menu])</f>
        <v>MENU010</v>
      </c>
      <c r="L785" t="s">
        <v>1232</v>
      </c>
      <c r="M785" t="str">
        <f>_xlfn.XLOOKUP(Table1[[#This Row],[category]],Table6[category],Table6[id_category])</f>
        <v>KTG0205</v>
      </c>
      <c r="N785" t="s">
        <v>1233</v>
      </c>
      <c r="O785">
        <v>5</v>
      </c>
      <c r="P785">
        <v>18000</v>
      </c>
      <c r="Q785">
        <v>5</v>
      </c>
      <c r="R785">
        <v>2.2000000000000002</v>
      </c>
      <c r="S785" t="str">
        <f>_xlfn.XLOOKUP(Table1[[#This Row],[method]],Table7[method],Table7[id_method])</f>
        <v>PAY0712</v>
      </c>
      <c r="T785" t="s">
        <v>1239</v>
      </c>
      <c r="U785">
        <v>85500</v>
      </c>
    </row>
    <row r="786" spans="1:21" x14ac:dyDescent="0.25">
      <c r="A786" t="s">
        <v>798</v>
      </c>
      <c r="B786" t="str">
        <f>_xlfn.XLOOKUP(Table1[[#This Row],[date]],Table8[date],Table8[id_date])</f>
        <v>TGL0927</v>
      </c>
      <c r="C786" s="1">
        <v>45861</v>
      </c>
      <c r="D786" s="1" t="str">
        <f>_xlfn.XLOOKUP(Table1[[#This Row],[customer_name]],Table11[customer_name],Table11[id_cust])</f>
        <v>CNA0885</v>
      </c>
      <c r="E786" t="s">
        <v>1209</v>
      </c>
      <c r="F786">
        <v>26</v>
      </c>
      <c r="G786" t="str">
        <f>_xlfn.XLOOKUP(Table1[[#This Row],[branch_name]],Table3[branch_name],Table3[id_branch])</f>
        <v>BRCH005</v>
      </c>
      <c r="H786" t="s">
        <v>1217</v>
      </c>
      <c r="I786" t="str">
        <f>_xlfn.XLOOKUP(Table1[[#This Row],[city]],Table4[city],Table4[id_city])</f>
        <v>KOA0106</v>
      </c>
      <c r="J786" t="s">
        <v>1222</v>
      </c>
      <c r="K786" t="str">
        <f>_xlfn.XLOOKUP(Table1[[#This Row],[menu_name]],Table5[menu_name],Table5[id_menu])</f>
        <v>MENU010</v>
      </c>
      <c r="L786" t="s">
        <v>1232</v>
      </c>
      <c r="M786" t="str">
        <f>_xlfn.XLOOKUP(Table1[[#This Row],[category]],Table6[category],Table6[id_category])</f>
        <v>KTG0205</v>
      </c>
      <c r="N786" t="s">
        <v>1233</v>
      </c>
      <c r="O786">
        <v>1</v>
      </c>
      <c r="P786">
        <v>18000</v>
      </c>
      <c r="Q786">
        <v>15</v>
      </c>
      <c r="R786">
        <v>1.5</v>
      </c>
      <c r="S786" t="str">
        <f>_xlfn.XLOOKUP(Table1[[#This Row],[method]],Table7[method],Table7[id_method])</f>
        <v>PAY0710</v>
      </c>
      <c r="T786" t="s">
        <v>1237</v>
      </c>
      <c r="U786">
        <v>15300</v>
      </c>
    </row>
    <row r="787" spans="1:21" x14ac:dyDescent="0.25">
      <c r="A787" t="s">
        <v>799</v>
      </c>
      <c r="B787" t="str">
        <f>_xlfn.XLOOKUP(Table1[[#This Row],[date]],Table8[date],Table8[id_date])</f>
        <v>TGL0927</v>
      </c>
      <c r="C787" s="1">
        <v>45861</v>
      </c>
      <c r="D787" s="1" t="str">
        <f>_xlfn.XLOOKUP(Table1[[#This Row],[customer_name]],Table11[customer_name],Table11[id_cust])</f>
        <v>CNA0847</v>
      </c>
      <c r="E787" t="s">
        <v>1206</v>
      </c>
      <c r="F787">
        <v>51</v>
      </c>
      <c r="G787" t="str">
        <f>_xlfn.XLOOKUP(Table1[[#This Row],[branch_name]],Table3[branch_name],Table3[id_branch])</f>
        <v>BRCH001</v>
      </c>
      <c r="H787" t="s">
        <v>1213</v>
      </c>
      <c r="I787" t="str">
        <f>_xlfn.XLOOKUP(Table1[[#This Row],[city]],Table4[city],Table4[id_city])</f>
        <v>KOA0102</v>
      </c>
      <c r="J787" t="s">
        <v>1218</v>
      </c>
      <c r="K787" t="str">
        <f>_xlfn.XLOOKUP(Table1[[#This Row],[menu_name]],Table5[menu_name],Table5[id_menu])</f>
        <v>MENU008</v>
      </c>
      <c r="L787" t="s">
        <v>1230</v>
      </c>
      <c r="M787" t="str">
        <f>_xlfn.XLOOKUP(Table1[[#This Row],[category]],Table6[category],Table6[id_category])</f>
        <v>KTG0205</v>
      </c>
      <c r="N787" t="s">
        <v>1233</v>
      </c>
      <c r="O787">
        <v>4</v>
      </c>
      <c r="P787">
        <v>20000</v>
      </c>
      <c r="Q787">
        <v>0</v>
      </c>
      <c r="R787">
        <v>3.2</v>
      </c>
      <c r="S787" t="str">
        <f>_xlfn.XLOOKUP(Table1[[#This Row],[method]],Table7[method],Table7[id_method])</f>
        <v>PAY0710</v>
      </c>
      <c r="T787" t="s">
        <v>1237</v>
      </c>
      <c r="U787">
        <v>80000</v>
      </c>
    </row>
    <row r="788" spans="1:21" x14ac:dyDescent="0.25">
      <c r="A788" t="s">
        <v>800</v>
      </c>
      <c r="B788" t="str">
        <f>_xlfn.XLOOKUP(Table1[[#This Row],[date]],Table8[date],Table8[id_date])</f>
        <v>TGL0928</v>
      </c>
      <c r="C788" s="1">
        <v>45863</v>
      </c>
      <c r="D788" s="1" t="str">
        <f>_xlfn.XLOOKUP(Table1[[#This Row],[customer_name]],Table11[customer_name],Table11[id_cust])</f>
        <v>CNA0102</v>
      </c>
      <c r="E788" t="s">
        <v>1015</v>
      </c>
      <c r="F788">
        <v>36</v>
      </c>
      <c r="G788" t="str">
        <f>_xlfn.XLOOKUP(Table1[[#This Row],[branch_name]],Table3[branch_name],Table3[id_branch])</f>
        <v>BRCH005</v>
      </c>
      <c r="H788" t="s">
        <v>1217</v>
      </c>
      <c r="I788" t="str">
        <f>_xlfn.XLOOKUP(Table1[[#This Row],[city]],Table4[city],Table4[id_city])</f>
        <v>KOA0106</v>
      </c>
      <c r="J788" t="s">
        <v>1222</v>
      </c>
      <c r="K788" t="str">
        <f>_xlfn.XLOOKUP(Table1[[#This Row],[menu_name]],Table5[menu_name],Table5[id_menu])</f>
        <v>MENU002</v>
      </c>
      <c r="L788" t="s">
        <v>1224</v>
      </c>
      <c r="M788" t="str">
        <f>_xlfn.XLOOKUP(Table1[[#This Row],[category]],Table6[category],Table6[id_category])</f>
        <v>KTG0206</v>
      </c>
      <c r="N788" t="s">
        <v>1234</v>
      </c>
      <c r="O788">
        <v>4</v>
      </c>
      <c r="P788">
        <v>30000</v>
      </c>
      <c r="Q788">
        <v>10</v>
      </c>
      <c r="R788">
        <v>1.6</v>
      </c>
      <c r="S788" t="str">
        <f>_xlfn.XLOOKUP(Table1[[#This Row],[method]],Table7[method],Table7[id_method])</f>
        <v>PAY0710</v>
      </c>
      <c r="T788" t="s">
        <v>1237</v>
      </c>
      <c r="U788">
        <v>108000</v>
      </c>
    </row>
    <row r="789" spans="1:21" x14ac:dyDescent="0.25">
      <c r="A789" t="s">
        <v>801</v>
      </c>
      <c r="B789" t="str">
        <f>_xlfn.XLOOKUP(Table1[[#This Row],[date]],Table8[date],Table8[id_date])</f>
        <v>TGL0928</v>
      </c>
      <c r="C789" s="1">
        <v>45863</v>
      </c>
      <c r="D789" s="1" t="str">
        <f>_xlfn.XLOOKUP(Table1[[#This Row],[customer_name]],Table11[customer_name],Table11[id_cust])</f>
        <v>CNA0145</v>
      </c>
      <c r="E789" t="s">
        <v>1054</v>
      </c>
      <c r="F789">
        <v>19</v>
      </c>
      <c r="G789" t="str">
        <f>_xlfn.XLOOKUP(Table1[[#This Row],[branch_name]],Table3[branch_name],Table3[id_branch])</f>
        <v>BRCH005</v>
      </c>
      <c r="H789" t="s">
        <v>1217</v>
      </c>
      <c r="I789" t="str">
        <f>_xlfn.XLOOKUP(Table1[[#This Row],[city]],Table4[city],Table4[id_city])</f>
        <v>KOA0106</v>
      </c>
      <c r="J789" t="s">
        <v>1222</v>
      </c>
      <c r="K789" t="str">
        <f>_xlfn.XLOOKUP(Table1[[#This Row],[menu_name]],Table5[menu_name],Table5[id_menu])</f>
        <v>MENU010</v>
      </c>
      <c r="L789" t="s">
        <v>1232</v>
      </c>
      <c r="M789" t="str">
        <f>_xlfn.XLOOKUP(Table1[[#This Row],[category]],Table6[category],Table6[id_category])</f>
        <v>KTG0205</v>
      </c>
      <c r="N789" t="s">
        <v>1233</v>
      </c>
      <c r="O789">
        <v>1</v>
      </c>
      <c r="P789">
        <v>18000</v>
      </c>
      <c r="Q789">
        <v>10</v>
      </c>
      <c r="R789">
        <v>3.1</v>
      </c>
      <c r="S789" t="str">
        <f>_xlfn.XLOOKUP(Table1[[#This Row],[method]],Table7[method],Table7[id_method])</f>
        <v>PAY0711</v>
      </c>
      <c r="T789" t="s">
        <v>1238</v>
      </c>
      <c r="U789">
        <v>16200</v>
      </c>
    </row>
    <row r="790" spans="1:21" x14ac:dyDescent="0.25">
      <c r="A790" t="s">
        <v>802</v>
      </c>
      <c r="B790" t="str">
        <f>_xlfn.XLOOKUP(Table1[[#This Row],[date]],Table8[date],Table8[id_date])</f>
        <v>TGL0928</v>
      </c>
      <c r="C790" s="1">
        <v>45863</v>
      </c>
      <c r="D790" s="1" t="str">
        <f>_xlfn.XLOOKUP(Table1[[#This Row],[customer_name]],Table11[customer_name],Table11[id_cust])</f>
        <v>CNA0292</v>
      </c>
      <c r="E790" t="s">
        <v>1146</v>
      </c>
      <c r="F790">
        <v>18</v>
      </c>
      <c r="G790" t="str">
        <f>_xlfn.XLOOKUP(Table1[[#This Row],[branch_name]],Table3[branch_name],Table3[id_branch])</f>
        <v>BRCH001</v>
      </c>
      <c r="H790" t="s">
        <v>1213</v>
      </c>
      <c r="I790" t="str">
        <f>_xlfn.XLOOKUP(Table1[[#This Row],[city]],Table4[city],Table4[id_city])</f>
        <v>KOA0102</v>
      </c>
      <c r="J790" t="s">
        <v>1218</v>
      </c>
      <c r="K790" t="str">
        <f>_xlfn.XLOOKUP(Table1[[#This Row],[menu_name]],Table5[menu_name],Table5[id_menu])</f>
        <v>MENU004</v>
      </c>
      <c r="L790" t="s">
        <v>1226</v>
      </c>
      <c r="M790" t="str">
        <f>_xlfn.XLOOKUP(Table1[[#This Row],[category]],Table6[category],Table6[id_category])</f>
        <v>KTG0207</v>
      </c>
      <c r="N790" t="s">
        <v>1235</v>
      </c>
      <c r="O790">
        <v>3</v>
      </c>
      <c r="P790">
        <v>28000</v>
      </c>
      <c r="Q790">
        <v>15</v>
      </c>
      <c r="R790">
        <v>1.9</v>
      </c>
      <c r="S790" t="str">
        <f>_xlfn.XLOOKUP(Table1[[#This Row],[method]],Table7[method],Table7[id_method])</f>
        <v>PAY0712</v>
      </c>
      <c r="T790" t="s">
        <v>1239</v>
      </c>
      <c r="U790">
        <v>71400</v>
      </c>
    </row>
    <row r="791" spans="1:21" x14ac:dyDescent="0.25">
      <c r="A791" t="s">
        <v>803</v>
      </c>
      <c r="B791" t="str">
        <f>_xlfn.XLOOKUP(Table1[[#This Row],[date]],Table8[date],Table8[id_date])</f>
        <v>TGL0929</v>
      </c>
      <c r="C791" s="1">
        <v>45864</v>
      </c>
      <c r="D791" s="1" t="str">
        <f>_xlfn.XLOOKUP(Table1[[#This Row],[customer_name]],Table11[customer_name],Table11[id_cust])</f>
        <v>CNA0192</v>
      </c>
      <c r="E791" t="s">
        <v>1092</v>
      </c>
      <c r="F791">
        <v>20</v>
      </c>
      <c r="G791" t="str">
        <f>_xlfn.XLOOKUP(Table1[[#This Row],[branch_name]],Table3[branch_name],Table3[id_branch])</f>
        <v>BRCH002</v>
      </c>
      <c r="H791" t="s">
        <v>1214</v>
      </c>
      <c r="I791" t="str">
        <f>_xlfn.XLOOKUP(Table1[[#This Row],[city]],Table4[city],Table4[id_city])</f>
        <v>KOA0103</v>
      </c>
      <c r="J791" t="s">
        <v>1219</v>
      </c>
      <c r="K791" t="str">
        <f>_xlfn.XLOOKUP(Table1[[#This Row],[menu_name]],Table5[menu_name],Table5[id_menu])</f>
        <v>MENU007</v>
      </c>
      <c r="L791" t="s">
        <v>1229</v>
      </c>
      <c r="M791" t="str">
        <f>_xlfn.XLOOKUP(Table1[[#This Row],[category]],Table6[category],Table6[id_category])</f>
        <v>KTG0207</v>
      </c>
      <c r="N791" t="s">
        <v>1235</v>
      </c>
      <c r="O791">
        <v>1</v>
      </c>
      <c r="P791">
        <v>27000</v>
      </c>
      <c r="Q791">
        <v>20</v>
      </c>
      <c r="R791">
        <v>3.1</v>
      </c>
      <c r="S791" t="str">
        <f>_xlfn.XLOOKUP(Table1[[#This Row],[method]],Table7[method],Table7[id_method])</f>
        <v>PAY0709</v>
      </c>
      <c r="T791" t="s">
        <v>1236</v>
      </c>
      <c r="U791">
        <v>21600</v>
      </c>
    </row>
    <row r="792" spans="1:21" x14ac:dyDescent="0.25">
      <c r="A792" t="s">
        <v>804</v>
      </c>
      <c r="B792" t="str">
        <f>_xlfn.XLOOKUP(Table1[[#This Row],[date]],Table8[date],Table8[id_date])</f>
        <v>TGL0930</v>
      </c>
      <c r="C792" s="1">
        <v>45865</v>
      </c>
      <c r="D792" s="1" t="str">
        <f>_xlfn.XLOOKUP(Table1[[#This Row],[customer_name]],Table11[customer_name],Table11[id_cust])</f>
        <v>CNA0164</v>
      </c>
      <c r="E792" t="s">
        <v>1069</v>
      </c>
      <c r="F792">
        <v>48</v>
      </c>
      <c r="G792" t="str">
        <f>_xlfn.XLOOKUP(Table1[[#This Row],[branch_name]],Table3[branch_name],Table3[id_branch])</f>
        <v>BRCH002</v>
      </c>
      <c r="H792" t="s">
        <v>1214</v>
      </c>
      <c r="I792" t="str">
        <f>_xlfn.XLOOKUP(Table1[[#This Row],[city]],Table4[city],Table4[id_city])</f>
        <v>KOA0103</v>
      </c>
      <c r="J792" t="s">
        <v>1219</v>
      </c>
      <c r="K792" t="str">
        <f>_xlfn.XLOOKUP(Table1[[#This Row],[menu_name]],Table5[menu_name],Table5[id_menu])</f>
        <v>MENU008</v>
      </c>
      <c r="L792" t="s">
        <v>1230</v>
      </c>
      <c r="M792" t="str">
        <f>_xlfn.XLOOKUP(Table1[[#This Row],[category]],Table6[category],Table6[id_category])</f>
        <v>KTG0205</v>
      </c>
      <c r="N792" t="s">
        <v>1233</v>
      </c>
      <c r="O792">
        <v>1</v>
      </c>
      <c r="P792">
        <v>20000</v>
      </c>
      <c r="Q792">
        <v>20</v>
      </c>
      <c r="R792">
        <v>1.7</v>
      </c>
      <c r="S792" t="str">
        <f>_xlfn.XLOOKUP(Table1[[#This Row],[method]],Table7[method],Table7[id_method])</f>
        <v>PAY0710</v>
      </c>
      <c r="T792" t="s">
        <v>1237</v>
      </c>
      <c r="U792">
        <v>16000</v>
      </c>
    </row>
    <row r="793" spans="1:21" x14ac:dyDescent="0.25">
      <c r="A793" t="s">
        <v>805</v>
      </c>
      <c r="B793" t="str">
        <f>_xlfn.XLOOKUP(Table1[[#This Row],[date]],Table8[date],Table8[id_date])</f>
        <v>TGL0930</v>
      </c>
      <c r="C793" s="1">
        <v>45865</v>
      </c>
      <c r="D793" s="1" t="str">
        <f>_xlfn.XLOOKUP(Table1[[#This Row],[customer_name]],Table11[customer_name],Table11[id_cust])</f>
        <v>CNA0468</v>
      </c>
      <c r="E793" t="s">
        <v>1182</v>
      </c>
      <c r="F793">
        <v>40</v>
      </c>
      <c r="G793" t="str">
        <f>_xlfn.XLOOKUP(Table1[[#This Row],[branch_name]],Table3[branch_name],Table3[id_branch])</f>
        <v>BRCH005</v>
      </c>
      <c r="H793" t="s">
        <v>1217</v>
      </c>
      <c r="I793" t="str">
        <f>_xlfn.XLOOKUP(Table1[[#This Row],[city]],Table4[city],Table4[id_city])</f>
        <v>KOA0106</v>
      </c>
      <c r="J793" t="s">
        <v>1222</v>
      </c>
      <c r="K793" t="str">
        <f>_xlfn.XLOOKUP(Table1[[#This Row],[menu_name]],Table5[menu_name],Table5[id_menu])</f>
        <v>MENU002</v>
      </c>
      <c r="L793" t="s">
        <v>1224</v>
      </c>
      <c r="M793" t="str">
        <f>_xlfn.XLOOKUP(Table1[[#This Row],[category]],Table6[category],Table6[id_category])</f>
        <v>KTG0206</v>
      </c>
      <c r="N793" t="s">
        <v>1234</v>
      </c>
      <c r="O793">
        <v>4</v>
      </c>
      <c r="P793">
        <v>30000</v>
      </c>
      <c r="Q793">
        <v>10</v>
      </c>
      <c r="R793">
        <v>1.8</v>
      </c>
      <c r="S793" t="str">
        <f>_xlfn.XLOOKUP(Table1[[#This Row],[method]],Table7[method],Table7[id_method])</f>
        <v>PAY0709</v>
      </c>
      <c r="T793" t="s">
        <v>1236</v>
      </c>
      <c r="U793">
        <v>108000</v>
      </c>
    </row>
    <row r="794" spans="1:21" x14ac:dyDescent="0.25">
      <c r="A794" t="s">
        <v>806</v>
      </c>
      <c r="B794" t="str">
        <f>_xlfn.XLOOKUP(Table1[[#This Row],[date]],Table8[date],Table8[id_date])</f>
        <v>TGL0931</v>
      </c>
      <c r="C794" s="1">
        <v>45866</v>
      </c>
      <c r="D794" s="1" t="str">
        <f>_xlfn.XLOOKUP(Table1[[#This Row],[customer_name]],Table11[customer_name],Table11[id_cust])</f>
        <v>CNA0207</v>
      </c>
      <c r="E794" t="s">
        <v>1101</v>
      </c>
      <c r="F794">
        <v>50</v>
      </c>
      <c r="G794" t="str">
        <f>_xlfn.XLOOKUP(Table1[[#This Row],[branch_name]],Table3[branch_name],Table3[id_branch])</f>
        <v>BRCH001</v>
      </c>
      <c r="H794" t="s">
        <v>1213</v>
      </c>
      <c r="I794" t="str">
        <f>_xlfn.XLOOKUP(Table1[[#This Row],[city]],Table4[city],Table4[id_city])</f>
        <v>KOA0102</v>
      </c>
      <c r="J794" t="s">
        <v>1218</v>
      </c>
      <c r="K794" t="str">
        <f>_xlfn.XLOOKUP(Table1[[#This Row],[menu_name]],Table5[menu_name],Table5[id_menu])</f>
        <v>MENU010</v>
      </c>
      <c r="L794" t="s">
        <v>1232</v>
      </c>
      <c r="M794" t="str">
        <f>_xlfn.XLOOKUP(Table1[[#This Row],[category]],Table6[category],Table6[id_category])</f>
        <v>KTG0205</v>
      </c>
      <c r="N794" t="s">
        <v>1233</v>
      </c>
      <c r="O794">
        <v>4</v>
      </c>
      <c r="P794">
        <v>18000</v>
      </c>
      <c r="Q794">
        <v>10</v>
      </c>
      <c r="R794">
        <v>1.7</v>
      </c>
      <c r="S794" t="str">
        <f>_xlfn.XLOOKUP(Table1[[#This Row],[method]],Table7[method],Table7[id_method])</f>
        <v>PAY0712</v>
      </c>
      <c r="T794" t="s">
        <v>1239</v>
      </c>
      <c r="U794">
        <v>64800</v>
      </c>
    </row>
    <row r="795" spans="1:21" x14ac:dyDescent="0.25">
      <c r="A795" t="s">
        <v>807</v>
      </c>
      <c r="B795" t="str">
        <f>_xlfn.XLOOKUP(Table1[[#This Row],[date]],Table8[date],Table8[id_date])</f>
        <v>TGL0931</v>
      </c>
      <c r="C795" s="1">
        <v>45866</v>
      </c>
      <c r="D795" s="1" t="str">
        <f>_xlfn.XLOOKUP(Table1[[#This Row],[customer_name]],Table11[customer_name],Table11[id_cust])</f>
        <v>CNA0140</v>
      </c>
      <c r="E795" t="s">
        <v>1051</v>
      </c>
      <c r="F795">
        <v>43</v>
      </c>
      <c r="G795" t="str">
        <f>_xlfn.XLOOKUP(Table1[[#This Row],[branch_name]],Table3[branch_name],Table3[id_branch])</f>
        <v>BRCH003</v>
      </c>
      <c r="H795" t="s">
        <v>1215</v>
      </c>
      <c r="I795" t="str">
        <f>_xlfn.XLOOKUP(Table1[[#This Row],[city]],Table4[city],Table4[id_city])</f>
        <v>KOA0104</v>
      </c>
      <c r="J795" t="s">
        <v>1220</v>
      </c>
      <c r="K795" t="str">
        <f>_xlfn.XLOOKUP(Table1[[#This Row],[menu_name]],Table5[menu_name],Table5[id_menu])</f>
        <v>MENU009</v>
      </c>
      <c r="L795" t="s">
        <v>1231</v>
      </c>
      <c r="M795" t="str">
        <f>_xlfn.XLOOKUP(Table1[[#This Row],[category]],Table6[category],Table6[id_category])</f>
        <v>KTG0206</v>
      </c>
      <c r="N795" t="s">
        <v>1234</v>
      </c>
      <c r="O795">
        <v>2</v>
      </c>
      <c r="P795">
        <v>18000</v>
      </c>
      <c r="Q795">
        <v>0</v>
      </c>
      <c r="R795">
        <v>4.5</v>
      </c>
      <c r="S795" t="str">
        <f>_xlfn.XLOOKUP(Table1[[#This Row],[method]],Table7[method],Table7[id_method])</f>
        <v>PAY0712</v>
      </c>
      <c r="T795" t="s">
        <v>1239</v>
      </c>
      <c r="U795">
        <v>36000</v>
      </c>
    </row>
    <row r="796" spans="1:21" x14ac:dyDescent="0.25">
      <c r="A796" t="s">
        <v>808</v>
      </c>
      <c r="B796" t="str">
        <f>_xlfn.XLOOKUP(Table1[[#This Row],[date]],Table8[date],Table8[id_date])</f>
        <v>TGL0931</v>
      </c>
      <c r="C796" s="1">
        <v>45866</v>
      </c>
      <c r="D796" s="1" t="str">
        <f>_xlfn.XLOOKUP(Table1[[#This Row],[customer_name]],Table11[customer_name],Table11[id_cust])</f>
        <v>CNA0885</v>
      </c>
      <c r="E796" t="s">
        <v>1209</v>
      </c>
      <c r="F796">
        <v>26</v>
      </c>
      <c r="G796" t="str">
        <f>_xlfn.XLOOKUP(Table1[[#This Row],[branch_name]],Table3[branch_name],Table3[id_branch])</f>
        <v>BRCH004</v>
      </c>
      <c r="H796" t="s">
        <v>1216</v>
      </c>
      <c r="I796" t="str">
        <f>_xlfn.XLOOKUP(Table1[[#This Row],[city]],Table4[city],Table4[id_city])</f>
        <v>KOA0105</v>
      </c>
      <c r="J796" t="s">
        <v>1221</v>
      </c>
      <c r="K796" t="str">
        <f>_xlfn.XLOOKUP(Table1[[#This Row],[menu_name]],Table5[menu_name],Table5[id_menu])</f>
        <v>MENU001</v>
      </c>
      <c r="L796" t="s">
        <v>1223</v>
      </c>
      <c r="M796" t="str">
        <f>_xlfn.XLOOKUP(Table1[[#This Row],[category]],Table6[category],Table6[id_category])</f>
        <v>KTG0205</v>
      </c>
      <c r="N796" t="s">
        <v>1233</v>
      </c>
      <c r="O796">
        <v>3</v>
      </c>
      <c r="P796">
        <v>25000</v>
      </c>
      <c r="Q796">
        <v>20</v>
      </c>
      <c r="R796">
        <v>1.3</v>
      </c>
      <c r="S796" t="str">
        <f>_xlfn.XLOOKUP(Table1[[#This Row],[method]],Table7[method],Table7[id_method])</f>
        <v>PAY0712</v>
      </c>
      <c r="T796" t="s">
        <v>1239</v>
      </c>
      <c r="U796">
        <v>60000</v>
      </c>
    </row>
    <row r="797" spans="1:21" x14ac:dyDescent="0.25">
      <c r="A797" t="s">
        <v>809</v>
      </c>
      <c r="B797" t="str">
        <f>_xlfn.XLOOKUP(Table1[[#This Row],[date]],Table8[date],Table8[id_date])</f>
        <v>TGL0932</v>
      </c>
      <c r="C797" s="1">
        <v>45868</v>
      </c>
      <c r="D797" s="1" t="str">
        <f>_xlfn.XLOOKUP(Table1[[#This Row],[customer_name]],Table11[customer_name],Table11[id_cust])</f>
        <v>CNA0202</v>
      </c>
      <c r="E797" t="s">
        <v>1097</v>
      </c>
      <c r="F797">
        <v>53</v>
      </c>
      <c r="G797" t="str">
        <f>_xlfn.XLOOKUP(Table1[[#This Row],[branch_name]],Table3[branch_name],Table3[id_branch])</f>
        <v>BRCH003</v>
      </c>
      <c r="H797" t="s">
        <v>1215</v>
      </c>
      <c r="I797" t="str">
        <f>_xlfn.XLOOKUP(Table1[[#This Row],[city]],Table4[city],Table4[id_city])</f>
        <v>KOA0104</v>
      </c>
      <c r="J797" t="s">
        <v>1220</v>
      </c>
      <c r="K797" t="str">
        <f>_xlfn.XLOOKUP(Table1[[#This Row],[menu_name]],Table5[menu_name],Table5[id_menu])</f>
        <v>MENU010</v>
      </c>
      <c r="L797" t="s">
        <v>1232</v>
      </c>
      <c r="M797" t="str">
        <f>_xlfn.XLOOKUP(Table1[[#This Row],[category]],Table6[category],Table6[id_category])</f>
        <v>KTG0205</v>
      </c>
      <c r="N797" t="s">
        <v>1233</v>
      </c>
      <c r="O797">
        <v>2</v>
      </c>
      <c r="P797">
        <v>18000</v>
      </c>
      <c r="Q797">
        <v>0</v>
      </c>
      <c r="R797">
        <v>2.5</v>
      </c>
      <c r="S797" t="str">
        <f>_xlfn.XLOOKUP(Table1[[#This Row],[method]],Table7[method],Table7[id_method])</f>
        <v>PAY0710</v>
      </c>
      <c r="T797" t="s">
        <v>1237</v>
      </c>
      <c r="U797">
        <v>36000</v>
      </c>
    </row>
    <row r="798" spans="1:21" x14ac:dyDescent="0.25">
      <c r="A798" t="s">
        <v>810</v>
      </c>
      <c r="B798" t="str">
        <f>_xlfn.XLOOKUP(Table1[[#This Row],[date]],Table8[date],Table8[id_date])</f>
        <v>TGL0933</v>
      </c>
      <c r="C798" s="1">
        <v>45869</v>
      </c>
      <c r="D798" s="1" t="str">
        <f>_xlfn.XLOOKUP(Table1[[#This Row],[customer_name]],Table11[customer_name],Table11[id_cust])</f>
        <v>CNA0112</v>
      </c>
      <c r="E798" t="s">
        <v>1025</v>
      </c>
      <c r="F798">
        <v>22</v>
      </c>
      <c r="G798" t="str">
        <f>_xlfn.XLOOKUP(Table1[[#This Row],[branch_name]],Table3[branch_name],Table3[id_branch])</f>
        <v>BRCH002</v>
      </c>
      <c r="H798" t="s">
        <v>1214</v>
      </c>
      <c r="I798" t="str">
        <f>_xlfn.XLOOKUP(Table1[[#This Row],[city]],Table4[city],Table4[id_city])</f>
        <v>KOA0103</v>
      </c>
      <c r="J798" t="s">
        <v>1219</v>
      </c>
      <c r="K798" t="str">
        <f>_xlfn.XLOOKUP(Table1[[#This Row],[menu_name]],Table5[menu_name],Table5[id_menu])</f>
        <v>MENU007</v>
      </c>
      <c r="L798" t="s">
        <v>1229</v>
      </c>
      <c r="M798" t="str">
        <f>_xlfn.XLOOKUP(Table1[[#This Row],[category]],Table6[category],Table6[id_category])</f>
        <v>KTG0207</v>
      </c>
      <c r="N798" t="s">
        <v>1235</v>
      </c>
      <c r="O798">
        <v>4</v>
      </c>
      <c r="P798">
        <v>27000</v>
      </c>
      <c r="Q798">
        <v>10</v>
      </c>
      <c r="R798">
        <v>3.2</v>
      </c>
      <c r="S798" t="str">
        <f>_xlfn.XLOOKUP(Table1[[#This Row],[method]],Table7[method],Table7[id_method])</f>
        <v>PAY0710</v>
      </c>
      <c r="T798" t="s">
        <v>1237</v>
      </c>
      <c r="U798">
        <v>97200</v>
      </c>
    </row>
    <row r="799" spans="1:21" x14ac:dyDescent="0.25">
      <c r="A799" t="s">
        <v>811</v>
      </c>
      <c r="B799" t="str">
        <f>_xlfn.XLOOKUP(Table1[[#This Row],[date]],Table8[date],Table8[id_date])</f>
        <v>TGL0934</v>
      </c>
      <c r="C799" s="1">
        <v>45870</v>
      </c>
      <c r="D799" s="1" t="str">
        <f>_xlfn.XLOOKUP(Table1[[#This Row],[customer_name]],Table11[customer_name],Table11[id_cust])</f>
        <v>CNA0224</v>
      </c>
      <c r="E799" t="s">
        <v>1111</v>
      </c>
      <c r="F799">
        <v>49</v>
      </c>
      <c r="G799" t="str">
        <f>_xlfn.XLOOKUP(Table1[[#This Row],[branch_name]],Table3[branch_name],Table3[id_branch])</f>
        <v>BRCH003</v>
      </c>
      <c r="H799" t="s">
        <v>1215</v>
      </c>
      <c r="I799" t="str">
        <f>_xlfn.XLOOKUP(Table1[[#This Row],[city]],Table4[city],Table4[id_city])</f>
        <v>KOA0104</v>
      </c>
      <c r="J799" t="s">
        <v>1220</v>
      </c>
      <c r="K799" t="str">
        <f>_xlfn.XLOOKUP(Table1[[#This Row],[menu_name]],Table5[menu_name],Table5[id_menu])</f>
        <v>MENU010</v>
      </c>
      <c r="L799" t="s">
        <v>1232</v>
      </c>
      <c r="M799" t="str">
        <f>_xlfn.XLOOKUP(Table1[[#This Row],[category]],Table6[category],Table6[id_category])</f>
        <v>KTG0205</v>
      </c>
      <c r="N799" t="s">
        <v>1233</v>
      </c>
      <c r="O799">
        <v>4</v>
      </c>
      <c r="P799">
        <v>18000</v>
      </c>
      <c r="Q799">
        <v>0</v>
      </c>
      <c r="R799">
        <v>1</v>
      </c>
      <c r="S799" t="str">
        <f>_xlfn.XLOOKUP(Table1[[#This Row],[method]],Table7[method],Table7[id_method])</f>
        <v>PAY0712</v>
      </c>
      <c r="T799" t="s">
        <v>1239</v>
      </c>
      <c r="U799">
        <v>72000</v>
      </c>
    </row>
    <row r="800" spans="1:21" x14ac:dyDescent="0.25">
      <c r="A800" t="s">
        <v>812</v>
      </c>
      <c r="B800" t="str">
        <f>_xlfn.XLOOKUP(Table1[[#This Row],[date]],Table8[date],Table8[id_date])</f>
        <v>TGL0934</v>
      </c>
      <c r="C800" s="1">
        <v>45870</v>
      </c>
      <c r="D800" s="1" t="str">
        <f>_xlfn.XLOOKUP(Table1[[#This Row],[customer_name]],Table11[customer_name],Table11[id_cust])</f>
        <v>CNA0232</v>
      </c>
      <c r="E800" t="s">
        <v>1116</v>
      </c>
      <c r="F800">
        <v>17</v>
      </c>
      <c r="G800" t="str">
        <f>_xlfn.XLOOKUP(Table1[[#This Row],[branch_name]],Table3[branch_name],Table3[id_branch])</f>
        <v>BRCH002</v>
      </c>
      <c r="H800" t="s">
        <v>1214</v>
      </c>
      <c r="I800" t="str">
        <f>_xlfn.XLOOKUP(Table1[[#This Row],[city]],Table4[city],Table4[id_city])</f>
        <v>KOA0103</v>
      </c>
      <c r="J800" t="s">
        <v>1219</v>
      </c>
      <c r="K800" t="str">
        <f>_xlfn.XLOOKUP(Table1[[#This Row],[menu_name]],Table5[menu_name],Table5[id_menu])</f>
        <v>MENU010</v>
      </c>
      <c r="L800" t="s">
        <v>1232</v>
      </c>
      <c r="M800" t="str">
        <f>_xlfn.XLOOKUP(Table1[[#This Row],[category]],Table6[category],Table6[id_category])</f>
        <v>KTG0205</v>
      </c>
      <c r="N800" t="s">
        <v>1233</v>
      </c>
      <c r="O800">
        <v>5</v>
      </c>
      <c r="P800">
        <v>18000</v>
      </c>
      <c r="Q800">
        <v>0</v>
      </c>
      <c r="R800">
        <v>4.9000000000000004</v>
      </c>
      <c r="S800" t="str">
        <f>_xlfn.XLOOKUP(Table1[[#This Row],[method]],Table7[method],Table7[id_method])</f>
        <v>PAY0711</v>
      </c>
      <c r="T800" t="s">
        <v>1238</v>
      </c>
      <c r="U800">
        <v>90000</v>
      </c>
    </row>
    <row r="801" spans="1:21" x14ac:dyDescent="0.25">
      <c r="A801" t="s">
        <v>813</v>
      </c>
      <c r="B801" t="str">
        <f>_xlfn.XLOOKUP(Table1[[#This Row],[date]],Table8[date],Table8[id_date])</f>
        <v>TGL0935</v>
      </c>
      <c r="C801" s="1">
        <v>45871</v>
      </c>
      <c r="D801" s="1" t="str">
        <f>_xlfn.XLOOKUP(Table1[[#This Row],[customer_name]],Table11[customer_name],Table11[id_cust])</f>
        <v>CNA0136</v>
      </c>
      <c r="E801" t="s">
        <v>1047</v>
      </c>
      <c r="F801">
        <v>31</v>
      </c>
      <c r="G801" t="str">
        <f>_xlfn.XLOOKUP(Table1[[#This Row],[branch_name]],Table3[branch_name],Table3[id_branch])</f>
        <v>BRCH001</v>
      </c>
      <c r="H801" t="s">
        <v>1213</v>
      </c>
      <c r="I801" t="str">
        <f>_xlfn.XLOOKUP(Table1[[#This Row],[city]],Table4[city],Table4[id_city])</f>
        <v>KOA0102</v>
      </c>
      <c r="J801" t="s">
        <v>1218</v>
      </c>
      <c r="K801" t="str">
        <f>_xlfn.XLOOKUP(Table1[[#This Row],[menu_name]],Table5[menu_name],Table5[id_menu])</f>
        <v>MENU002</v>
      </c>
      <c r="L801" t="s">
        <v>1224</v>
      </c>
      <c r="M801" t="str">
        <f>_xlfn.XLOOKUP(Table1[[#This Row],[category]],Table6[category],Table6[id_category])</f>
        <v>KTG0206</v>
      </c>
      <c r="N801" t="s">
        <v>1234</v>
      </c>
      <c r="O801">
        <v>4</v>
      </c>
      <c r="P801">
        <v>30000</v>
      </c>
      <c r="Q801">
        <v>0</v>
      </c>
      <c r="R801">
        <v>1.1000000000000001</v>
      </c>
      <c r="S801" t="str">
        <f>_xlfn.XLOOKUP(Table1[[#This Row],[method]],Table7[method],Table7[id_method])</f>
        <v>PAY0710</v>
      </c>
      <c r="T801" t="s">
        <v>1237</v>
      </c>
      <c r="U801">
        <v>120000</v>
      </c>
    </row>
    <row r="802" spans="1:21" x14ac:dyDescent="0.25">
      <c r="A802" t="s">
        <v>814</v>
      </c>
      <c r="B802" t="str">
        <f>_xlfn.XLOOKUP(Table1[[#This Row],[date]],Table8[date],Table8[id_date])</f>
        <v>TGL0935</v>
      </c>
      <c r="C802" s="1">
        <v>45871</v>
      </c>
      <c r="D802" s="1" t="str">
        <f>_xlfn.XLOOKUP(Table1[[#This Row],[customer_name]],Table11[customer_name],Table11[id_cust])</f>
        <v>CNA0280</v>
      </c>
      <c r="E802" t="s">
        <v>1140</v>
      </c>
      <c r="F802">
        <v>25</v>
      </c>
      <c r="G802" t="str">
        <f>_xlfn.XLOOKUP(Table1[[#This Row],[branch_name]],Table3[branch_name],Table3[id_branch])</f>
        <v>BRCH005</v>
      </c>
      <c r="H802" t="s">
        <v>1217</v>
      </c>
      <c r="I802" t="str">
        <f>_xlfn.XLOOKUP(Table1[[#This Row],[city]],Table4[city],Table4[id_city])</f>
        <v>KOA0106</v>
      </c>
      <c r="J802" t="s">
        <v>1222</v>
      </c>
      <c r="K802" t="str">
        <f>_xlfn.XLOOKUP(Table1[[#This Row],[menu_name]],Table5[menu_name],Table5[id_menu])</f>
        <v>MENU010</v>
      </c>
      <c r="L802" t="s">
        <v>1232</v>
      </c>
      <c r="M802" t="str">
        <f>_xlfn.XLOOKUP(Table1[[#This Row],[category]],Table6[category],Table6[id_category])</f>
        <v>KTG0205</v>
      </c>
      <c r="N802" t="s">
        <v>1233</v>
      </c>
      <c r="O802">
        <v>1</v>
      </c>
      <c r="P802">
        <v>18000</v>
      </c>
      <c r="Q802">
        <v>20</v>
      </c>
      <c r="R802">
        <v>2.2000000000000002</v>
      </c>
      <c r="S802" t="str">
        <f>_xlfn.XLOOKUP(Table1[[#This Row],[method]],Table7[method],Table7[id_method])</f>
        <v>PAY0710</v>
      </c>
      <c r="T802" t="s">
        <v>1237</v>
      </c>
      <c r="U802">
        <v>14400</v>
      </c>
    </row>
    <row r="803" spans="1:21" x14ac:dyDescent="0.25">
      <c r="A803" t="s">
        <v>815</v>
      </c>
      <c r="B803" t="str">
        <f>_xlfn.XLOOKUP(Table1[[#This Row],[date]],Table8[date],Table8[id_date])</f>
        <v>TGL0936</v>
      </c>
      <c r="C803" s="1">
        <v>45872</v>
      </c>
      <c r="D803" s="1" t="str">
        <f>_xlfn.XLOOKUP(Table1[[#This Row],[customer_name]],Table11[customer_name],Table11[id_cust])</f>
        <v>CNA0185</v>
      </c>
      <c r="E803" t="s">
        <v>1087</v>
      </c>
      <c r="F803">
        <v>22</v>
      </c>
      <c r="G803" t="str">
        <f>_xlfn.XLOOKUP(Table1[[#This Row],[branch_name]],Table3[branch_name],Table3[id_branch])</f>
        <v>BRCH003</v>
      </c>
      <c r="H803" t="s">
        <v>1215</v>
      </c>
      <c r="I803" t="str">
        <f>_xlfn.XLOOKUP(Table1[[#This Row],[city]],Table4[city],Table4[id_city])</f>
        <v>KOA0104</v>
      </c>
      <c r="J803" t="s">
        <v>1220</v>
      </c>
      <c r="K803" t="str">
        <f>_xlfn.XLOOKUP(Table1[[#This Row],[menu_name]],Table5[menu_name],Table5[id_menu])</f>
        <v>MENU009</v>
      </c>
      <c r="L803" t="s">
        <v>1231</v>
      </c>
      <c r="M803" t="str">
        <f>_xlfn.XLOOKUP(Table1[[#This Row],[category]],Table6[category],Table6[id_category])</f>
        <v>KTG0206</v>
      </c>
      <c r="N803" t="s">
        <v>1234</v>
      </c>
      <c r="O803">
        <v>2</v>
      </c>
      <c r="P803">
        <v>18000</v>
      </c>
      <c r="Q803">
        <v>0</v>
      </c>
      <c r="R803">
        <v>2.2999999999999998</v>
      </c>
      <c r="S803" t="str">
        <f>_xlfn.XLOOKUP(Table1[[#This Row],[method]],Table7[method],Table7[id_method])</f>
        <v>PAY0710</v>
      </c>
      <c r="T803" t="s">
        <v>1237</v>
      </c>
      <c r="U803">
        <v>36000</v>
      </c>
    </row>
    <row r="804" spans="1:21" x14ac:dyDescent="0.25">
      <c r="A804" t="s">
        <v>816</v>
      </c>
      <c r="B804" t="str">
        <f>_xlfn.XLOOKUP(Table1[[#This Row],[date]],Table8[date],Table8[id_date])</f>
        <v>TGL0936</v>
      </c>
      <c r="C804" s="1">
        <v>45872</v>
      </c>
      <c r="D804" s="1" t="str">
        <f>_xlfn.XLOOKUP(Table1[[#This Row],[customer_name]],Table11[customer_name],Table11[id_cust])</f>
        <v>CNA0173</v>
      </c>
      <c r="E804" t="s">
        <v>1078</v>
      </c>
      <c r="F804">
        <v>35</v>
      </c>
      <c r="G804" t="str">
        <f>_xlfn.XLOOKUP(Table1[[#This Row],[branch_name]],Table3[branch_name],Table3[id_branch])</f>
        <v>BRCH003</v>
      </c>
      <c r="H804" t="s">
        <v>1215</v>
      </c>
      <c r="I804" t="str">
        <f>_xlfn.XLOOKUP(Table1[[#This Row],[city]],Table4[city],Table4[id_city])</f>
        <v>KOA0104</v>
      </c>
      <c r="J804" t="s">
        <v>1220</v>
      </c>
      <c r="K804" t="str">
        <f>_xlfn.XLOOKUP(Table1[[#This Row],[menu_name]],Table5[menu_name],Table5[id_menu])</f>
        <v>MENU005</v>
      </c>
      <c r="L804" t="s">
        <v>1227</v>
      </c>
      <c r="M804" t="str">
        <f>_xlfn.XLOOKUP(Table1[[#This Row],[category]],Table6[category],Table6[id_category])</f>
        <v>KTG0206</v>
      </c>
      <c r="N804" t="s">
        <v>1234</v>
      </c>
      <c r="O804">
        <v>3</v>
      </c>
      <c r="P804">
        <v>23000</v>
      </c>
      <c r="Q804">
        <v>0</v>
      </c>
      <c r="R804">
        <v>3.1</v>
      </c>
      <c r="S804" t="str">
        <f>_xlfn.XLOOKUP(Table1[[#This Row],[method]],Table7[method],Table7[id_method])</f>
        <v>PAY0712</v>
      </c>
      <c r="T804" t="s">
        <v>1239</v>
      </c>
      <c r="U804">
        <v>69000</v>
      </c>
    </row>
    <row r="805" spans="1:21" x14ac:dyDescent="0.25">
      <c r="A805" t="s">
        <v>817</v>
      </c>
      <c r="B805" t="str">
        <f>_xlfn.XLOOKUP(Table1[[#This Row],[date]],Table8[date],Table8[id_date])</f>
        <v>TGL0937</v>
      </c>
      <c r="C805" s="1">
        <v>45873</v>
      </c>
      <c r="D805" s="1" t="str">
        <f>_xlfn.XLOOKUP(Table1[[#This Row],[customer_name]],Table11[customer_name],Table11[id_cust])</f>
        <v>CNA0904</v>
      </c>
      <c r="E805" t="s">
        <v>1210</v>
      </c>
      <c r="F805">
        <v>46</v>
      </c>
      <c r="G805" t="str">
        <f>_xlfn.XLOOKUP(Table1[[#This Row],[branch_name]],Table3[branch_name],Table3[id_branch])</f>
        <v>BRCH002</v>
      </c>
      <c r="H805" t="s">
        <v>1214</v>
      </c>
      <c r="I805" t="str">
        <f>_xlfn.XLOOKUP(Table1[[#This Row],[city]],Table4[city],Table4[id_city])</f>
        <v>KOA0103</v>
      </c>
      <c r="J805" t="s">
        <v>1219</v>
      </c>
      <c r="K805" t="str">
        <f>_xlfn.XLOOKUP(Table1[[#This Row],[menu_name]],Table5[menu_name],Table5[id_menu])</f>
        <v>MENU003</v>
      </c>
      <c r="L805" t="s">
        <v>1225</v>
      </c>
      <c r="M805" t="str">
        <f>_xlfn.XLOOKUP(Table1[[#This Row],[category]],Table6[category],Table6[id_category])</f>
        <v>KTG0205</v>
      </c>
      <c r="N805" t="s">
        <v>1233</v>
      </c>
      <c r="O805">
        <v>4</v>
      </c>
      <c r="P805">
        <v>22000</v>
      </c>
      <c r="Q805">
        <v>0</v>
      </c>
      <c r="R805">
        <v>4.5999999999999996</v>
      </c>
      <c r="S805" t="str">
        <f>_xlfn.XLOOKUP(Table1[[#This Row],[method]],Table7[method],Table7[id_method])</f>
        <v>PAY0709</v>
      </c>
      <c r="T805" t="s">
        <v>1236</v>
      </c>
      <c r="U805">
        <v>88000</v>
      </c>
    </row>
    <row r="806" spans="1:21" x14ac:dyDescent="0.25">
      <c r="A806" t="s">
        <v>818</v>
      </c>
      <c r="B806" t="str">
        <f>_xlfn.XLOOKUP(Table1[[#This Row],[date]],Table8[date],Table8[id_date])</f>
        <v>TGL0938</v>
      </c>
      <c r="C806" s="1">
        <v>45878</v>
      </c>
      <c r="D806" s="1" t="str">
        <f>_xlfn.XLOOKUP(Table1[[#This Row],[customer_name]],Table11[customer_name],Table11[id_cust])</f>
        <v>CNA0202</v>
      </c>
      <c r="E806" t="s">
        <v>1097</v>
      </c>
      <c r="F806">
        <v>53</v>
      </c>
      <c r="G806" t="str">
        <f>_xlfn.XLOOKUP(Table1[[#This Row],[branch_name]],Table3[branch_name],Table3[id_branch])</f>
        <v>BRCH001</v>
      </c>
      <c r="H806" t="s">
        <v>1213</v>
      </c>
      <c r="I806" t="str">
        <f>_xlfn.XLOOKUP(Table1[[#This Row],[city]],Table4[city],Table4[id_city])</f>
        <v>KOA0102</v>
      </c>
      <c r="J806" t="s">
        <v>1218</v>
      </c>
      <c r="K806" t="str">
        <f>_xlfn.XLOOKUP(Table1[[#This Row],[menu_name]],Table5[menu_name],Table5[id_menu])</f>
        <v>MENU001</v>
      </c>
      <c r="L806" t="s">
        <v>1223</v>
      </c>
      <c r="M806" t="str">
        <f>_xlfn.XLOOKUP(Table1[[#This Row],[category]],Table6[category],Table6[id_category])</f>
        <v>KTG0205</v>
      </c>
      <c r="N806" t="s">
        <v>1233</v>
      </c>
      <c r="O806">
        <v>3</v>
      </c>
      <c r="P806">
        <v>25000</v>
      </c>
      <c r="Q806">
        <v>5</v>
      </c>
      <c r="R806">
        <v>1.8</v>
      </c>
      <c r="S806" t="str">
        <f>_xlfn.XLOOKUP(Table1[[#This Row],[method]],Table7[method],Table7[id_method])</f>
        <v>PAY0709</v>
      </c>
      <c r="T806" t="s">
        <v>1236</v>
      </c>
      <c r="U806">
        <v>71250</v>
      </c>
    </row>
    <row r="807" spans="1:21" x14ac:dyDescent="0.25">
      <c r="A807" t="s">
        <v>819</v>
      </c>
      <c r="B807" t="str">
        <f>_xlfn.XLOOKUP(Table1[[#This Row],[date]],Table8[date],Table8[id_date])</f>
        <v>TGL0939</v>
      </c>
      <c r="C807" s="1">
        <v>45879</v>
      </c>
      <c r="D807" s="1" t="str">
        <f>_xlfn.XLOOKUP(Table1[[#This Row],[customer_name]],Table11[customer_name],Table11[id_cust])</f>
        <v>CNA0146</v>
      </c>
      <c r="E807" t="s">
        <v>1055</v>
      </c>
      <c r="F807">
        <v>37</v>
      </c>
      <c r="G807" t="str">
        <f>_xlfn.XLOOKUP(Table1[[#This Row],[branch_name]],Table3[branch_name],Table3[id_branch])</f>
        <v>BRCH001</v>
      </c>
      <c r="H807" t="s">
        <v>1213</v>
      </c>
      <c r="I807" t="str">
        <f>_xlfn.XLOOKUP(Table1[[#This Row],[city]],Table4[city],Table4[id_city])</f>
        <v>KOA0102</v>
      </c>
      <c r="J807" t="s">
        <v>1218</v>
      </c>
      <c r="K807" t="str">
        <f>_xlfn.XLOOKUP(Table1[[#This Row],[menu_name]],Table5[menu_name],Table5[id_menu])</f>
        <v>MENU003</v>
      </c>
      <c r="L807" t="s">
        <v>1225</v>
      </c>
      <c r="M807" t="str">
        <f>_xlfn.XLOOKUP(Table1[[#This Row],[category]],Table6[category],Table6[id_category])</f>
        <v>KTG0205</v>
      </c>
      <c r="N807" t="s">
        <v>1233</v>
      </c>
      <c r="O807">
        <v>5</v>
      </c>
      <c r="P807">
        <v>22000</v>
      </c>
      <c r="Q807">
        <v>0</v>
      </c>
      <c r="R807">
        <v>1.3</v>
      </c>
      <c r="S807" t="str">
        <f>_xlfn.XLOOKUP(Table1[[#This Row],[method]],Table7[method],Table7[id_method])</f>
        <v>PAY0710</v>
      </c>
      <c r="T807" t="s">
        <v>1237</v>
      </c>
      <c r="U807">
        <v>110000</v>
      </c>
    </row>
    <row r="808" spans="1:21" x14ac:dyDescent="0.25">
      <c r="A808" t="s">
        <v>820</v>
      </c>
      <c r="B808" t="str">
        <f>_xlfn.XLOOKUP(Table1[[#This Row],[date]],Table8[date],Table8[id_date])</f>
        <v>TGL0939</v>
      </c>
      <c r="C808" s="1">
        <v>45879</v>
      </c>
      <c r="D808" s="1" t="str">
        <f>_xlfn.XLOOKUP(Table1[[#This Row],[customer_name]],Table11[customer_name],Table11[id_cust])</f>
        <v>CNA0187</v>
      </c>
      <c r="E808" t="s">
        <v>1089</v>
      </c>
      <c r="F808">
        <v>49</v>
      </c>
      <c r="G808" t="str">
        <f>_xlfn.XLOOKUP(Table1[[#This Row],[branch_name]],Table3[branch_name],Table3[id_branch])</f>
        <v>BRCH003</v>
      </c>
      <c r="H808" t="s">
        <v>1215</v>
      </c>
      <c r="I808" t="str">
        <f>_xlfn.XLOOKUP(Table1[[#This Row],[city]],Table4[city],Table4[id_city])</f>
        <v>KOA0104</v>
      </c>
      <c r="J808" t="s">
        <v>1220</v>
      </c>
      <c r="K808" t="str">
        <f>_xlfn.XLOOKUP(Table1[[#This Row],[menu_name]],Table5[menu_name],Table5[id_menu])</f>
        <v>MENU003</v>
      </c>
      <c r="L808" t="s">
        <v>1225</v>
      </c>
      <c r="M808" t="str">
        <f>_xlfn.XLOOKUP(Table1[[#This Row],[category]],Table6[category],Table6[id_category])</f>
        <v>KTG0205</v>
      </c>
      <c r="N808" t="s">
        <v>1233</v>
      </c>
      <c r="O808">
        <v>4</v>
      </c>
      <c r="P808">
        <v>22000</v>
      </c>
      <c r="Q808">
        <v>0</v>
      </c>
      <c r="R808">
        <v>4.7</v>
      </c>
      <c r="S808" t="str">
        <f>_xlfn.XLOOKUP(Table1[[#This Row],[method]],Table7[method],Table7[id_method])</f>
        <v>PAY0712</v>
      </c>
      <c r="T808" t="s">
        <v>1239</v>
      </c>
      <c r="U808">
        <v>88000</v>
      </c>
    </row>
    <row r="809" spans="1:21" x14ac:dyDescent="0.25">
      <c r="A809" t="s">
        <v>821</v>
      </c>
      <c r="B809" t="str">
        <f>_xlfn.XLOOKUP(Table1[[#This Row],[date]],Table8[date],Table8[id_date])</f>
        <v>TGL0940</v>
      </c>
      <c r="C809" s="1">
        <v>45881</v>
      </c>
      <c r="D809" s="1" t="str">
        <f>_xlfn.XLOOKUP(Table1[[#This Row],[customer_name]],Table11[customer_name],Table11[id_cust])</f>
        <v>CNA0164</v>
      </c>
      <c r="E809" t="s">
        <v>1069</v>
      </c>
      <c r="F809">
        <v>48</v>
      </c>
      <c r="G809" t="str">
        <f>_xlfn.XLOOKUP(Table1[[#This Row],[branch_name]],Table3[branch_name],Table3[id_branch])</f>
        <v>BRCH003</v>
      </c>
      <c r="H809" t="s">
        <v>1215</v>
      </c>
      <c r="I809" t="str">
        <f>_xlfn.XLOOKUP(Table1[[#This Row],[city]],Table4[city],Table4[id_city])</f>
        <v>KOA0104</v>
      </c>
      <c r="J809" t="s">
        <v>1220</v>
      </c>
      <c r="K809" t="str">
        <f>_xlfn.XLOOKUP(Table1[[#This Row],[menu_name]],Table5[menu_name],Table5[id_menu])</f>
        <v>MENU009</v>
      </c>
      <c r="L809" t="s">
        <v>1231</v>
      </c>
      <c r="M809" t="str">
        <f>_xlfn.XLOOKUP(Table1[[#This Row],[category]],Table6[category],Table6[id_category])</f>
        <v>KTG0206</v>
      </c>
      <c r="N809" t="s">
        <v>1234</v>
      </c>
      <c r="O809">
        <v>2</v>
      </c>
      <c r="P809">
        <v>18000</v>
      </c>
      <c r="Q809">
        <v>20</v>
      </c>
      <c r="R809">
        <v>2.2000000000000002</v>
      </c>
      <c r="S809" t="str">
        <f>_xlfn.XLOOKUP(Table1[[#This Row],[method]],Table7[method],Table7[id_method])</f>
        <v>PAY0709</v>
      </c>
      <c r="T809" t="s">
        <v>1236</v>
      </c>
      <c r="U809">
        <v>28800</v>
      </c>
    </row>
    <row r="810" spans="1:21" x14ac:dyDescent="0.25">
      <c r="A810" t="s">
        <v>822</v>
      </c>
      <c r="B810" t="str">
        <f>_xlfn.XLOOKUP(Table1[[#This Row],[date]],Table8[date],Table8[id_date])</f>
        <v>TGL0941</v>
      </c>
      <c r="C810" s="1">
        <v>45885</v>
      </c>
      <c r="D810" s="1" t="str">
        <f>_xlfn.XLOOKUP(Table1[[#This Row],[customer_name]],Table11[customer_name],Table11[id_cust])</f>
        <v>CNA0169</v>
      </c>
      <c r="E810" t="s">
        <v>1074</v>
      </c>
      <c r="F810">
        <v>53</v>
      </c>
      <c r="G810" t="str">
        <f>_xlfn.XLOOKUP(Table1[[#This Row],[branch_name]],Table3[branch_name],Table3[id_branch])</f>
        <v>BRCH004</v>
      </c>
      <c r="H810" t="s">
        <v>1216</v>
      </c>
      <c r="I810" t="str">
        <f>_xlfn.XLOOKUP(Table1[[#This Row],[city]],Table4[city],Table4[id_city])</f>
        <v>KOA0105</v>
      </c>
      <c r="J810" t="s">
        <v>1221</v>
      </c>
      <c r="K810" t="str">
        <f>_xlfn.XLOOKUP(Table1[[#This Row],[menu_name]],Table5[menu_name],Table5[id_menu])</f>
        <v>MENU002</v>
      </c>
      <c r="L810" t="s">
        <v>1224</v>
      </c>
      <c r="M810" t="str">
        <f>_xlfn.XLOOKUP(Table1[[#This Row],[category]],Table6[category],Table6[id_category])</f>
        <v>KTG0206</v>
      </c>
      <c r="N810" t="s">
        <v>1234</v>
      </c>
      <c r="O810">
        <v>4</v>
      </c>
      <c r="P810">
        <v>30000</v>
      </c>
      <c r="Q810">
        <v>20</v>
      </c>
      <c r="R810">
        <v>2.5</v>
      </c>
      <c r="S810" t="str">
        <f>_xlfn.XLOOKUP(Table1[[#This Row],[method]],Table7[method],Table7[id_method])</f>
        <v>PAY0712</v>
      </c>
      <c r="T810" t="s">
        <v>1239</v>
      </c>
      <c r="U810">
        <v>96000</v>
      </c>
    </row>
    <row r="811" spans="1:21" x14ac:dyDescent="0.25">
      <c r="A811" t="s">
        <v>823</v>
      </c>
      <c r="B811" t="str">
        <f>_xlfn.XLOOKUP(Table1[[#This Row],[date]],Table8[date],Table8[id_date])</f>
        <v>TGL0942</v>
      </c>
      <c r="C811" s="1">
        <v>45886</v>
      </c>
      <c r="D811" s="1" t="str">
        <f>_xlfn.XLOOKUP(Table1[[#This Row],[customer_name]],Table11[customer_name],Table11[id_cust])</f>
        <v>CNA0127</v>
      </c>
      <c r="E811" t="s">
        <v>1039</v>
      </c>
      <c r="F811">
        <v>48</v>
      </c>
      <c r="G811" t="str">
        <f>_xlfn.XLOOKUP(Table1[[#This Row],[branch_name]],Table3[branch_name],Table3[id_branch])</f>
        <v>BRCH003</v>
      </c>
      <c r="H811" t="s">
        <v>1215</v>
      </c>
      <c r="I811" t="str">
        <f>_xlfn.XLOOKUP(Table1[[#This Row],[city]],Table4[city],Table4[id_city])</f>
        <v>KOA0104</v>
      </c>
      <c r="J811" t="s">
        <v>1220</v>
      </c>
      <c r="K811" t="str">
        <f>_xlfn.XLOOKUP(Table1[[#This Row],[menu_name]],Table5[menu_name],Table5[id_menu])</f>
        <v>MENU010</v>
      </c>
      <c r="L811" t="s">
        <v>1232</v>
      </c>
      <c r="M811" t="str">
        <f>_xlfn.XLOOKUP(Table1[[#This Row],[category]],Table6[category],Table6[id_category])</f>
        <v>KTG0205</v>
      </c>
      <c r="N811" t="s">
        <v>1233</v>
      </c>
      <c r="O811">
        <v>5</v>
      </c>
      <c r="P811">
        <v>18000</v>
      </c>
      <c r="Q811">
        <v>0</v>
      </c>
      <c r="R811">
        <v>4.8</v>
      </c>
      <c r="S811" t="str">
        <f>_xlfn.XLOOKUP(Table1[[#This Row],[method]],Table7[method],Table7[id_method])</f>
        <v>PAY0711</v>
      </c>
      <c r="T811" t="s">
        <v>1238</v>
      </c>
      <c r="U811">
        <v>90000</v>
      </c>
    </row>
    <row r="812" spans="1:21" x14ac:dyDescent="0.25">
      <c r="A812" t="s">
        <v>824</v>
      </c>
      <c r="B812" t="str">
        <f>_xlfn.XLOOKUP(Table1[[#This Row],[date]],Table8[date],Table8[id_date])</f>
        <v>TGL0943</v>
      </c>
      <c r="C812" s="1">
        <v>45887</v>
      </c>
      <c r="D812" s="1" t="str">
        <f>_xlfn.XLOOKUP(Table1[[#This Row],[customer_name]],Table11[customer_name],Table11[id_cust])</f>
        <v>CNA0212</v>
      </c>
      <c r="E812" t="s">
        <v>1104</v>
      </c>
      <c r="F812">
        <v>39</v>
      </c>
      <c r="G812" t="str">
        <f>_xlfn.XLOOKUP(Table1[[#This Row],[branch_name]],Table3[branch_name],Table3[id_branch])</f>
        <v>BRCH002</v>
      </c>
      <c r="H812" t="s">
        <v>1214</v>
      </c>
      <c r="I812" t="str">
        <f>_xlfn.XLOOKUP(Table1[[#This Row],[city]],Table4[city],Table4[id_city])</f>
        <v>KOA0103</v>
      </c>
      <c r="J812" t="s">
        <v>1219</v>
      </c>
      <c r="K812" t="str">
        <f>_xlfn.XLOOKUP(Table1[[#This Row],[menu_name]],Table5[menu_name],Table5[id_menu])</f>
        <v>MENU008</v>
      </c>
      <c r="L812" t="s">
        <v>1230</v>
      </c>
      <c r="M812" t="str">
        <f>_xlfn.XLOOKUP(Table1[[#This Row],[category]],Table6[category],Table6[id_category])</f>
        <v>KTG0205</v>
      </c>
      <c r="N812" t="s">
        <v>1233</v>
      </c>
      <c r="O812">
        <v>5</v>
      </c>
      <c r="P812">
        <v>20000</v>
      </c>
      <c r="Q812">
        <v>10</v>
      </c>
      <c r="R812">
        <v>1.7</v>
      </c>
      <c r="S812" t="str">
        <f>_xlfn.XLOOKUP(Table1[[#This Row],[method]],Table7[method],Table7[id_method])</f>
        <v>PAY0709</v>
      </c>
      <c r="T812" t="s">
        <v>1236</v>
      </c>
      <c r="U812">
        <v>90000</v>
      </c>
    </row>
    <row r="813" spans="1:21" x14ac:dyDescent="0.25">
      <c r="A813" t="s">
        <v>825</v>
      </c>
      <c r="B813" t="str">
        <f>_xlfn.XLOOKUP(Table1[[#This Row],[date]],Table8[date],Table8[id_date])</f>
        <v>TGL0943</v>
      </c>
      <c r="C813" s="1">
        <v>45887</v>
      </c>
      <c r="D813" s="1" t="str">
        <f>_xlfn.XLOOKUP(Table1[[#This Row],[customer_name]],Table11[customer_name],Table11[id_cust])</f>
        <v>CNA0410</v>
      </c>
      <c r="E813" t="s">
        <v>1174</v>
      </c>
      <c r="F813">
        <v>18</v>
      </c>
      <c r="G813" t="str">
        <f>_xlfn.XLOOKUP(Table1[[#This Row],[branch_name]],Table3[branch_name],Table3[id_branch])</f>
        <v>BRCH005</v>
      </c>
      <c r="H813" t="s">
        <v>1217</v>
      </c>
      <c r="I813" t="str">
        <f>_xlfn.XLOOKUP(Table1[[#This Row],[city]],Table4[city],Table4[id_city])</f>
        <v>KOA0106</v>
      </c>
      <c r="J813" t="s">
        <v>1222</v>
      </c>
      <c r="K813" t="str">
        <f>_xlfn.XLOOKUP(Table1[[#This Row],[menu_name]],Table5[menu_name],Table5[id_menu])</f>
        <v>MENU001</v>
      </c>
      <c r="L813" t="s">
        <v>1223</v>
      </c>
      <c r="M813" t="str">
        <f>_xlfn.XLOOKUP(Table1[[#This Row],[category]],Table6[category],Table6[id_category])</f>
        <v>KTG0205</v>
      </c>
      <c r="N813" t="s">
        <v>1233</v>
      </c>
      <c r="O813">
        <v>5</v>
      </c>
      <c r="P813">
        <v>25000</v>
      </c>
      <c r="Q813">
        <v>5</v>
      </c>
      <c r="R813">
        <v>3.7</v>
      </c>
      <c r="S813" t="str">
        <f>_xlfn.XLOOKUP(Table1[[#This Row],[method]],Table7[method],Table7[id_method])</f>
        <v>PAY0711</v>
      </c>
      <c r="T813" t="s">
        <v>1238</v>
      </c>
      <c r="U813">
        <v>118750</v>
      </c>
    </row>
    <row r="814" spans="1:21" x14ac:dyDescent="0.25">
      <c r="A814" t="s">
        <v>826</v>
      </c>
      <c r="B814" t="str">
        <f>_xlfn.XLOOKUP(Table1[[#This Row],[date]],Table8[date],Table8[id_date])</f>
        <v>TGL0944</v>
      </c>
      <c r="C814" s="1">
        <v>45889</v>
      </c>
      <c r="D814" s="1" t="str">
        <f>_xlfn.XLOOKUP(Table1[[#This Row],[customer_name]],Table11[customer_name],Table11[id_cust])</f>
        <v>CNA0164</v>
      </c>
      <c r="E814" t="s">
        <v>1069</v>
      </c>
      <c r="F814">
        <v>48</v>
      </c>
      <c r="G814" t="str">
        <f>_xlfn.XLOOKUP(Table1[[#This Row],[branch_name]],Table3[branch_name],Table3[id_branch])</f>
        <v>BRCH005</v>
      </c>
      <c r="H814" t="s">
        <v>1217</v>
      </c>
      <c r="I814" t="str">
        <f>_xlfn.XLOOKUP(Table1[[#This Row],[city]],Table4[city],Table4[id_city])</f>
        <v>KOA0106</v>
      </c>
      <c r="J814" t="s">
        <v>1222</v>
      </c>
      <c r="K814" t="str">
        <f>_xlfn.XLOOKUP(Table1[[#This Row],[menu_name]],Table5[menu_name],Table5[id_menu])</f>
        <v>MENU006</v>
      </c>
      <c r="L814" t="s">
        <v>1228</v>
      </c>
      <c r="M814" t="str">
        <f>_xlfn.XLOOKUP(Table1[[#This Row],[category]],Table6[category],Table6[id_category])</f>
        <v>KTG0206</v>
      </c>
      <c r="N814" t="s">
        <v>1234</v>
      </c>
      <c r="O814">
        <v>3</v>
      </c>
      <c r="P814">
        <v>32000</v>
      </c>
      <c r="Q814">
        <v>20</v>
      </c>
      <c r="R814">
        <v>2.7</v>
      </c>
      <c r="S814" t="str">
        <f>_xlfn.XLOOKUP(Table1[[#This Row],[method]],Table7[method],Table7[id_method])</f>
        <v>PAY0709</v>
      </c>
      <c r="T814" t="s">
        <v>1236</v>
      </c>
      <c r="U814">
        <v>76800</v>
      </c>
    </row>
    <row r="815" spans="1:21" x14ac:dyDescent="0.25">
      <c r="A815" t="s">
        <v>827</v>
      </c>
      <c r="B815" t="str">
        <f>_xlfn.XLOOKUP(Table1[[#This Row],[date]],Table8[date],Table8[id_date])</f>
        <v>TGL0945</v>
      </c>
      <c r="C815" s="1">
        <v>45892</v>
      </c>
      <c r="D815" s="1" t="str">
        <f>_xlfn.XLOOKUP(Table1[[#This Row],[customer_name]],Table11[customer_name],Table11[id_cust])</f>
        <v>CNA0513</v>
      </c>
      <c r="E815" t="s">
        <v>1187</v>
      </c>
      <c r="F815">
        <v>52</v>
      </c>
      <c r="G815" t="str">
        <f>_xlfn.XLOOKUP(Table1[[#This Row],[branch_name]],Table3[branch_name],Table3[id_branch])</f>
        <v>BRCH005</v>
      </c>
      <c r="H815" t="s">
        <v>1217</v>
      </c>
      <c r="I815" t="str">
        <f>_xlfn.XLOOKUP(Table1[[#This Row],[city]],Table4[city],Table4[id_city])</f>
        <v>KOA0106</v>
      </c>
      <c r="J815" t="s">
        <v>1222</v>
      </c>
      <c r="K815" t="str">
        <f>_xlfn.XLOOKUP(Table1[[#This Row],[menu_name]],Table5[menu_name],Table5[id_menu])</f>
        <v>MENU008</v>
      </c>
      <c r="L815" t="s">
        <v>1230</v>
      </c>
      <c r="M815" t="str">
        <f>_xlfn.XLOOKUP(Table1[[#This Row],[category]],Table6[category],Table6[id_category])</f>
        <v>KTG0205</v>
      </c>
      <c r="N815" t="s">
        <v>1233</v>
      </c>
      <c r="O815">
        <v>4</v>
      </c>
      <c r="P815">
        <v>20000</v>
      </c>
      <c r="Q815">
        <v>0</v>
      </c>
      <c r="R815">
        <v>2.9</v>
      </c>
      <c r="S815" t="str">
        <f>_xlfn.XLOOKUP(Table1[[#This Row],[method]],Table7[method],Table7[id_method])</f>
        <v>PAY0709</v>
      </c>
      <c r="T815" t="s">
        <v>1236</v>
      </c>
      <c r="U815">
        <v>80000</v>
      </c>
    </row>
    <row r="816" spans="1:21" x14ac:dyDescent="0.25">
      <c r="A816" t="s">
        <v>828</v>
      </c>
      <c r="B816" t="str">
        <f>_xlfn.XLOOKUP(Table1[[#This Row],[date]],Table8[date],Table8[id_date])</f>
        <v>TGL0945</v>
      </c>
      <c r="C816" s="1">
        <v>45892</v>
      </c>
      <c r="D816" s="1" t="str">
        <f>_xlfn.XLOOKUP(Table1[[#This Row],[customer_name]],Table11[customer_name],Table11[id_cust])</f>
        <v>CNA0292</v>
      </c>
      <c r="E816" t="s">
        <v>1146</v>
      </c>
      <c r="F816">
        <v>18</v>
      </c>
      <c r="G816" t="str">
        <f>_xlfn.XLOOKUP(Table1[[#This Row],[branch_name]],Table3[branch_name],Table3[id_branch])</f>
        <v>BRCH004</v>
      </c>
      <c r="H816" t="s">
        <v>1216</v>
      </c>
      <c r="I816" t="str">
        <f>_xlfn.XLOOKUP(Table1[[#This Row],[city]],Table4[city],Table4[id_city])</f>
        <v>KOA0105</v>
      </c>
      <c r="J816" t="s">
        <v>1221</v>
      </c>
      <c r="K816" t="str">
        <f>_xlfn.XLOOKUP(Table1[[#This Row],[menu_name]],Table5[menu_name],Table5[id_menu])</f>
        <v>MENU003</v>
      </c>
      <c r="L816" t="s">
        <v>1225</v>
      </c>
      <c r="M816" t="str">
        <f>_xlfn.XLOOKUP(Table1[[#This Row],[category]],Table6[category],Table6[id_category])</f>
        <v>KTG0205</v>
      </c>
      <c r="N816" t="s">
        <v>1233</v>
      </c>
      <c r="O816">
        <v>2</v>
      </c>
      <c r="P816">
        <v>22000</v>
      </c>
      <c r="Q816">
        <v>0</v>
      </c>
      <c r="R816">
        <v>4.4000000000000004</v>
      </c>
      <c r="S816" t="str">
        <f>_xlfn.XLOOKUP(Table1[[#This Row],[method]],Table7[method],Table7[id_method])</f>
        <v>PAY0711</v>
      </c>
      <c r="T816" t="s">
        <v>1238</v>
      </c>
      <c r="U816">
        <v>44000</v>
      </c>
    </row>
    <row r="817" spans="1:21" x14ac:dyDescent="0.25">
      <c r="A817" t="s">
        <v>829</v>
      </c>
      <c r="B817" t="str">
        <f>_xlfn.XLOOKUP(Table1[[#This Row],[date]],Table8[date],Table8[id_date])</f>
        <v>TGL0946</v>
      </c>
      <c r="C817" s="1">
        <v>45893</v>
      </c>
      <c r="D817" s="1" t="str">
        <f>_xlfn.XLOOKUP(Table1[[#This Row],[customer_name]],Table11[customer_name],Table11[id_cust])</f>
        <v>CNA0262</v>
      </c>
      <c r="E817" t="s">
        <v>1130</v>
      </c>
      <c r="F817">
        <v>30</v>
      </c>
      <c r="G817" t="str">
        <f>_xlfn.XLOOKUP(Table1[[#This Row],[branch_name]],Table3[branch_name],Table3[id_branch])</f>
        <v>BRCH004</v>
      </c>
      <c r="H817" t="s">
        <v>1216</v>
      </c>
      <c r="I817" t="str">
        <f>_xlfn.XLOOKUP(Table1[[#This Row],[city]],Table4[city],Table4[id_city])</f>
        <v>KOA0105</v>
      </c>
      <c r="J817" t="s">
        <v>1221</v>
      </c>
      <c r="K817" t="str">
        <f>_xlfn.XLOOKUP(Table1[[#This Row],[menu_name]],Table5[menu_name],Table5[id_menu])</f>
        <v>MENU006</v>
      </c>
      <c r="L817" t="s">
        <v>1228</v>
      </c>
      <c r="M817" t="str">
        <f>_xlfn.XLOOKUP(Table1[[#This Row],[category]],Table6[category],Table6[id_category])</f>
        <v>KTG0206</v>
      </c>
      <c r="N817" t="s">
        <v>1234</v>
      </c>
      <c r="O817">
        <v>3</v>
      </c>
      <c r="P817">
        <v>32000</v>
      </c>
      <c r="Q817">
        <v>0</v>
      </c>
      <c r="R817">
        <v>2.5</v>
      </c>
      <c r="S817" t="str">
        <f>_xlfn.XLOOKUP(Table1[[#This Row],[method]],Table7[method],Table7[id_method])</f>
        <v>PAY0710</v>
      </c>
      <c r="T817" t="s">
        <v>1237</v>
      </c>
      <c r="U817">
        <v>96000</v>
      </c>
    </row>
    <row r="818" spans="1:21" x14ac:dyDescent="0.25">
      <c r="A818" t="s">
        <v>830</v>
      </c>
      <c r="B818" t="str">
        <f>_xlfn.XLOOKUP(Table1[[#This Row],[date]],Table8[date],Table8[id_date])</f>
        <v>TGL0946</v>
      </c>
      <c r="C818" s="1">
        <v>45893</v>
      </c>
      <c r="D818" s="1" t="str">
        <f>_xlfn.XLOOKUP(Table1[[#This Row],[customer_name]],Table11[customer_name],Table11[id_cust])</f>
        <v>CNA0159</v>
      </c>
      <c r="E818" t="s">
        <v>1067</v>
      </c>
      <c r="F818">
        <v>17</v>
      </c>
      <c r="G818" t="str">
        <f>_xlfn.XLOOKUP(Table1[[#This Row],[branch_name]],Table3[branch_name],Table3[id_branch])</f>
        <v>BRCH003</v>
      </c>
      <c r="H818" t="s">
        <v>1215</v>
      </c>
      <c r="I818" t="str">
        <f>_xlfn.XLOOKUP(Table1[[#This Row],[city]],Table4[city],Table4[id_city])</f>
        <v>KOA0104</v>
      </c>
      <c r="J818" t="s">
        <v>1220</v>
      </c>
      <c r="K818" t="str">
        <f>_xlfn.XLOOKUP(Table1[[#This Row],[menu_name]],Table5[menu_name],Table5[id_menu])</f>
        <v>MENU007</v>
      </c>
      <c r="L818" t="s">
        <v>1229</v>
      </c>
      <c r="M818" t="str">
        <f>_xlfn.XLOOKUP(Table1[[#This Row],[category]],Table6[category],Table6[id_category])</f>
        <v>KTG0207</v>
      </c>
      <c r="N818" t="s">
        <v>1235</v>
      </c>
      <c r="O818">
        <v>2</v>
      </c>
      <c r="P818">
        <v>27000</v>
      </c>
      <c r="Q818">
        <v>0</v>
      </c>
      <c r="R818">
        <v>4.2</v>
      </c>
      <c r="S818" t="str">
        <f>_xlfn.XLOOKUP(Table1[[#This Row],[method]],Table7[method],Table7[id_method])</f>
        <v>PAY0712</v>
      </c>
      <c r="T818" t="s">
        <v>1239</v>
      </c>
      <c r="U818">
        <v>54000</v>
      </c>
    </row>
    <row r="819" spans="1:21" x14ac:dyDescent="0.25">
      <c r="A819" t="s">
        <v>831</v>
      </c>
      <c r="B819" t="str">
        <f>_xlfn.XLOOKUP(Table1[[#This Row],[date]],Table8[date],Table8[id_date])</f>
        <v>TGL0947</v>
      </c>
      <c r="C819" s="1">
        <v>45895</v>
      </c>
      <c r="D819" s="1" t="str">
        <f>_xlfn.XLOOKUP(Table1[[#This Row],[customer_name]],Table11[customer_name],Table11[id_cust])</f>
        <v>CNA0151</v>
      </c>
      <c r="E819" t="s">
        <v>1060</v>
      </c>
      <c r="F819">
        <v>20</v>
      </c>
      <c r="G819" t="str">
        <f>_xlfn.XLOOKUP(Table1[[#This Row],[branch_name]],Table3[branch_name],Table3[id_branch])</f>
        <v>BRCH003</v>
      </c>
      <c r="H819" t="s">
        <v>1215</v>
      </c>
      <c r="I819" t="str">
        <f>_xlfn.XLOOKUP(Table1[[#This Row],[city]],Table4[city],Table4[id_city])</f>
        <v>KOA0104</v>
      </c>
      <c r="J819" t="s">
        <v>1220</v>
      </c>
      <c r="K819" t="str">
        <f>_xlfn.XLOOKUP(Table1[[#This Row],[menu_name]],Table5[menu_name],Table5[id_menu])</f>
        <v>MENU003</v>
      </c>
      <c r="L819" t="s">
        <v>1225</v>
      </c>
      <c r="M819" t="str">
        <f>_xlfn.XLOOKUP(Table1[[#This Row],[category]],Table6[category],Table6[id_category])</f>
        <v>KTG0205</v>
      </c>
      <c r="N819" t="s">
        <v>1233</v>
      </c>
      <c r="O819">
        <v>3</v>
      </c>
      <c r="P819">
        <v>22000</v>
      </c>
      <c r="Q819">
        <v>10</v>
      </c>
      <c r="R819">
        <v>2</v>
      </c>
      <c r="S819" t="str">
        <f>_xlfn.XLOOKUP(Table1[[#This Row],[method]],Table7[method],Table7[id_method])</f>
        <v>PAY0709</v>
      </c>
      <c r="T819" t="s">
        <v>1236</v>
      </c>
      <c r="U819">
        <v>59400</v>
      </c>
    </row>
    <row r="820" spans="1:21" x14ac:dyDescent="0.25">
      <c r="A820" t="s">
        <v>832</v>
      </c>
      <c r="B820" t="str">
        <f>_xlfn.XLOOKUP(Table1[[#This Row],[date]],Table8[date],Table8[id_date])</f>
        <v>TGL0947</v>
      </c>
      <c r="C820" s="1">
        <v>45895</v>
      </c>
      <c r="D820" s="1" t="str">
        <f>_xlfn.XLOOKUP(Table1[[#This Row],[customer_name]],Table11[customer_name],Table11[id_cust])</f>
        <v>CNA0223</v>
      </c>
      <c r="E820" t="s">
        <v>1110</v>
      </c>
      <c r="F820">
        <v>18</v>
      </c>
      <c r="G820" t="str">
        <f>_xlfn.XLOOKUP(Table1[[#This Row],[branch_name]],Table3[branch_name],Table3[id_branch])</f>
        <v>BRCH005</v>
      </c>
      <c r="H820" t="s">
        <v>1217</v>
      </c>
      <c r="I820" t="str">
        <f>_xlfn.XLOOKUP(Table1[[#This Row],[city]],Table4[city],Table4[id_city])</f>
        <v>KOA0106</v>
      </c>
      <c r="J820" t="s">
        <v>1222</v>
      </c>
      <c r="K820" t="str">
        <f>_xlfn.XLOOKUP(Table1[[#This Row],[menu_name]],Table5[menu_name],Table5[id_menu])</f>
        <v>MENU001</v>
      </c>
      <c r="L820" t="s">
        <v>1223</v>
      </c>
      <c r="M820" t="str">
        <f>_xlfn.XLOOKUP(Table1[[#This Row],[category]],Table6[category],Table6[id_category])</f>
        <v>KTG0205</v>
      </c>
      <c r="N820" t="s">
        <v>1233</v>
      </c>
      <c r="O820">
        <v>2</v>
      </c>
      <c r="P820">
        <v>25000</v>
      </c>
      <c r="Q820">
        <v>0</v>
      </c>
      <c r="R820">
        <v>2.5</v>
      </c>
      <c r="S820" t="str">
        <f>_xlfn.XLOOKUP(Table1[[#This Row],[method]],Table7[method],Table7[id_method])</f>
        <v>PAY0711</v>
      </c>
      <c r="T820" t="s">
        <v>1238</v>
      </c>
      <c r="U820">
        <v>50000</v>
      </c>
    </row>
    <row r="821" spans="1:21" x14ac:dyDescent="0.25">
      <c r="A821" t="s">
        <v>833</v>
      </c>
      <c r="B821" t="str">
        <f>_xlfn.XLOOKUP(Table1[[#This Row],[date]],Table8[date],Table8[id_date])</f>
        <v>TGL0947</v>
      </c>
      <c r="C821" s="1">
        <v>45895</v>
      </c>
      <c r="D821" s="1" t="str">
        <f>_xlfn.XLOOKUP(Table1[[#This Row],[customer_name]],Table11[customer_name],Table11[id_cust])</f>
        <v>CNA0171</v>
      </c>
      <c r="E821" t="s">
        <v>1076</v>
      </c>
      <c r="F821">
        <v>43</v>
      </c>
      <c r="G821" t="str">
        <f>_xlfn.XLOOKUP(Table1[[#This Row],[branch_name]],Table3[branch_name],Table3[id_branch])</f>
        <v>BRCH003</v>
      </c>
      <c r="H821" t="s">
        <v>1215</v>
      </c>
      <c r="I821" t="str">
        <f>_xlfn.XLOOKUP(Table1[[#This Row],[city]],Table4[city],Table4[id_city])</f>
        <v>KOA0104</v>
      </c>
      <c r="J821" t="s">
        <v>1220</v>
      </c>
      <c r="K821" t="str">
        <f>_xlfn.XLOOKUP(Table1[[#This Row],[menu_name]],Table5[menu_name],Table5[id_menu])</f>
        <v>MENU004</v>
      </c>
      <c r="L821" t="s">
        <v>1226</v>
      </c>
      <c r="M821" t="str">
        <f>_xlfn.XLOOKUP(Table1[[#This Row],[category]],Table6[category],Table6[id_category])</f>
        <v>KTG0207</v>
      </c>
      <c r="N821" t="s">
        <v>1235</v>
      </c>
      <c r="O821">
        <v>1</v>
      </c>
      <c r="P821">
        <v>28000</v>
      </c>
      <c r="Q821">
        <v>20</v>
      </c>
      <c r="R821">
        <v>4</v>
      </c>
      <c r="S821" t="str">
        <f>_xlfn.XLOOKUP(Table1[[#This Row],[method]],Table7[method],Table7[id_method])</f>
        <v>PAY0709</v>
      </c>
      <c r="T821" t="s">
        <v>1236</v>
      </c>
      <c r="U821">
        <v>22400</v>
      </c>
    </row>
    <row r="822" spans="1:21" x14ac:dyDescent="0.25">
      <c r="A822" t="s">
        <v>834</v>
      </c>
      <c r="B822" t="str">
        <f>_xlfn.XLOOKUP(Table1[[#This Row],[date]],Table8[date],Table8[id_date])</f>
        <v>TGL0947</v>
      </c>
      <c r="C822" s="1">
        <v>45895</v>
      </c>
      <c r="D822" s="1" t="str">
        <f>_xlfn.XLOOKUP(Table1[[#This Row],[customer_name]],Table11[customer_name],Table11[id_cust])</f>
        <v>CNA0468</v>
      </c>
      <c r="E822" t="s">
        <v>1182</v>
      </c>
      <c r="F822">
        <v>40</v>
      </c>
      <c r="G822" t="str">
        <f>_xlfn.XLOOKUP(Table1[[#This Row],[branch_name]],Table3[branch_name],Table3[id_branch])</f>
        <v>BRCH003</v>
      </c>
      <c r="H822" t="s">
        <v>1215</v>
      </c>
      <c r="I822" t="str">
        <f>_xlfn.XLOOKUP(Table1[[#This Row],[city]],Table4[city],Table4[id_city])</f>
        <v>KOA0104</v>
      </c>
      <c r="J822" t="s">
        <v>1220</v>
      </c>
      <c r="K822" t="str">
        <f>_xlfn.XLOOKUP(Table1[[#This Row],[menu_name]],Table5[menu_name],Table5[id_menu])</f>
        <v>MENU002</v>
      </c>
      <c r="L822" t="s">
        <v>1224</v>
      </c>
      <c r="M822" t="str">
        <f>_xlfn.XLOOKUP(Table1[[#This Row],[category]],Table6[category],Table6[id_category])</f>
        <v>KTG0206</v>
      </c>
      <c r="N822" t="s">
        <v>1234</v>
      </c>
      <c r="O822">
        <v>4</v>
      </c>
      <c r="P822">
        <v>30000</v>
      </c>
      <c r="Q822">
        <v>0</v>
      </c>
      <c r="R822">
        <v>4.4000000000000004</v>
      </c>
      <c r="S822" t="str">
        <f>_xlfn.XLOOKUP(Table1[[#This Row],[method]],Table7[method],Table7[id_method])</f>
        <v>PAY0710</v>
      </c>
      <c r="T822" t="s">
        <v>1237</v>
      </c>
      <c r="U822">
        <v>120000</v>
      </c>
    </row>
    <row r="823" spans="1:21" x14ac:dyDescent="0.25">
      <c r="A823" t="s">
        <v>835</v>
      </c>
      <c r="B823" t="str">
        <f>_xlfn.XLOOKUP(Table1[[#This Row],[date]],Table8[date],Table8[id_date])</f>
        <v>TGL0948</v>
      </c>
      <c r="C823" s="1">
        <v>45896</v>
      </c>
      <c r="D823" s="1" t="str">
        <f>_xlfn.XLOOKUP(Table1[[#This Row],[customer_name]],Table11[customer_name],Table11[id_cust])</f>
        <v>CNA0654</v>
      </c>
      <c r="E823" t="s">
        <v>1196</v>
      </c>
      <c r="F823">
        <v>35</v>
      </c>
      <c r="G823" t="str">
        <f>_xlfn.XLOOKUP(Table1[[#This Row],[branch_name]],Table3[branch_name],Table3[id_branch])</f>
        <v>BRCH002</v>
      </c>
      <c r="H823" t="s">
        <v>1214</v>
      </c>
      <c r="I823" t="str">
        <f>_xlfn.XLOOKUP(Table1[[#This Row],[city]],Table4[city],Table4[id_city])</f>
        <v>KOA0103</v>
      </c>
      <c r="J823" t="s">
        <v>1219</v>
      </c>
      <c r="K823" t="str">
        <f>_xlfn.XLOOKUP(Table1[[#This Row],[menu_name]],Table5[menu_name],Table5[id_menu])</f>
        <v>MENU004</v>
      </c>
      <c r="L823" t="s">
        <v>1226</v>
      </c>
      <c r="M823" t="str">
        <f>_xlfn.XLOOKUP(Table1[[#This Row],[category]],Table6[category],Table6[id_category])</f>
        <v>KTG0207</v>
      </c>
      <c r="N823" t="s">
        <v>1235</v>
      </c>
      <c r="O823">
        <v>1</v>
      </c>
      <c r="P823">
        <v>28000</v>
      </c>
      <c r="Q823">
        <v>5</v>
      </c>
      <c r="R823">
        <v>1.5</v>
      </c>
      <c r="S823" t="str">
        <f>_xlfn.XLOOKUP(Table1[[#This Row],[method]],Table7[method],Table7[id_method])</f>
        <v>PAY0710</v>
      </c>
      <c r="T823" t="s">
        <v>1237</v>
      </c>
      <c r="U823">
        <v>26600</v>
      </c>
    </row>
    <row r="824" spans="1:21" x14ac:dyDescent="0.25">
      <c r="A824" t="s">
        <v>836</v>
      </c>
      <c r="B824" t="str">
        <f>_xlfn.XLOOKUP(Table1[[#This Row],[date]],Table8[date],Table8[id_date])</f>
        <v>TGL0949</v>
      </c>
      <c r="C824" s="1">
        <v>45897</v>
      </c>
      <c r="D824" s="1" t="str">
        <f>_xlfn.XLOOKUP(Table1[[#This Row],[customer_name]],Table11[customer_name],Table11[id_cust])</f>
        <v>CNA0244</v>
      </c>
      <c r="E824" t="s">
        <v>1124</v>
      </c>
      <c r="F824">
        <v>39</v>
      </c>
      <c r="G824" t="str">
        <f>_xlfn.XLOOKUP(Table1[[#This Row],[branch_name]],Table3[branch_name],Table3[id_branch])</f>
        <v>BRCH004</v>
      </c>
      <c r="H824" t="s">
        <v>1216</v>
      </c>
      <c r="I824" t="str">
        <f>_xlfn.XLOOKUP(Table1[[#This Row],[city]],Table4[city],Table4[id_city])</f>
        <v>KOA0105</v>
      </c>
      <c r="J824" t="s">
        <v>1221</v>
      </c>
      <c r="K824" t="str">
        <f>_xlfn.XLOOKUP(Table1[[#This Row],[menu_name]],Table5[menu_name],Table5[id_menu])</f>
        <v>MENU010</v>
      </c>
      <c r="L824" t="s">
        <v>1232</v>
      </c>
      <c r="M824" t="str">
        <f>_xlfn.XLOOKUP(Table1[[#This Row],[category]],Table6[category],Table6[id_category])</f>
        <v>KTG0205</v>
      </c>
      <c r="N824" t="s">
        <v>1233</v>
      </c>
      <c r="O824">
        <v>5</v>
      </c>
      <c r="P824">
        <v>18000</v>
      </c>
      <c r="Q824">
        <v>0</v>
      </c>
      <c r="R824">
        <v>3.3</v>
      </c>
      <c r="S824" t="str">
        <f>_xlfn.XLOOKUP(Table1[[#This Row],[method]],Table7[method],Table7[id_method])</f>
        <v>PAY0710</v>
      </c>
      <c r="T824" t="s">
        <v>1237</v>
      </c>
      <c r="U824">
        <v>90000</v>
      </c>
    </row>
    <row r="825" spans="1:21" x14ac:dyDescent="0.25">
      <c r="A825" t="s">
        <v>837</v>
      </c>
      <c r="B825" t="str">
        <f>_xlfn.XLOOKUP(Table1[[#This Row],[date]],Table8[date],Table8[id_date])</f>
        <v>TGL0949</v>
      </c>
      <c r="C825" s="1">
        <v>45897</v>
      </c>
      <c r="D825" s="1" t="str">
        <f>_xlfn.XLOOKUP(Table1[[#This Row],[customer_name]],Table11[customer_name],Table11[id_cust])</f>
        <v>CNA0177</v>
      </c>
      <c r="E825" t="s">
        <v>1082</v>
      </c>
      <c r="F825">
        <v>38</v>
      </c>
      <c r="G825" t="str">
        <f>_xlfn.XLOOKUP(Table1[[#This Row],[branch_name]],Table3[branch_name],Table3[id_branch])</f>
        <v>BRCH001</v>
      </c>
      <c r="H825" t="s">
        <v>1213</v>
      </c>
      <c r="I825" t="str">
        <f>_xlfn.XLOOKUP(Table1[[#This Row],[city]],Table4[city],Table4[id_city])</f>
        <v>KOA0102</v>
      </c>
      <c r="J825" t="s">
        <v>1218</v>
      </c>
      <c r="K825" t="str">
        <f>_xlfn.XLOOKUP(Table1[[#This Row],[menu_name]],Table5[menu_name],Table5[id_menu])</f>
        <v>MENU006</v>
      </c>
      <c r="L825" t="s">
        <v>1228</v>
      </c>
      <c r="M825" t="str">
        <f>_xlfn.XLOOKUP(Table1[[#This Row],[category]],Table6[category],Table6[id_category])</f>
        <v>KTG0206</v>
      </c>
      <c r="N825" t="s">
        <v>1234</v>
      </c>
      <c r="O825">
        <v>1</v>
      </c>
      <c r="P825">
        <v>32000</v>
      </c>
      <c r="Q825">
        <v>0</v>
      </c>
      <c r="R825">
        <v>1.1000000000000001</v>
      </c>
      <c r="S825" t="str">
        <f>_xlfn.XLOOKUP(Table1[[#This Row],[method]],Table7[method],Table7[id_method])</f>
        <v>PAY0711</v>
      </c>
      <c r="T825" t="s">
        <v>1238</v>
      </c>
      <c r="U825">
        <v>32000</v>
      </c>
    </row>
    <row r="826" spans="1:21" x14ac:dyDescent="0.25">
      <c r="A826" t="s">
        <v>838</v>
      </c>
      <c r="B826" t="str">
        <f>_xlfn.XLOOKUP(Table1[[#This Row],[date]],Table8[date],Table8[id_date])</f>
        <v>TGL0950</v>
      </c>
      <c r="C826" s="1">
        <v>45898</v>
      </c>
      <c r="D826" s="1" t="str">
        <f>_xlfn.XLOOKUP(Table1[[#This Row],[customer_name]],Table11[customer_name],Table11[id_cust])</f>
        <v>CNA0173</v>
      </c>
      <c r="E826" t="s">
        <v>1078</v>
      </c>
      <c r="F826">
        <v>35</v>
      </c>
      <c r="G826" t="str">
        <f>_xlfn.XLOOKUP(Table1[[#This Row],[branch_name]],Table3[branch_name],Table3[id_branch])</f>
        <v>BRCH003</v>
      </c>
      <c r="H826" t="s">
        <v>1215</v>
      </c>
      <c r="I826" t="str">
        <f>_xlfn.XLOOKUP(Table1[[#This Row],[city]],Table4[city],Table4[id_city])</f>
        <v>KOA0104</v>
      </c>
      <c r="J826" t="s">
        <v>1220</v>
      </c>
      <c r="K826" t="str">
        <f>_xlfn.XLOOKUP(Table1[[#This Row],[menu_name]],Table5[menu_name],Table5[id_menu])</f>
        <v>MENU001</v>
      </c>
      <c r="L826" t="s">
        <v>1223</v>
      </c>
      <c r="M826" t="str">
        <f>_xlfn.XLOOKUP(Table1[[#This Row],[category]],Table6[category],Table6[id_category])</f>
        <v>KTG0205</v>
      </c>
      <c r="N826" t="s">
        <v>1233</v>
      </c>
      <c r="O826">
        <v>2</v>
      </c>
      <c r="P826">
        <v>25000</v>
      </c>
      <c r="Q826">
        <v>20</v>
      </c>
      <c r="R826">
        <v>2.4</v>
      </c>
      <c r="S826" t="str">
        <f>_xlfn.XLOOKUP(Table1[[#This Row],[method]],Table7[method],Table7[id_method])</f>
        <v>PAY0709</v>
      </c>
      <c r="T826" t="s">
        <v>1236</v>
      </c>
      <c r="U826">
        <v>40000</v>
      </c>
    </row>
    <row r="827" spans="1:21" x14ac:dyDescent="0.25">
      <c r="A827" t="s">
        <v>839</v>
      </c>
      <c r="B827" t="str">
        <f>_xlfn.XLOOKUP(Table1[[#This Row],[date]],Table8[date],Table8[id_date])</f>
        <v>TGL0950</v>
      </c>
      <c r="C827" s="1">
        <v>45898</v>
      </c>
      <c r="D827" s="1" t="str">
        <f>_xlfn.XLOOKUP(Table1[[#This Row],[customer_name]],Table11[customer_name],Table11[id_cust])</f>
        <v>CNA0252</v>
      </c>
      <c r="E827" t="s">
        <v>1127</v>
      </c>
      <c r="F827">
        <v>43</v>
      </c>
      <c r="G827" t="str">
        <f>_xlfn.XLOOKUP(Table1[[#This Row],[branch_name]],Table3[branch_name],Table3[id_branch])</f>
        <v>BRCH002</v>
      </c>
      <c r="H827" t="s">
        <v>1214</v>
      </c>
      <c r="I827" t="str">
        <f>_xlfn.XLOOKUP(Table1[[#This Row],[city]],Table4[city],Table4[id_city])</f>
        <v>KOA0103</v>
      </c>
      <c r="J827" t="s">
        <v>1219</v>
      </c>
      <c r="K827" t="str">
        <f>_xlfn.XLOOKUP(Table1[[#This Row],[menu_name]],Table5[menu_name],Table5[id_menu])</f>
        <v>MENU003</v>
      </c>
      <c r="L827" t="s">
        <v>1225</v>
      </c>
      <c r="M827" t="str">
        <f>_xlfn.XLOOKUP(Table1[[#This Row],[category]],Table6[category],Table6[id_category])</f>
        <v>KTG0205</v>
      </c>
      <c r="N827" t="s">
        <v>1233</v>
      </c>
      <c r="O827">
        <v>4</v>
      </c>
      <c r="P827">
        <v>22000</v>
      </c>
      <c r="Q827">
        <v>20</v>
      </c>
      <c r="R827">
        <v>1.3</v>
      </c>
      <c r="S827" t="str">
        <f>_xlfn.XLOOKUP(Table1[[#This Row],[method]],Table7[method],Table7[id_method])</f>
        <v>PAY0710</v>
      </c>
      <c r="T827" t="s">
        <v>1237</v>
      </c>
      <c r="U827">
        <v>70400</v>
      </c>
    </row>
    <row r="828" spans="1:21" x14ac:dyDescent="0.25">
      <c r="A828" t="s">
        <v>840</v>
      </c>
      <c r="B828" t="str">
        <f>_xlfn.XLOOKUP(Table1[[#This Row],[date]],Table8[date],Table8[id_date])</f>
        <v>TGL0950</v>
      </c>
      <c r="C828" s="1">
        <v>45898</v>
      </c>
      <c r="D828" s="1" t="str">
        <f>_xlfn.XLOOKUP(Table1[[#This Row],[customer_name]],Table11[customer_name],Table11[id_cust])</f>
        <v>CNA0242</v>
      </c>
      <c r="E828" t="s">
        <v>1123</v>
      </c>
      <c r="F828">
        <v>40</v>
      </c>
      <c r="G828" t="str">
        <f>_xlfn.XLOOKUP(Table1[[#This Row],[branch_name]],Table3[branch_name],Table3[id_branch])</f>
        <v>BRCH004</v>
      </c>
      <c r="H828" t="s">
        <v>1216</v>
      </c>
      <c r="I828" t="str">
        <f>_xlfn.XLOOKUP(Table1[[#This Row],[city]],Table4[city],Table4[id_city])</f>
        <v>KOA0105</v>
      </c>
      <c r="J828" t="s">
        <v>1221</v>
      </c>
      <c r="K828" t="str">
        <f>_xlfn.XLOOKUP(Table1[[#This Row],[menu_name]],Table5[menu_name],Table5[id_menu])</f>
        <v>MENU006</v>
      </c>
      <c r="L828" t="s">
        <v>1228</v>
      </c>
      <c r="M828" t="str">
        <f>_xlfn.XLOOKUP(Table1[[#This Row],[category]],Table6[category],Table6[id_category])</f>
        <v>KTG0206</v>
      </c>
      <c r="N828" t="s">
        <v>1234</v>
      </c>
      <c r="O828">
        <v>1</v>
      </c>
      <c r="P828">
        <v>32000</v>
      </c>
      <c r="Q828">
        <v>0</v>
      </c>
      <c r="R828">
        <v>1.3</v>
      </c>
      <c r="S828" t="str">
        <f>_xlfn.XLOOKUP(Table1[[#This Row],[method]],Table7[method],Table7[id_method])</f>
        <v>PAY0712</v>
      </c>
      <c r="T828" t="s">
        <v>1239</v>
      </c>
      <c r="U828">
        <v>32000</v>
      </c>
    </row>
    <row r="829" spans="1:21" x14ac:dyDescent="0.25">
      <c r="A829" t="s">
        <v>841</v>
      </c>
      <c r="B829" t="str">
        <f>_xlfn.XLOOKUP(Table1[[#This Row],[date]],Table8[date],Table8[id_date])</f>
        <v>TGL0951</v>
      </c>
      <c r="C829" s="1">
        <v>45899</v>
      </c>
      <c r="D829" s="1" t="str">
        <f>_xlfn.XLOOKUP(Table1[[#This Row],[customer_name]],Table11[customer_name],Table11[id_cust])</f>
        <v>CNA0169</v>
      </c>
      <c r="E829" t="s">
        <v>1074</v>
      </c>
      <c r="F829">
        <v>53</v>
      </c>
      <c r="G829" t="str">
        <f>_xlfn.XLOOKUP(Table1[[#This Row],[branch_name]],Table3[branch_name],Table3[id_branch])</f>
        <v>BRCH004</v>
      </c>
      <c r="H829" t="s">
        <v>1216</v>
      </c>
      <c r="I829" t="str">
        <f>_xlfn.XLOOKUP(Table1[[#This Row],[city]],Table4[city],Table4[id_city])</f>
        <v>KOA0105</v>
      </c>
      <c r="J829" t="s">
        <v>1221</v>
      </c>
      <c r="K829" t="str">
        <f>_xlfn.XLOOKUP(Table1[[#This Row],[menu_name]],Table5[menu_name],Table5[id_menu])</f>
        <v>MENU009</v>
      </c>
      <c r="L829" t="s">
        <v>1231</v>
      </c>
      <c r="M829" t="str">
        <f>_xlfn.XLOOKUP(Table1[[#This Row],[category]],Table6[category],Table6[id_category])</f>
        <v>KTG0206</v>
      </c>
      <c r="N829" t="s">
        <v>1234</v>
      </c>
      <c r="O829">
        <v>2</v>
      </c>
      <c r="P829">
        <v>18000</v>
      </c>
      <c r="Q829">
        <v>5</v>
      </c>
      <c r="R829">
        <v>2.4</v>
      </c>
      <c r="S829" t="str">
        <f>_xlfn.XLOOKUP(Table1[[#This Row],[method]],Table7[method],Table7[id_method])</f>
        <v>PAY0709</v>
      </c>
      <c r="T829" t="s">
        <v>1236</v>
      </c>
      <c r="U829">
        <v>34200</v>
      </c>
    </row>
    <row r="830" spans="1:21" x14ac:dyDescent="0.25">
      <c r="A830" t="s">
        <v>842</v>
      </c>
      <c r="B830" t="str">
        <f>_xlfn.XLOOKUP(Table1[[#This Row],[date]],Table8[date],Table8[id_date])</f>
        <v>TGL0952</v>
      </c>
      <c r="C830" s="1">
        <v>45900</v>
      </c>
      <c r="D830" s="1" t="str">
        <f>_xlfn.XLOOKUP(Table1[[#This Row],[customer_name]],Table11[customer_name],Table11[id_cust])</f>
        <v>CNA0138</v>
      </c>
      <c r="E830" t="s">
        <v>1049</v>
      </c>
      <c r="F830">
        <v>53</v>
      </c>
      <c r="G830" t="str">
        <f>_xlfn.XLOOKUP(Table1[[#This Row],[branch_name]],Table3[branch_name],Table3[id_branch])</f>
        <v>BRCH004</v>
      </c>
      <c r="H830" t="s">
        <v>1216</v>
      </c>
      <c r="I830" t="str">
        <f>_xlfn.XLOOKUP(Table1[[#This Row],[city]],Table4[city],Table4[id_city])</f>
        <v>KOA0105</v>
      </c>
      <c r="J830" t="s">
        <v>1221</v>
      </c>
      <c r="K830" t="str">
        <f>_xlfn.XLOOKUP(Table1[[#This Row],[menu_name]],Table5[menu_name],Table5[id_menu])</f>
        <v>MENU005</v>
      </c>
      <c r="L830" t="s">
        <v>1227</v>
      </c>
      <c r="M830" t="str">
        <f>_xlfn.XLOOKUP(Table1[[#This Row],[category]],Table6[category],Table6[id_category])</f>
        <v>KTG0206</v>
      </c>
      <c r="N830" t="s">
        <v>1234</v>
      </c>
      <c r="O830">
        <v>3</v>
      </c>
      <c r="P830">
        <v>23000</v>
      </c>
      <c r="Q830">
        <v>15</v>
      </c>
      <c r="R830">
        <v>3</v>
      </c>
      <c r="S830" t="str">
        <f>_xlfn.XLOOKUP(Table1[[#This Row],[method]],Table7[method],Table7[id_method])</f>
        <v>PAY0712</v>
      </c>
      <c r="T830" t="s">
        <v>1239</v>
      </c>
      <c r="U830">
        <v>58650</v>
      </c>
    </row>
    <row r="831" spans="1:21" x14ac:dyDescent="0.25">
      <c r="A831" t="s">
        <v>843</v>
      </c>
      <c r="B831" t="str">
        <f>_xlfn.XLOOKUP(Table1[[#This Row],[date]],Table8[date],Table8[id_date])</f>
        <v>TGL0952</v>
      </c>
      <c r="C831" s="1">
        <v>45900</v>
      </c>
      <c r="D831" s="1" t="str">
        <f>_xlfn.XLOOKUP(Table1[[#This Row],[customer_name]],Table11[customer_name],Table11[id_cust])</f>
        <v>CNA0177</v>
      </c>
      <c r="E831" t="s">
        <v>1082</v>
      </c>
      <c r="F831">
        <v>38</v>
      </c>
      <c r="G831" t="str">
        <f>_xlfn.XLOOKUP(Table1[[#This Row],[branch_name]],Table3[branch_name],Table3[id_branch])</f>
        <v>BRCH002</v>
      </c>
      <c r="H831" t="s">
        <v>1214</v>
      </c>
      <c r="I831" t="str">
        <f>_xlfn.XLOOKUP(Table1[[#This Row],[city]],Table4[city],Table4[id_city])</f>
        <v>KOA0103</v>
      </c>
      <c r="J831" t="s">
        <v>1219</v>
      </c>
      <c r="K831" t="str">
        <f>_xlfn.XLOOKUP(Table1[[#This Row],[menu_name]],Table5[menu_name],Table5[id_menu])</f>
        <v>MENU003</v>
      </c>
      <c r="L831" t="s">
        <v>1225</v>
      </c>
      <c r="M831" t="str">
        <f>_xlfn.XLOOKUP(Table1[[#This Row],[category]],Table6[category],Table6[id_category])</f>
        <v>KTG0205</v>
      </c>
      <c r="N831" t="s">
        <v>1233</v>
      </c>
      <c r="O831">
        <v>2</v>
      </c>
      <c r="P831">
        <v>22000</v>
      </c>
      <c r="Q831">
        <v>10</v>
      </c>
      <c r="R831">
        <v>2.6</v>
      </c>
      <c r="S831" t="str">
        <f>_xlfn.XLOOKUP(Table1[[#This Row],[method]],Table7[method],Table7[id_method])</f>
        <v>PAY0709</v>
      </c>
      <c r="T831" t="s">
        <v>1236</v>
      </c>
      <c r="U831">
        <v>39600</v>
      </c>
    </row>
    <row r="832" spans="1:21" x14ac:dyDescent="0.25">
      <c r="A832" t="s">
        <v>844</v>
      </c>
      <c r="B832" t="str">
        <f>_xlfn.XLOOKUP(Table1[[#This Row],[date]],Table8[date],Table8[id_date])</f>
        <v>TGL0953</v>
      </c>
      <c r="C832" s="1">
        <v>45901</v>
      </c>
      <c r="D832" s="1" t="str">
        <f>_xlfn.XLOOKUP(Table1[[#This Row],[customer_name]],Table11[customer_name],Table11[id_cust])</f>
        <v>CNA0217</v>
      </c>
      <c r="E832" t="s">
        <v>1107</v>
      </c>
      <c r="F832">
        <v>25</v>
      </c>
      <c r="G832" t="str">
        <f>_xlfn.XLOOKUP(Table1[[#This Row],[branch_name]],Table3[branch_name],Table3[id_branch])</f>
        <v>BRCH005</v>
      </c>
      <c r="H832" t="s">
        <v>1217</v>
      </c>
      <c r="I832" t="str">
        <f>_xlfn.XLOOKUP(Table1[[#This Row],[city]],Table4[city],Table4[id_city])</f>
        <v>KOA0106</v>
      </c>
      <c r="J832" t="s">
        <v>1222</v>
      </c>
      <c r="K832" t="str">
        <f>_xlfn.XLOOKUP(Table1[[#This Row],[menu_name]],Table5[menu_name],Table5[id_menu])</f>
        <v>MENU005</v>
      </c>
      <c r="L832" t="s">
        <v>1227</v>
      </c>
      <c r="M832" t="str">
        <f>_xlfn.XLOOKUP(Table1[[#This Row],[category]],Table6[category],Table6[id_category])</f>
        <v>KTG0206</v>
      </c>
      <c r="N832" t="s">
        <v>1234</v>
      </c>
      <c r="O832">
        <v>4</v>
      </c>
      <c r="P832">
        <v>23000</v>
      </c>
      <c r="Q832">
        <v>0</v>
      </c>
      <c r="R832">
        <v>3.9</v>
      </c>
      <c r="S832" t="str">
        <f>_xlfn.XLOOKUP(Table1[[#This Row],[method]],Table7[method],Table7[id_method])</f>
        <v>PAY0711</v>
      </c>
      <c r="T832" t="s">
        <v>1238</v>
      </c>
      <c r="U832">
        <v>92000</v>
      </c>
    </row>
    <row r="833" spans="1:21" x14ac:dyDescent="0.25">
      <c r="A833" t="s">
        <v>845</v>
      </c>
      <c r="B833" t="str">
        <f>_xlfn.XLOOKUP(Table1[[#This Row],[date]],Table8[date],Table8[id_date])</f>
        <v>TGL0954</v>
      </c>
      <c r="C833" s="1">
        <v>45902</v>
      </c>
      <c r="D833" s="1" t="str">
        <f>_xlfn.XLOOKUP(Table1[[#This Row],[customer_name]],Table11[customer_name],Table11[id_cust])</f>
        <v>CNA0390</v>
      </c>
      <c r="E833" t="s">
        <v>1170</v>
      </c>
      <c r="F833">
        <v>32</v>
      </c>
      <c r="G833" t="str">
        <f>_xlfn.XLOOKUP(Table1[[#This Row],[branch_name]],Table3[branch_name],Table3[id_branch])</f>
        <v>BRCH004</v>
      </c>
      <c r="H833" t="s">
        <v>1216</v>
      </c>
      <c r="I833" t="str">
        <f>_xlfn.XLOOKUP(Table1[[#This Row],[city]],Table4[city],Table4[id_city])</f>
        <v>KOA0105</v>
      </c>
      <c r="J833" t="s">
        <v>1221</v>
      </c>
      <c r="K833" t="str">
        <f>_xlfn.XLOOKUP(Table1[[#This Row],[menu_name]],Table5[menu_name],Table5[id_menu])</f>
        <v>MENU007</v>
      </c>
      <c r="L833" t="s">
        <v>1229</v>
      </c>
      <c r="M833" t="str">
        <f>_xlfn.XLOOKUP(Table1[[#This Row],[category]],Table6[category],Table6[id_category])</f>
        <v>KTG0207</v>
      </c>
      <c r="N833" t="s">
        <v>1235</v>
      </c>
      <c r="O833">
        <v>3</v>
      </c>
      <c r="P833">
        <v>27000</v>
      </c>
      <c r="Q833">
        <v>0</v>
      </c>
      <c r="R833">
        <v>1.2</v>
      </c>
      <c r="S833" t="str">
        <f>_xlfn.XLOOKUP(Table1[[#This Row],[method]],Table7[method],Table7[id_method])</f>
        <v>PAY0709</v>
      </c>
      <c r="T833" t="s">
        <v>1236</v>
      </c>
      <c r="U833">
        <v>81000</v>
      </c>
    </row>
    <row r="834" spans="1:21" x14ac:dyDescent="0.25">
      <c r="A834" t="s">
        <v>846</v>
      </c>
      <c r="B834" t="str">
        <f>_xlfn.XLOOKUP(Table1[[#This Row],[date]],Table8[date],Table8[id_date])</f>
        <v>TGL0955</v>
      </c>
      <c r="C834" s="1">
        <v>45903</v>
      </c>
      <c r="D834" s="1" t="str">
        <f>_xlfn.XLOOKUP(Table1[[#This Row],[customer_name]],Table11[customer_name],Table11[id_cust])</f>
        <v>CNA0144</v>
      </c>
      <c r="E834" t="s">
        <v>1053</v>
      </c>
      <c r="F834">
        <v>42</v>
      </c>
      <c r="G834" t="str">
        <f>_xlfn.XLOOKUP(Table1[[#This Row],[branch_name]],Table3[branch_name],Table3[id_branch])</f>
        <v>BRCH003</v>
      </c>
      <c r="H834" t="s">
        <v>1215</v>
      </c>
      <c r="I834" t="str">
        <f>_xlfn.XLOOKUP(Table1[[#This Row],[city]],Table4[city],Table4[id_city])</f>
        <v>KOA0104</v>
      </c>
      <c r="J834" t="s">
        <v>1220</v>
      </c>
      <c r="K834" t="str">
        <f>_xlfn.XLOOKUP(Table1[[#This Row],[menu_name]],Table5[menu_name],Table5[id_menu])</f>
        <v>MENU008</v>
      </c>
      <c r="L834" t="s">
        <v>1230</v>
      </c>
      <c r="M834" t="str">
        <f>_xlfn.XLOOKUP(Table1[[#This Row],[category]],Table6[category],Table6[id_category])</f>
        <v>KTG0205</v>
      </c>
      <c r="N834" t="s">
        <v>1233</v>
      </c>
      <c r="O834">
        <v>5</v>
      </c>
      <c r="P834">
        <v>20000</v>
      </c>
      <c r="Q834">
        <v>20</v>
      </c>
      <c r="R834">
        <v>4.7</v>
      </c>
      <c r="S834" t="str">
        <f>_xlfn.XLOOKUP(Table1[[#This Row],[method]],Table7[method],Table7[id_method])</f>
        <v>PAY0712</v>
      </c>
      <c r="T834" t="s">
        <v>1239</v>
      </c>
      <c r="U834">
        <v>80000</v>
      </c>
    </row>
    <row r="835" spans="1:21" x14ac:dyDescent="0.25">
      <c r="A835" t="s">
        <v>847</v>
      </c>
      <c r="B835" t="str">
        <f>_xlfn.XLOOKUP(Table1[[#This Row],[date]],Table8[date],Table8[id_date])</f>
        <v>TGL0955</v>
      </c>
      <c r="C835" s="1">
        <v>45903</v>
      </c>
      <c r="D835" s="1" t="str">
        <f>_xlfn.XLOOKUP(Table1[[#This Row],[customer_name]],Table11[customer_name],Table11[id_cust])</f>
        <v>CNA0344</v>
      </c>
      <c r="E835" t="s">
        <v>1163</v>
      </c>
      <c r="F835">
        <v>43</v>
      </c>
      <c r="G835" t="str">
        <f>_xlfn.XLOOKUP(Table1[[#This Row],[branch_name]],Table3[branch_name],Table3[id_branch])</f>
        <v>BRCH004</v>
      </c>
      <c r="H835" t="s">
        <v>1216</v>
      </c>
      <c r="I835" t="str">
        <f>_xlfn.XLOOKUP(Table1[[#This Row],[city]],Table4[city],Table4[id_city])</f>
        <v>KOA0105</v>
      </c>
      <c r="J835" t="s">
        <v>1221</v>
      </c>
      <c r="K835" t="str">
        <f>_xlfn.XLOOKUP(Table1[[#This Row],[menu_name]],Table5[menu_name],Table5[id_menu])</f>
        <v>MENU002</v>
      </c>
      <c r="L835" t="s">
        <v>1224</v>
      </c>
      <c r="M835" t="str">
        <f>_xlfn.XLOOKUP(Table1[[#This Row],[category]],Table6[category],Table6[id_category])</f>
        <v>KTG0206</v>
      </c>
      <c r="N835" t="s">
        <v>1234</v>
      </c>
      <c r="O835">
        <v>2</v>
      </c>
      <c r="P835">
        <v>30000</v>
      </c>
      <c r="Q835">
        <v>0</v>
      </c>
      <c r="R835">
        <v>2.5</v>
      </c>
      <c r="S835" t="str">
        <f>_xlfn.XLOOKUP(Table1[[#This Row],[method]],Table7[method],Table7[id_method])</f>
        <v>PAY0711</v>
      </c>
      <c r="T835" t="s">
        <v>1238</v>
      </c>
      <c r="U835">
        <v>60000</v>
      </c>
    </row>
    <row r="836" spans="1:21" x14ac:dyDescent="0.25">
      <c r="A836" t="s">
        <v>848</v>
      </c>
      <c r="B836" t="str">
        <f>_xlfn.XLOOKUP(Table1[[#This Row],[date]],Table8[date],Table8[id_date])</f>
        <v>TGL0956</v>
      </c>
      <c r="C836" s="1">
        <v>45904</v>
      </c>
      <c r="D836" s="1" t="str">
        <f>_xlfn.XLOOKUP(Table1[[#This Row],[customer_name]],Table11[customer_name],Table11[id_cust])</f>
        <v>CNA0420</v>
      </c>
      <c r="E836" t="s">
        <v>1177</v>
      </c>
      <c r="F836">
        <v>44</v>
      </c>
      <c r="G836" t="str">
        <f>_xlfn.XLOOKUP(Table1[[#This Row],[branch_name]],Table3[branch_name],Table3[id_branch])</f>
        <v>BRCH002</v>
      </c>
      <c r="H836" t="s">
        <v>1214</v>
      </c>
      <c r="I836" t="str">
        <f>_xlfn.XLOOKUP(Table1[[#This Row],[city]],Table4[city],Table4[id_city])</f>
        <v>KOA0103</v>
      </c>
      <c r="J836" t="s">
        <v>1219</v>
      </c>
      <c r="K836" t="str">
        <f>_xlfn.XLOOKUP(Table1[[#This Row],[menu_name]],Table5[menu_name],Table5[id_menu])</f>
        <v>MENU001</v>
      </c>
      <c r="L836" t="s">
        <v>1223</v>
      </c>
      <c r="M836" t="str">
        <f>_xlfn.XLOOKUP(Table1[[#This Row],[category]],Table6[category],Table6[id_category])</f>
        <v>KTG0205</v>
      </c>
      <c r="N836" t="s">
        <v>1233</v>
      </c>
      <c r="O836">
        <v>1</v>
      </c>
      <c r="P836">
        <v>25000</v>
      </c>
      <c r="Q836">
        <v>0</v>
      </c>
      <c r="R836">
        <v>4</v>
      </c>
      <c r="S836" t="str">
        <f>_xlfn.XLOOKUP(Table1[[#This Row],[method]],Table7[method],Table7[id_method])</f>
        <v>PAY0712</v>
      </c>
      <c r="T836" t="s">
        <v>1239</v>
      </c>
      <c r="U836">
        <v>25000</v>
      </c>
    </row>
    <row r="837" spans="1:21" x14ac:dyDescent="0.25">
      <c r="A837" t="s">
        <v>849</v>
      </c>
      <c r="B837" t="str">
        <f>_xlfn.XLOOKUP(Table1[[#This Row],[date]],Table8[date],Table8[id_date])</f>
        <v>TGL0956</v>
      </c>
      <c r="C837" s="1">
        <v>45904</v>
      </c>
      <c r="D837" s="1" t="str">
        <f>_xlfn.XLOOKUP(Table1[[#This Row],[customer_name]],Table11[customer_name],Table11[id_cust])</f>
        <v>CNA0280</v>
      </c>
      <c r="E837" t="s">
        <v>1140</v>
      </c>
      <c r="F837">
        <v>25</v>
      </c>
      <c r="G837" t="str">
        <f>_xlfn.XLOOKUP(Table1[[#This Row],[branch_name]],Table3[branch_name],Table3[id_branch])</f>
        <v>BRCH003</v>
      </c>
      <c r="H837" t="s">
        <v>1215</v>
      </c>
      <c r="I837" t="str">
        <f>_xlfn.XLOOKUP(Table1[[#This Row],[city]],Table4[city],Table4[id_city])</f>
        <v>KOA0104</v>
      </c>
      <c r="J837" t="s">
        <v>1220</v>
      </c>
      <c r="K837" t="str">
        <f>_xlfn.XLOOKUP(Table1[[#This Row],[menu_name]],Table5[menu_name],Table5[id_menu])</f>
        <v>MENU007</v>
      </c>
      <c r="L837" t="s">
        <v>1229</v>
      </c>
      <c r="M837" t="str">
        <f>_xlfn.XLOOKUP(Table1[[#This Row],[category]],Table6[category],Table6[id_category])</f>
        <v>KTG0207</v>
      </c>
      <c r="N837" t="s">
        <v>1235</v>
      </c>
      <c r="O837">
        <v>3</v>
      </c>
      <c r="P837">
        <v>27000</v>
      </c>
      <c r="Q837">
        <v>0</v>
      </c>
      <c r="R837">
        <v>3.1</v>
      </c>
      <c r="S837" t="str">
        <f>_xlfn.XLOOKUP(Table1[[#This Row],[method]],Table7[method],Table7[id_method])</f>
        <v>PAY0712</v>
      </c>
      <c r="T837" t="s">
        <v>1239</v>
      </c>
      <c r="U837">
        <v>81000</v>
      </c>
    </row>
    <row r="838" spans="1:21" x14ac:dyDescent="0.25">
      <c r="A838" t="s">
        <v>850</v>
      </c>
      <c r="B838" t="str">
        <f>_xlfn.XLOOKUP(Table1[[#This Row],[date]],Table8[date],Table8[id_date])</f>
        <v>TGL0956</v>
      </c>
      <c r="C838" s="1">
        <v>45904</v>
      </c>
      <c r="D838" s="1" t="str">
        <f>_xlfn.XLOOKUP(Table1[[#This Row],[customer_name]],Table11[customer_name],Table11[id_cust])</f>
        <v>CNA0104</v>
      </c>
      <c r="E838" t="s">
        <v>1017</v>
      </c>
      <c r="F838">
        <v>41</v>
      </c>
      <c r="G838" t="str">
        <f>_xlfn.XLOOKUP(Table1[[#This Row],[branch_name]],Table3[branch_name],Table3[id_branch])</f>
        <v>BRCH005</v>
      </c>
      <c r="H838" t="s">
        <v>1217</v>
      </c>
      <c r="I838" t="str">
        <f>_xlfn.XLOOKUP(Table1[[#This Row],[city]],Table4[city],Table4[id_city])</f>
        <v>KOA0106</v>
      </c>
      <c r="J838" t="s">
        <v>1222</v>
      </c>
      <c r="K838" t="str">
        <f>_xlfn.XLOOKUP(Table1[[#This Row],[menu_name]],Table5[menu_name],Table5[id_menu])</f>
        <v>MENU005</v>
      </c>
      <c r="L838" t="s">
        <v>1227</v>
      </c>
      <c r="M838" t="str">
        <f>_xlfn.XLOOKUP(Table1[[#This Row],[category]],Table6[category],Table6[id_category])</f>
        <v>KTG0206</v>
      </c>
      <c r="N838" t="s">
        <v>1234</v>
      </c>
      <c r="O838">
        <v>4</v>
      </c>
      <c r="P838">
        <v>23000</v>
      </c>
      <c r="Q838">
        <v>0</v>
      </c>
      <c r="R838">
        <v>1.7</v>
      </c>
      <c r="S838" t="str">
        <f>_xlfn.XLOOKUP(Table1[[#This Row],[method]],Table7[method],Table7[id_method])</f>
        <v>PAY0712</v>
      </c>
      <c r="T838" t="s">
        <v>1239</v>
      </c>
      <c r="U838">
        <v>92000</v>
      </c>
    </row>
    <row r="839" spans="1:21" x14ac:dyDescent="0.25">
      <c r="A839" t="s">
        <v>851</v>
      </c>
      <c r="B839" t="str">
        <f>_xlfn.XLOOKUP(Table1[[#This Row],[date]],Table8[date],Table8[id_date])</f>
        <v>TGL0956</v>
      </c>
      <c r="C839" s="1">
        <v>45904</v>
      </c>
      <c r="D839" s="1" t="str">
        <f>_xlfn.XLOOKUP(Table1[[#This Row],[customer_name]],Table11[customer_name],Table11[id_cust])</f>
        <v>CNA0271</v>
      </c>
      <c r="E839" t="s">
        <v>1135</v>
      </c>
      <c r="F839">
        <v>48</v>
      </c>
      <c r="G839" t="str">
        <f>_xlfn.XLOOKUP(Table1[[#This Row],[branch_name]],Table3[branch_name],Table3[id_branch])</f>
        <v>BRCH001</v>
      </c>
      <c r="H839" t="s">
        <v>1213</v>
      </c>
      <c r="I839" t="str">
        <f>_xlfn.XLOOKUP(Table1[[#This Row],[city]],Table4[city],Table4[id_city])</f>
        <v>KOA0102</v>
      </c>
      <c r="J839" t="s">
        <v>1218</v>
      </c>
      <c r="K839" t="str">
        <f>_xlfn.XLOOKUP(Table1[[#This Row],[menu_name]],Table5[menu_name],Table5[id_menu])</f>
        <v>MENU005</v>
      </c>
      <c r="L839" t="s">
        <v>1227</v>
      </c>
      <c r="M839" t="str">
        <f>_xlfn.XLOOKUP(Table1[[#This Row],[category]],Table6[category],Table6[id_category])</f>
        <v>KTG0206</v>
      </c>
      <c r="N839" t="s">
        <v>1234</v>
      </c>
      <c r="O839">
        <v>1</v>
      </c>
      <c r="P839">
        <v>23000</v>
      </c>
      <c r="Q839">
        <v>0</v>
      </c>
      <c r="R839">
        <v>1.9</v>
      </c>
      <c r="S839" t="str">
        <f>_xlfn.XLOOKUP(Table1[[#This Row],[method]],Table7[method],Table7[id_method])</f>
        <v>PAY0712</v>
      </c>
      <c r="T839" t="s">
        <v>1239</v>
      </c>
      <c r="U839">
        <v>23000</v>
      </c>
    </row>
    <row r="840" spans="1:21" x14ac:dyDescent="0.25">
      <c r="A840" t="s">
        <v>852</v>
      </c>
      <c r="B840" t="str">
        <f>_xlfn.XLOOKUP(Table1[[#This Row],[date]],Table8[date],Table8[id_date])</f>
        <v>TGL0956</v>
      </c>
      <c r="C840" s="1">
        <v>45904</v>
      </c>
      <c r="D840" s="1" t="str">
        <f>_xlfn.XLOOKUP(Table1[[#This Row],[customer_name]],Table11[customer_name],Table11[id_cust])</f>
        <v>CNA0131</v>
      </c>
      <c r="E840" t="s">
        <v>1043</v>
      </c>
      <c r="F840">
        <v>45</v>
      </c>
      <c r="G840" t="str">
        <f>_xlfn.XLOOKUP(Table1[[#This Row],[branch_name]],Table3[branch_name],Table3[id_branch])</f>
        <v>BRCH003</v>
      </c>
      <c r="H840" t="s">
        <v>1215</v>
      </c>
      <c r="I840" t="str">
        <f>_xlfn.XLOOKUP(Table1[[#This Row],[city]],Table4[city],Table4[id_city])</f>
        <v>KOA0104</v>
      </c>
      <c r="J840" t="s">
        <v>1220</v>
      </c>
      <c r="K840" t="str">
        <f>_xlfn.XLOOKUP(Table1[[#This Row],[menu_name]],Table5[menu_name],Table5[id_menu])</f>
        <v>MENU003</v>
      </c>
      <c r="L840" t="s">
        <v>1225</v>
      </c>
      <c r="M840" t="str">
        <f>_xlfn.XLOOKUP(Table1[[#This Row],[category]],Table6[category],Table6[id_category])</f>
        <v>KTG0205</v>
      </c>
      <c r="N840" t="s">
        <v>1233</v>
      </c>
      <c r="O840">
        <v>1</v>
      </c>
      <c r="P840">
        <v>22000</v>
      </c>
      <c r="Q840">
        <v>20</v>
      </c>
      <c r="R840">
        <v>2.9</v>
      </c>
      <c r="S840" t="str">
        <f>_xlfn.XLOOKUP(Table1[[#This Row],[method]],Table7[method],Table7[id_method])</f>
        <v>PAY0710</v>
      </c>
      <c r="T840" t="s">
        <v>1237</v>
      </c>
      <c r="U840">
        <v>17600</v>
      </c>
    </row>
    <row r="841" spans="1:21" x14ac:dyDescent="0.25">
      <c r="A841" t="s">
        <v>853</v>
      </c>
      <c r="B841" t="str">
        <f>_xlfn.XLOOKUP(Table1[[#This Row],[date]],Table8[date],Table8[id_date])</f>
        <v>TGL0957</v>
      </c>
      <c r="C841" s="1">
        <v>45907</v>
      </c>
      <c r="D841" s="1" t="str">
        <f>_xlfn.XLOOKUP(Table1[[#This Row],[customer_name]],Table11[customer_name],Table11[id_cust])</f>
        <v>CNA0381</v>
      </c>
      <c r="E841" t="s">
        <v>1168</v>
      </c>
      <c r="F841">
        <v>40</v>
      </c>
      <c r="G841" t="str">
        <f>_xlfn.XLOOKUP(Table1[[#This Row],[branch_name]],Table3[branch_name],Table3[id_branch])</f>
        <v>BRCH003</v>
      </c>
      <c r="H841" t="s">
        <v>1215</v>
      </c>
      <c r="I841" t="str">
        <f>_xlfn.XLOOKUP(Table1[[#This Row],[city]],Table4[city],Table4[id_city])</f>
        <v>KOA0104</v>
      </c>
      <c r="J841" t="s">
        <v>1220</v>
      </c>
      <c r="K841" t="str">
        <f>_xlfn.XLOOKUP(Table1[[#This Row],[menu_name]],Table5[menu_name],Table5[id_menu])</f>
        <v>MENU003</v>
      </c>
      <c r="L841" t="s">
        <v>1225</v>
      </c>
      <c r="M841" t="str">
        <f>_xlfn.XLOOKUP(Table1[[#This Row],[category]],Table6[category],Table6[id_category])</f>
        <v>KTG0205</v>
      </c>
      <c r="N841" t="s">
        <v>1233</v>
      </c>
      <c r="O841">
        <v>2</v>
      </c>
      <c r="P841">
        <v>22000</v>
      </c>
      <c r="Q841">
        <v>20</v>
      </c>
      <c r="R841">
        <v>1.5</v>
      </c>
      <c r="S841" t="str">
        <f>_xlfn.XLOOKUP(Table1[[#This Row],[method]],Table7[method],Table7[id_method])</f>
        <v>PAY0710</v>
      </c>
      <c r="T841" t="s">
        <v>1237</v>
      </c>
      <c r="U841">
        <v>35200</v>
      </c>
    </row>
    <row r="842" spans="1:21" x14ac:dyDescent="0.25">
      <c r="A842" t="s">
        <v>854</v>
      </c>
      <c r="B842" t="str">
        <f>_xlfn.XLOOKUP(Table1[[#This Row],[date]],Table8[date],Table8[id_date])</f>
        <v>TGL0957</v>
      </c>
      <c r="C842" s="1">
        <v>45907</v>
      </c>
      <c r="D842" s="1" t="str">
        <f>_xlfn.XLOOKUP(Table1[[#This Row],[customer_name]],Table11[customer_name],Table11[id_cust])</f>
        <v>CNA0130</v>
      </c>
      <c r="E842" t="s">
        <v>1042</v>
      </c>
      <c r="F842">
        <v>33</v>
      </c>
      <c r="G842" t="str">
        <f>_xlfn.XLOOKUP(Table1[[#This Row],[branch_name]],Table3[branch_name],Table3[id_branch])</f>
        <v>BRCH003</v>
      </c>
      <c r="H842" t="s">
        <v>1215</v>
      </c>
      <c r="I842" t="str">
        <f>_xlfn.XLOOKUP(Table1[[#This Row],[city]],Table4[city],Table4[id_city])</f>
        <v>KOA0104</v>
      </c>
      <c r="J842" t="s">
        <v>1220</v>
      </c>
      <c r="K842" t="str">
        <f>_xlfn.XLOOKUP(Table1[[#This Row],[menu_name]],Table5[menu_name],Table5[id_menu])</f>
        <v>MENU009</v>
      </c>
      <c r="L842" t="s">
        <v>1231</v>
      </c>
      <c r="M842" t="str">
        <f>_xlfn.XLOOKUP(Table1[[#This Row],[category]],Table6[category],Table6[id_category])</f>
        <v>KTG0206</v>
      </c>
      <c r="N842" t="s">
        <v>1234</v>
      </c>
      <c r="O842">
        <v>3</v>
      </c>
      <c r="P842">
        <v>18000</v>
      </c>
      <c r="Q842">
        <v>20</v>
      </c>
      <c r="R842">
        <v>2</v>
      </c>
      <c r="S842" t="str">
        <f>_xlfn.XLOOKUP(Table1[[#This Row],[method]],Table7[method],Table7[id_method])</f>
        <v>PAY0712</v>
      </c>
      <c r="T842" t="s">
        <v>1239</v>
      </c>
      <c r="U842">
        <v>43200</v>
      </c>
    </row>
    <row r="843" spans="1:21" x14ac:dyDescent="0.25">
      <c r="A843" t="s">
        <v>855</v>
      </c>
      <c r="B843" t="str">
        <f>_xlfn.XLOOKUP(Table1[[#This Row],[date]],Table8[date],Table8[id_date])</f>
        <v>TGL0957</v>
      </c>
      <c r="C843" s="1">
        <v>45907</v>
      </c>
      <c r="D843" s="1" t="str">
        <f>_xlfn.XLOOKUP(Table1[[#This Row],[customer_name]],Table11[customer_name],Table11[id_cust])</f>
        <v>CNA0105</v>
      </c>
      <c r="E843" t="s">
        <v>1018</v>
      </c>
      <c r="F843">
        <v>53</v>
      </c>
      <c r="G843" t="str">
        <f>_xlfn.XLOOKUP(Table1[[#This Row],[branch_name]],Table3[branch_name],Table3[id_branch])</f>
        <v>BRCH005</v>
      </c>
      <c r="H843" t="s">
        <v>1217</v>
      </c>
      <c r="I843" t="str">
        <f>_xlfn.XLOOKUP(Table1[[#This Row],[city]],Table4[city],Table4[id_city])</f>
        <v>KOA0106</v>
      </c>
      <c r="J843" t="s">
        <v>1222</v>
      </c>
      <c r="K843" t="str">
        <f>_xlfn.XLOOKUP(Table1[[#This Row],[menu_name]],Table5[menu_name],Table5[id_menu])</f>
        <v>MENU003</v>
      </c>
      <c r="L843" t="s">
        <v>1225</v>
      </c>
      <c r="M843" t="str">
        <f>_xlfn.XLOOKUP(Table1[[#This Row],[category]],Table6[category],Table6[id_category])</f>
        <v>KTG0205</v>
      </c>
      <c r="N843" t="s">
        <v>1233</v>
      </c>
      <c r="O843">
        <v>5</v>
      </c>
      <c r="P843">
        <v>22000</v>
      </c>
      <c r="Q843">
        <v>15</v>
      </c>
      <c r="R843">
        <v>2</v>
      </c>
      <c r="S843" t="str">
        <f>_xlfn.XLOOKUP(Table1[[#This Row],[method]],Table7[method],Table7[id_method])</f>
        <v>PAY0710</v>
      </c>
      <c r="T843" t="s">
        <v>1237</v>
      </c>
      <c r="U843">
        <v>93500</v>
      </c>
    </row>
    <row r="844" spans="1:21" x14ac:dyDescent="0.25">
      <c r="A844" t="s">
        <v>856</v>
      </c>
      <c r="B844" t="str">
        <f>_xlfn.XLOOKUP(Table1[[#This Row],[date]],Table8[date],Table8[id_date])</f>
        <v>TGL0957</v>
      </c>
      <c r="C844" s="1">
        <v>45907</v>
      </c>
      <c r="D844" s="1" t="str">
        <f>_xlfn.XLOOKUP(Table1[[#This Row],[customer_name]],Table11[customer_name],Table11[id_cust])</f>
        <v>CNA0760</v>
      </c>
      <c r="E844" t="s">
        <v>1203</v>
      </c>
      <c r="F844">
        <v>48</v>
      </c>
      <c r="G844" t="str">
        <f>_xlfn.XLOOKUP(Table1[[#This Row],[branch_name]],Table3[branch_name],Table3[id_branch])</f>
        <v>BRCH003</v>
      </c>
      <c r="H844" t="s">
        <v>1215</v>
      </c>
      <c r="I844" t="str">
        <f>_xlfn.XLOOKUP(Table1[[#This Row],[city]],Table4[city],Table4[id_city])</f>
        <v>KOA0104</v>
      </c>
      <c r="J844" t="s">
        <v>1220</v>
      </c>
      <c r="K844" t="str">
        <f>_xlfn.XLOOKUP(Table1[[#This Row],[menu_name]],Table5[menu_name],Table5[id_menu])</f>
        <v>MENU008</v>
      </c>
      <c r="L844" t="s">
        <v>1230</v>
      </c>
      <c r="M844" t="str">
        <f>_xlfn.XLOOKUP(Table1[[#This Row],[category]],Table6[category],Table6[id_category])</f>
        <v>KTG0205</v>
      </c>
      <c r="N844" t="s">
        <v>1233</v>
      </c>
      <c r="O844">
        <v>5</v>
      </c>
      <c r="P844">
        <v>20000</v>
      </c>
      <c r="Q844">
        <v>20</v>
      </c>
      <c r="R844">
        <v>1.9</v>
      </c>
      <c r="S844" t="str">
        <f>_xlfn.XLOOKUP(Table1[[#This Row],[method]],Table7[method],Table7[id_method])</f>
        <v>PAY0711</v>
      </c>
      <c r="T844" t="s">
        <v>1238</v>
      </c>
      <c r="U844">
        <v>80000</v>
      </c>
    </row>
    <row r="845" spans="1:21" x14ac:dyDescent="0.25">
      <c r="A845" t="s">
        <v>857</v>
      </c>
      <c r="B845" t="str">
        <f>_xlfn.XLOOKUP(Table1[[#This Row],[date]],Table8[date],Table8[id_date])</f>
        <v>TGL0958</v>
      </c>
      <c r="C845" s="1">
        <v>45908</v>
      </c>
      <c r="D845" s="1" t="str">
        <f>_xlfn.XLOOKUP(Table1[[#This Row],[customer_name]],Table11[customer_name],Table11[id_cust])</f>
        <v>CNA0374</v>
      </c>
      <c r="E845" t="s">
        <v>1167</v>
      </c>
      <c r="F845">
        <v>24</v>
      </c>
      <c r="G845" t="str">
        <f>_xlfn.XLOOKUP(Table1[[#This Row],[branch_name]],Table3[branch_name],Table3[id_branch])</f>
        <v>BRCH005</v>
      </c>
      <c r="H845" t="s">
        <v>1217</v>
      </c>
      <c r="I845" t="str">
        <f>_xlfn.XLOOKUP(Table1[[#This Row],[city]],Table4[city],Table4[id_city])</f>
        <v>KOA0106</v>
      </c>
      <c r="J845" t="s">
        <v>1222</v>
      </c>
      <c r="K845" t="str">
        <f>_xlfn.XLOOKUP(Table1[[#This Row],[menu_name]],Table5[menu_name],Table5[id_menu])</f>
        <v>MENU001</v>
      </c>
      <c r="L845" t="s">
        <v>1223</v>
      </c>
      <c r="M845" t="str">
        <f>_xlfn.XLOOKUP(Table1[[#This Row],[category]],Table6[category],Table6[id_category])</f>
        <v>KTG0205</v>
      </c>
      <c r="N845" t="s">
        <v>1233</v>
      </c>
      <c r="O845">
        <v>4</v>
      </c>
      <c r="P845">
        <v>25000</v>
      </c>
      <c r="Q845">
        <v>0</v>
      </c>
      <c r="R845">
        <v>2.2000000000000002</v>
      </c>
      <c r="S845" t="str">
        <f>_xlfn.XLOOKUP(Table1[[#This Row],[method]],Table7[method],Table7[id_method])</f>
        <v>PAY0711</v>
      </c>
      <c r="T845" t="s">
        <v>1238</v>
      </c>
      <c r="U845">
        <v>100000</v>
      </c>
    </row>
    <row r="846" spans="1:21" x14ac:dyDescent="0.25">
      <c r="A846" t="s">
        <v>858</v>
      </c>
      <c r="B846" t="str">
        <f>_xlfn.XLOOKUP(Table1[[#This Row],[date]],Table8[date],Table8[id_date])</f>
        <v>TGL0959</v>
      </c>
      <c r="C846" s="1">
        <v>45911</v>
      </c>
      <c r="D846" s="1" t="str">
        <f>_xlfn.XLOOKUP(Table1[[#This Row],[customer_name]],Table11[customer_name],Table11[id_cust])</f>
        <v>CNA0240</v>
      </c>
      <c r="E846" t="s">
        <v>1122</v>
      </c>
      <c r="F846">
        <v>47</v>
      </c>
      <c r="G846" t="str">
        <f>_xlfn.XLOOKUP(Table1[[#This Row],[branch_name]],Table3[branch_name],Table3[id_branch])</f>
        <v>BRCH003</v>
      </c>
      <c r="H846" t="s">
        <v>1215</v>
      </c>
      <c r="I846" t="str">
        <f>_xlfn.XLOOKUP(Table1[[#This Row],[city]],Table4[city],Table4[id_city])</f>
        <v>KOA0104</v>
      </c>
      <c r="J846" t="s">
        <v>1220</v>
      </c>
      <c r="K846" t="str">
        <f>_xlfn.XLOOKUP(Table1[[#This Row],[menu_name]],Table5[menu_name],Table5[id_menu])</f>
        <v>MENU003</v>
      </c>
      <c r="L846" t="s">
        <v>1225</v>
      </c>
      <c r="M846" t="str">
        <f>_xlfn.XLOOKUP(Table1[[#This Row],[category]],Table6[category],Table6[id_category])</f>
        <v>KTG0205</v>
      </c>
      <c r="N846" t="s">
        <v>1233</v>
      </c>
      <c r="O846">
        <v>4</v>
      </c>
      <c r="P846">
        <v>22000</v>
      </c>
      <c r="Q846">
        <v>0</v>
      </c>
      <c r="R846">
        <v>4.4000000000000004</v>
      </c>
      <c r="S846" t="str">
        <f>_xlfn.XLOOKUP(Table1[[#This Row],[method]],Table7[method],Table7[id_method])</f>
        <v>PAY0709</v>
      </c>
      <c r="T846" t="s">
        <v>1236</v>
      </c>
      <c r="U846">
        <v>88000</v>
      </c>
    </row>
    <row r="847" spans="1:21" x14ac:dyDescent="0.25">
      <c r="A847" t="s">
        <v>859</v>
      </c>
      <c r="B847" t="str">
        <f>_xlfn.XLOOKUP(Table1[[#This Row],[date]],Table8[date],Table8[id_date])</f>
        <v>TGL0960</v>
      </c>
      <c r="C847" s="1">
        <v>45913</v>
      </c>
      <c r="D847" s="1" t="str">
        <f>_xlfn.XLOOKUP(Table1[[#This Row],[customer_name]],Table11[customer_name],Table11[id_cust])</f>
        <v>CNA0497</v>
      </c>
      <c r="E847" t="s">
        <v>1184</v>
      </c>
      <c r="F847">
        <v>25</v>
      </c>
      <c r="G847" t="str">
        <f>_xlfn.XLOOKUP(Table1[[#This Row],[branch_name]],Table3[branch_name],Table3[id_branch])</f>
        <v>BRCH004</v>
      </c>
      <c r="H847" t="s">
        <v>1216</v>
      </c>
      <c r="I847" t="str">
        <f>_xlfn.XLOOKUP(Table1[[#This Row],[city]],Table4[city],Table4[id_city])</f>
        <v>KOA0105</v>
      </c>
      <c r="J847" t="s">
        <v>1221</v>
      </c>
      <c r="K847" t="str">
        <f>_xlfn.XLOOKUP(Table1[[#This Row],[menu_name]],Table5[menu_name],Table5[id_menu])</f>
        <v>MENU008</v>
      </c>
      <c r="L847" t="s">
        <v>1230</v>
      </c>
      <c r="M847" t="str">
        <f>_xlfn.XLOOKUP(Table1[[#This Row],[category]],Table6[category],Table6[id_category])</f>
        <v>KTG0205</v>
      </c>
      <c r="N847" t="s">
        <v>1233</v>
      </c>
      <c r="O847">
        <v>2</v>
      </c>
      <c r="P847">
        <v>20000</v>
      </c>
      <c r="Q847">
        <v>15</v>
      </c>
      <c r="R847">
        <v>4.8</v>
      </c>
      <c r="S847" t="str">
        <f>_xlfn.XLOOKUP(Table1[[#This Row],[method]],Table7[method],Table7[id_method])</f>
        <v>PAY0709</v>
      </c>
      <c r="T847" t="s">
        <v>1236</v>
      </c>
      <c r="U847">
        <v>34000</v>
      </c>
    </row>
    <row r="848" spans="1:21" x14ac:dyDescent="0.25">
      <c r="A848" t="s">
        <v>860</v>
      </c>
      <c r="B848" t="str">
        <f>_xlfn.XLOOKUP(Table1[[#This Row],[date]],Table8[date],Table8[id_date])</f>
        <v>TGL0961</v>
      </c>
      <c r="C848" s="1">
        <v>45914</v>
      </c>
      <c r="D848" s="1" t="str">
        <f>_xlfn.XLOOKUP(Table1[[#This Row],[customer_name]],Table11[customer_name],Table11[id_cust])</f>
        <v>CNA0139</v>
      </c>
      <c r="E848" t="s">
        <v>1050</v>
      </c>
      <c r="F848">
        <v>51</v>
      </c>
      <c r="G848" t="str">
        <f>_xlfn.XLOOKUP(Table1[[#This Row],[branch_name]],Table3[branch_name],Table3[id_branch])</f>
        <v>BRCH003</v>
      </c>
      <c r="H848" t="s">
        <v>1215</v>
      </c>
      <c r="I848" t="str">
        <f>_xlfn.XLOOKUP(Table1[[#This Row],[city]],Table4[city],Table4[id_city])</f>
        <v>KOA0104</v>
      </c>
      <c r="J848" t="s">
        <v>1220</v>
      </c>
      <c r="K848" t="str">
        <f>_xlfn.XLOOKUP(Table1[[#This Row],[menu_name]],Table5[menu_name],Table5[id_menu])</f>
        <v>MENU005</v>
      </c>
      <c r="L848" t="s">
        <v>1227</v>
      </c>
      <c r="M848" t="str">
        <f>_xlfn.XLOOKUP(Table1[[#This Row],[category]],Table6[category],Table6[id_category])</f>
        <v>KTG0206</v>
      </c>
      <c r="N848" t="s">
        <v>1234</v>
      </c>
      <c r="O848">
        <v>3</v>
      </c>
      <c r="P848">
        <v>23000</v>
      </c>
      <c r="Q848">
        <v>20</v>
      </c>
      <c r="R848">
        <v>1.8</v>
      </c>
      <c r="S848" t="str">
        <f>_xlfn.XLOOKUP(Table1[[#This Row],[method]],Table7[method],Table7[id_method])</f>
        <v>PAY0709</v>
      </c>
      <c r="T848" t="s">
        <v>1236</v>
      </c>
      <c r="U848">
        <v>55200</v>
      </c>
    </row>
    <row r="849" spans="1:21" x14ac:dyDescent="0.25">
      <c r="A849" t="s">
        <v>861</v>
      </c>
      <c r="B849" t="str">
        <f>_xlfn.XLOOKUP(Table1[[#This Row],[date]],Table8[date],Table8[id_date])</f>
        <v>TGL0961</v>
      </c>
      <c r="C849" s="1">
        <v>45914</v>
      </c>
      <c r="D849" s="1" t="str">
        <f>_xlfn.XLOOKUP(Table1[[#This Row],[customer_name]],Table11[customer_name],Table11[id_cust])</f>
        <v>CNA0240</v>
      </c>
      <c r="E849" t="s">
        <v>1122</v>
      </c>
      <c r="F849">
        <v>47</v>
      </c>
      <c r="G849" t="str">
        <f>_xlfn.XLOOKUP(Table1[[#This Row],[branch_name]],Table3[branch_name],Table3[id_branch])</f>
        <v>BRCH001</v>
      </c>
      <c r="H849" t="s">
        <v>1213</v>
      </c>
      <c r="I849" t="str">
        <f>_xlfn.XLOOKUP(Table1[[#This Row],[city]],Table4[city],Table4[id_city])</f>
        <v>KOA0102</v>
      </c>
      <c r="J849" t="s">
        <v>1218</v>
      </c>
      <c r="K849" t="str">
        <f>_xlfn.XLOOKUP(Table1[[#This Row],[menu_name]],Table5[menu_name],Table5[id_menu])</f>
        <v>MENU001</v>
      </c>
      <c r="L849" t="s">
        <v>1223</v>
      </c>
      <c r="M849" t="str">
        <f>_xlfn.XLOOKUP(Table1[[#This Row],[category]],Table6[category],Table6[id_category])</f>
        <v>KTG0205</v>
      </c>
      <c r="N849" t="s">
        <v>1233</v>
      </c>
      <c r="O849">
        <v>5</v>
      </c>
      <c r="P849">
        <v>25000</v>
      </c>
      <c r="Q849">
        <v>20</v>
      </c>
      <c r="R849">
        <v>2.8</v>
      </c>
      <c r="S849" t="str">
        <f>_xlfn.XLOOKUP(Table1[[#This Row],[method]],Table7[method],Table7[id_method])</f>
        <v>PAY0711</v>
      </c>
      <c r="T849" t="s">
        <v>1238</v>
      </c>
      <c r="U849">
        <v>100000</v>
      </c>
    </row>
    <row r="850" spans="1:21" x14ac:dyDescent="0.25">
      <c r="A850" t="s">
        <v>862</v>
      </c>
      <c r="B850" t="str">
        <f>_xlfn.XLOOKUP(Table1[[#This Row],[date]],Table8[date],Table8[id_date])</f>
        <v>TGL0961</v>
      </c>
      <c r="C850" s="1">
        <v>45914</v>
      </c>
      <c r="D850" s="1" t="str">
        <f>_xlfn.XLOOKUP(Table1[[#This Row],[customer_name]],Table11[customer_name],Table11[id_cust])</f>
        <v>CNA0497</v>
      </c>
      <c r="E850" t="s">
        <v>1184</v>
      </c>
      <c r="F850">
        <v>25</v>
      </c>
      <c r="G850" t="str">
        <f>_xlfn.XLOOKUP(Table1[[#This Row],[branch_name]],Table3[branch_name],Table3[id_branch])</f>
        <v>BRCH004</v>
      </c>
      <c r="H850" t="s">
        <v>1216</v>
      </c>
      <c r="I850" t="str">
        <f>_xlfn.XLOOKUP(Table1[[#This Row],[city]],Table4[city],Table4[id_city])</f>
        <v>KOA0105</v>
      </c>
      <c r="J850" t="s">
        <v>1221</v>
      </c>
      <c r="K850" t="str">
        <f>_xlfn.XLOOKUP(Table1[[#This Row],[menu_name]],Table5[menu_name],Table5[id_menu])</f>
        <v>MENU010</v>
      </c>
      <c r="L850" t="s">
        <v>1232</v>
      </c>
      <c r="M850" t="str">
        <f>_xlfn.XLOOKUP(Table1[[#This Row],[category]],Table6[category],Table6[id_category])</f>
        <v>KTG0205</v>
      </c>
      <c r="N850" t="s">
        <v>1233</v>
      </c>
      <c r="O850">
        <v>5</v>
      </c>
      <c r="P850">
        <v>18000</v>
      </c>
      <c r="Q850">
        <v>15</v>
      </c>
      <c r="R850">
        <v>2.2000000000000002</v>
      </c>
      <c r="S850" t="str">
        <f>_xlfn.XLOOKUP(Table1[[#This Row],[method]],Table7[method],Table7[id_method])</f>
        <v>PAY0711</v>
      </c>
      <c r="T850" t="s">
        <v>1238</v>
      </c>
      <c r="U850">
        <v>76500</v>
      </c>
    </row>
    <row r="851" spans="1:21" x14ac:dyDescent="0.25">
      <c r="A851" t="s">
        <v>863</v>
      </c>
      <c r="B851" t="str">
        <f>_xlfn.XLOOKUP(Table1[[#This Row],[date]],Table8[date],Table8[id_date])</f>
        <v>TGL0961</v>
      </c>
      <c r="C851" s="1">
        <v>45914</v>
      </c>
      <c r="D851" s="1" t="str">
        <f>_xlfn.XLOOKUP(Table1[[#This Row],[customer_name]],Table11[customer_name],Table11[id_cust])</f>
        <v>CNA0121</v>
      </c>
      <c r="E851" t="s">
        <v>1034</v>
      </c>
      <c r="F851">
        <v>25</v>
      </c>
      <c r="G851" t="str">
        <f>_xlfn.XLOOKUP(Table1[[#This Row],[branch_name]],Table3[branch_name],Table3[id_branch])</f>
        <v>BRCH003</v>
      </c>
      <c r="H851" t="s">
        <v>1215</v>
      </c>
      <c r="I851" t="str">
        <f>_xlfn.XLOOKUP(Table1[[#This Row],[city]],Table4[city],Table4[id_city])</f>
        <v>KOA0104</v>
      </c>
      <c r="J851" t="s">
        <v>1220</v>
      </c>
      <c r="K851" t="str">
        <f>_xlfn.XLOOKUP(Table1[[#This Row],[menu_name]],Table5[menu_name],Table5[id_menu])</f>
        <v>MENU009</v>
      </c>
      <c r="L851" t="s">
        <v>1231</v>
      </c>
      <c r="M851" t="str">
        <f>_xlfn.XLOOKUP(Table1[[#This Row],[category]],Table6[category],Table6[id_category])</f>
        <v>KTG0206</v>
      </c>
      <c r="N851" t="s">
        <v>1234</v>
      </c>
      <c r="O851">
        <v>3</v>
      </c>
      <c r="P851">
        <v>18000</v>
      </c>
      <c r="Q851">
        <v>20</v>
      </c>
      <c r="R851">
        <v>1.2</v>
      </c>
      <c r="S851" t="str">
        <f>_xlfn.XLOOKUP(Table1[[#This Row],[method]],Table7[method],Table7[id_method])</f>
        <v>PAY0710</v>
      </c>
      <c r="T851" t="s">
        <v>1237</v>
      </c>
      <c r="U851">
        <v>43200</v>
      </c>
    </row>
    <row r="852" spans="1:21" x14ac:dyDescent="0.25">
      <c r="A852" t="s">
        <v>864</v>
      </c>
      <c r="B852" t="str">
        <f>_xlfn.XLOOKUP(Table1[[#This Row],[date]],Table8[date],Table8[id_date])</f>
        <v>TGL0962</v>
      </c>
      <c r="C852" s="1">
        <v>45915</v>
      </c>
      <c r="D852" s="1" t="str">
        <f>_xlfn.XLOOKUP(Table1[[#This Row],[customer_name]],Table11[customer_name],Table11[id_cust])</f>
        <v>CNA0318</v>
      </c>
      <c r="E852" t="s">
        <v>1157</v>
      </c>
      <c r="F852">
        <v>27</v>
      </c>
      <c r="G852" t="str">
        <f>_xlfn.XLOOKUP(Table1[[#This Row],[branch_name]],Table3[branch_name],Table3[id_branch])</f>
        <v>BRCH003</v>
      </c>
      <c r="H852" t="s">
        <v>1215</v>
      </c>
      <c r="I852" t="str">
        <f>_xlfn.XLOOKUP(Table1[[#This Row],[city]],Table4[city],Table4[id_city])</f>
        <v>KOA0104</v>
      </c>
      <c r="J852" t="s">
        <v>1220</v>
      </c>
      <c r="K852" t="str">
        <f>_xlfn.XLOOKUP(Table1[[#This Row],[menu_name]],Table5[menu_name],Table5[id_menu])</f>
        <v>MENU003</v>
      </c>
      <c r="L852" t="s">
        <v>1225</v>
      </c>
      <c r="M852" t="str">
        <f>_xlfn.XLOOKUP(Table1[[#This Row],[category]],Table6[category],Table6[id_category])</f>
        <v>KTG0205</v>
      </c>
      <c r="N852" t="s">
        <v>1233</v>
      </c>
      <c r="O852">
        <v>4</v>
      </c>
      <c r="P852">
        <v>22000</v>
      </c>
      <c r="Q852">
        <v>0</v>
      </c>
      <c r="R852">
        <v>2</v>
      </c>
      <c r="S852" t="str">
        <f>_xlfn.XLOOKUP(Table1[[#This Row],[method]],Table7[method],Table7[id_method])</f>
        <v>PAY0711</v>
      </c>
      <c r="T852" t="s">
        <v>1238</v>
      </c>
      <c r="U852">
        <v>88000</v>
      </c>
    </row>
    <row r="853" spans="1:21" x14ac:dyDescent="0.25">
      <c r="A853" t="s">
        <v>865</v>
      </c>
      <c r="B853" t="str">
        <f>_xlfn.XLOOKUP(Table1[[#This Row],[date]],Table8[date],Table8[id_date])</f>
        <v>TGL0962</v>
      </c>
      <c r="C853" s="1">
        <v>45915</v>
      </c>
      <c r="D853" s="1" t="str">
        <f>_xlfn.XLOOKUP(Table1[[#This Row],[customer_name]],Table11[customer_name],Table11[id_cust])</f>
        <v>CNA0277</v>
      </c>
      <c r="E853" t="s">
        <v>1138</v>
      </c>
      <c r="F853">
        <v>52</v>
      </c>
      <c r="G853" t="str">
        <f>_xlfn.XLOOKUP(Table1[[#This Row],[branch_name]],Table3[branch_name],Table3[id_branch])</f>
        <v>BRCH005</v>
      </c>
      <c r="H853" t="s">
        <v>1217</v>
      </c>
      <c r="I853" t="str">
        <f>_xlfn.XLOOKUP(Table1[[#This Row],[city]],Table4[city],Table4[id_city])</f>
        <v>KOA0106</v>
      </c>
      <c r="J853" t="s">
        <v>1222</v>
      </c>
      <c r="K853" t="str">
        <f>_xlfn.XLOOKUP(Table1[[#This Row],[menu_name]],Table5[menu_name],Table5[id_menu])</f>
        <v>MENU006</v>
      </c>
      <c r="L853" t="s">
        <v>1228</v>
      </c>
      <c r="M853" t="str">
        <f>_xlfn.XLOOKUP(Table1[[#This Row],[category]],Table6[category],Table6[id_category])</f>
        <v>KTG0206</v>
      </c>
      <c r="N853" t="s">
        <v>1234</v>
      </c>
      <c r="O853">
        <v>2</v>
      </c>
      <c r="P853">
        <v>32000</v>
      </c>
      <c r="Q853">
        <v>20</v>
      </c>
      <c r="R853">
        <v>2.6</v>
      </c>
      <c r="S853" t="str">
        <f>_xlfn.XLOOKUP(Table1[[#This Row],[method]],Table7[method],Table7[id_method])</f>
        <v>PAY0709</v>
      </c>
      <c r="T853" t="s">
        <v>1236</v>
      </c>
      <c r="U853">
        <v>51200</v>
      </c>
    </row>
    <row r="854" spans="1:21" x14ac:dyDescent="0.25">
      <c r="A854" t="s">
        <v>866</v>
      </c>
      <c r="B854" t="str">
        <f>_xlfn.XLOOKUP(Table1[[#This Row],[date]],Table8[date],Table8[id_date])</f>
        <v>TGL0962</v>
      </c>
      <c r="C854" s="1">
        <v>45915</v>
      </c>
      <c r="D854" s="1" t="str">
        <f>_xlfn.XLOOKUP(Table1[[#This Row],[customer_name]],Table11[customer_name],Table11[id_cust])</f>
        <v>CNA0155</v>
      </c>
      <c r="E854" t="s">
        <v>1064</v>
      </c>
      <c r="F854">
        <v>18</v>
      </c>
      <c r="G854" t="str">
        <f>_xlfn.XLOOKUP(Table1[[#This Row],[branch_name]],Table3[branch_name],Table3[id_branch])</f>
        <v>BRCH004</v>
      </c>
      <c r="H854" t="s">
        <v>1216</v>
      </c>
      <c r="I854" t="str">
        <f>_xlfn.XLOOKUP(Table1[[#This Row],[city]],Table4[city],Table4[id_city])</f>
        <v>KOA0105</v>
      </c>
      <c r="J854" t="s">
        <v>1221</v>
      </c>
      <c r="K854" t="str">
        <f>_xlfn.XLOOKUP(Table1[[#This Row],[menu_name]],Table5[menu_name],Table5[id_menu])</f>
        <v>MENU007</v>
      </c>
      <c r="L854" t="s">
        <v>1229</v>
      </c>
      <c r="M854" t="str">
        <f>_xlfn.XLOOKUP(Table1[[#This Row],[category]],Table6[category],Table6[id_category])</f>
        <v>KTG0207</v>
      </c>
      <c r="N854" t="s">
        <v>1235</v>
      </c>
      <c r="O854">
        <v>3</v>
      </c>
      <c r="P854">
        <v>27000</v>
      </c>
      <c r="Q854">
        <v>0</v>
      </c>
      <c r="R854">
        <v>2.1</v>
      </c>
      <c r="S854" t="str">
        <f>_xlfn.XLOOKUP(Table1[[#This Row],[method]],Table7[method],Table7[id_method])</f>
        <v>PAY0709</v>
      </c>
      <c r="T854" t="s">
        <v>1236</v>
      </c>
      <c r="U854">
        <v>81000</v>
      </c>
    </row>
    <row r="855" spans="1:21" x14ac:dyDescent="0.25">
      <c r="A855" t="s">
        <v>867</v>
      </c>
      <c r="B855" t="str">
        <f>_xlfn.XLOOKUP(Table1[[#This Row],[date]],Table8[date],Table8[id_date])</f>
        <v>TGL0963</v>
      </c>
      <c r="C855" s="1">
        <v>45916</v>
      </c>
      <c r="D855" s="1" t="str">
        <f>_xlfn.XLOOKUP(Table1[[#This Row],[customer_name]],Table11[customer_name],Table11[id_cust])</f>
        <v>CNA0203</v>
      </c>
      <c r="E855" t="s">
        <v>1098</v>
      </c>
      <c r="F855">
        <v>22</v>
      </c>
      <c r="G855" t="str">
        <f>_xlfn.XLOOKUP(Table1[[#This Row],[branch_name]],Table3[branch_name],Table3[id_branch])</f>
        <v>BRCH004</v>
      </c>
      <c r="H855" t="s">
        <v>1216</v>
      </c>
      <c r="I855" t="str">
        <f>_xlfn.XLOOKUP(Table1[[#This Row],[city]],Table4[city],Table4[id_city])</f>
        <v>KOA0105</v>
      </c>
      <c r="J855" t="s">
        <v>1221</v>
      </c>
      <c r="K855" t="str">
        <f>_xlfn.XLOOKUP(Table1[[#This Row],[menu_name]],Table5[menu_name],Table5[id_menu])</f>
        <v>MENU008</v>
      </c>
      <c r="L855" t="s">
        <v>1230</v>
      </c>
      <c r="M855" t="str">
        <f>_xlfn.XLOOKUP(Table1[[#This Row],[category]],Table6[category],Table6[id_category])</f>
        <v>KTG0205</v>
      </c>
      <c r="N855" t="s">
        <v>1233</v>
      </c>
      <c r="O855">
        <v>4</v>
      </c>
      <c r="P855">
        <v>20000</v>
      </c>
      <c r="Q855">
        <v>0</v>
      </c>
      <c r="R855">
        <v>3.4</v>
      </c>
      <c r="S855" t="str">
        <f>_xlfn.XLOOKUP(Table1[[#This Row],[method]],Table7[method],Table7[id_method])</f>
        <v>PAY0712</v>
      </c>
      <c r="T855" t="s">
        <v>1239</v>
      </c>
      <c r="U855">
        <v>80000</v>
      </c>
    </row>
    <row r="856" spans="1:21" x14ac:dyDescent="0.25">
      <c r="A856" t="s">
        <v>868</v>
      </c>
      <c r="B856" t="str">
        <f>_xlfn.XLOOKUP(Table1[[#This Row],[date]],Table8[date],Table8[id_date])</f>
        <v>TGL0963</v>
      </c>
      <c r="C856" s="1">
        <v>45916</v>
      </c>
      <c r="D856" s="1" t="str">
        <f>_xlfn.XLOOKUP(Table1[[#This Row],[customer_name]],Table11[customer_name],Table11[id_cust])</f>
        <v>CNA0240</v>
      </c>
      <c r="E856" t="s">
        <v>1122</v>
      </c>
      <c r="F856">
        <v>47</v>
      </c>
      <c r="G856" t="str">
        <f>_xlfn.XLOOKUP(Table1[[#This Row],[branch_name]],Table3[branch_name],Table3[id_branch])</f>
        <v>BRCH005</v>
      </c>
      <c r="H856" t="s">
        <v>1217</v>
      </c>
      <c r="I856" t="str">
        <f>_xlfn.XLOOKUP(Table1[[#This Row],[city]],Table4[city],Table4[id_city])</f>
        <v>KOA0106</v>
      </c>
      <c r="J856" t="s">
        <v>1222</v>
      </c>
      <c r="K856" t="str">
        <f>_xlfn.XLOOKUP(Table1[[#This Row],[menu_name]],Table5[menu_name],Table5[id_menu])</f>
        <v>MENU006</v>
      </c>
      <c r="L856" t="s">
        <v>1228</v>
      </c>
      <c r="M856" t="str">
        <f>_xlfn.XLOOKUP(Table1[[#This Row],[category]],Table6[category],Table6[id_category])</f>
        <v>KTG0206</v>
      </c>
      <c r="N856" t="s">
        <v>1234</v>
      </c>
      <c r="O856">
        <v>5</v>
      </c>
      <c r="P856">
        <v>32000</v>
      </c>
      <c r="Q856">
        <v>0</v>
      </c>
      <c r="R856">
        <v>4.4000000000000004</v>
      </c>
      <c r="S856" t="str">
        <f>_xlfn.XLOOKUP(Table1[[#This Row],[method]],Table7[method],Table7[id_method])</f>
        <v>PAY0710</v>
      </c>
      <c r="T856" t="s">
        <v>1237</v>
      </c>
      <c r="U856">
        <v>160000</v>
      </c>
    </row>
    <row r="857" spans="1:21" x14ac:dyDescent="0.25">
      <c r="A857" t="s">
        <v>869</v>
      </c>
      <c r="B857" t="str">
        <f>_xlfn.XLOOKUP(Table1[[#This Row],[date]],Table8[date],Table8[id_date])</f>
        <v>TGL0964</v>
      </c>
      <c r="C857" s="1">
        <v>45917</v>
      </c>
      <c r="D857" s="1" t="str">
        <f>_xlfn.XLOOKUP(Table1[[#This Row],[customer_name]],Table11[customer_name],Table11[id_cust])</f>
        <v>CNA0127</v>
      </c>
      <c r="E857" t="s">
        <v>1039</v>
      </c>
      <c r="F857">
        <v>48</v>
      </c>
      <c r="G857" t="str">
        <f>_xlfn.XLOOKUP(Table1[[#This Row],[branch_name]],Table3[branch_name],Table3[id_branch])</f>
        <v>BRCH001</v>
      </c>
      <c r="H857" t="s">
        <v>1213</v>
      </c>
      <c r="I857" t="str">
        <f>_xlfn.XLOOKUP(Table1[[#This Row],[city]],Table4[city],Table4[id_city])</f>
        <v>KOA0102</v>
      </c>
      <c r="J857" t="s">
        <v>1218</v>
      </c>
      <c r="K857" t="str">
        <f>_xlfn.XLOOKUP(Table1[[#This Row],[menu_name]],Table5[menu_name],Table5[id_menu])</f>
        <v>MENU007</v>
      </c>
      <c r="L857" t="s">
        <v>1229</v>
      </c>
      <c r="M857" t="str">
        <f>_xlfn.XLOOKUP(Table1[[#This Row],[category]],Table6[category],Table6[id_category])</f>
        <v>KTG0207</v>
      </c>
      <c r="N857" t="s">
        <v>1235</v>
      </c>
      <c r="O857">
        <v>1</v>
      </c>
      <c r="P857">
        <v>27000</v>
      </c>
      <c r="Q857">
        <v>20</v>
      </c>
      <c r="R857">
        <v>3</v>
      </c>
      <c r="S857" t="str">
        <f>_xlfn.XLOOKUP(Table1[[#This Row],[method]],Table7[method],Table7[id_method])</f>
        <v>PAY0712</v>
      </c>
      <c r="T857" t="s">
        <v>1239</v>
      </c>
      <c r="U857">
        <v>21600</v>
      </c>
    </row>
    <row r="858" spans="1:21" x14ac:dyDescent="0.25">
      <c r="A858" t="s">
        <v>870</v>
      </c>
      <c r="B858" t="str">
        <f>_xlfn.XLOOKUP(Table1[[#This Row],[date]],Table8[date],Table8[id_date])</f>
        <v>TGL0964</v>
      </c>
      <c r="C858" s="1">
        <v>45917</v>
      </c>
      <c r="D858" s="1" t="str">
        <f>_xlfn.XLOOKUP(Table1[[#This Row],[customer_name]],Table11[customer_name],Table11[id_cust])</f>
        <v>CNA0105</v>
      </c>
      <c r="E858" t="s">
        <v>1018</v>
      </c>
      <c r="F858">
        <v>53</v>
      </c>
      <c r="G858" t="str">
        <f>_xlfn.XLOOKUP(Table1[[#This Row],[branch_name]],Table3[branch_name],Table3[id_branch])</f>
        <v>BRCH001</v>
      </c>
      <c r="H858" t="s">
        <v>1213</v>
      </c>
      <c r="I858" t="str">
        <f>_xlfn.XLOOKUP(Table1[[#This Row],[city]],Table4[city],Table4[id_city])</f>
        <v>KOA0102</v>
      </c>
      <c r="J858" t="s">
        <v>1218</v>
      </c>
      <c r="K858" t="str">
        <f>_xlfn.XLOOKUP(Table1[[#This Row],[menu_name]],Table5[menu_name],Table5[id_menu])</f>
        <v>MENU005</v>
      </c>
      <c r="L858" t="s">
        <v>1227</v>
      </c>
      <c r="M858" t="str">
        <f>_xlfn.XLOOKUP(Table1[[#This Row],[category]],Table6[category],Table6[id_category])</f>
        <v>KTG0206</v>
      </c>
      <c r="N858" t="s">
        <v>1234</v>
      </c>
      <c r="O858">
        <v>5</v>
      </c>
      <c r="P858">
        <v>23000</v>
      </c>
      <c r="Q858">
        <v>0</v>
      </c>
      <c r="R858">
        <v>2.5</v>
      </c>
      <c r="S858" t="str">
        <f>_xlfn.XLOOKUP(Table1[[#This Row],[method]],Table7[method],Table7[id_method])</f>
        <v>PAY0709</v>
      </c>
      <c r="T858" t="s">
        <v>1236</v>
      </c>
      <c r="U858">
        <v>115000</v>
      </c>
    </row>
    <row r="859" spans="1:21" x14ac:dyDescent="0.25">
      <c r="A859" t="s">
        <v>871</v>
      </c>
      <c r="B859" t="str">
        <f>_xlfn.XLOOKUP(Table1[[#This Row],[date]],Table8[date],Table8[id_date])</f>
        <v>TGL0965</v>
      </c>
      <c r="C859" s="1">
        <v>45918</v>
      </c>
      <c r="D859" s="1" t="str">
        <f>_xlfn.XLOOKUP(Table1[[#This Row],[customer_name]],Table11[customer_name],Table11[id_cust])</f>
        <v>CNA0117</v>
      </c>
      <c r="E859" t="s">
        <v>1030</v>
      </c>
      <c r="F859">
        <v>53</v>
      </c>
      <c r="G859" t="str">
        <f>_xlfn.XLOOKUP(Table1[[#This Row],[branch_name]],Table3[branch_name],Table3[id_branch])</f>
        <v>BRCH005</v>
      </c>
      <c r="H859" t="s">
        <v>1217</v>
      </c>
      <c r="I859" t="str">
        <f>_xlfn.XLOOKUP(Table1[[#This Row],[city]],Table4[city],Table4[id_city])</f>
        <v>KOA0106</v>
      </c>
      <c r="J859" t="s">
        <v>1222</v>
      </c>
      <c r="K859" t="str">
        <f>_xlfn.XLOOKUP(Table1[[#This Row],[menu_name]],Table5[menu_name],Table5[id_menu])</f>
        <v>MENU008</v>
      </c>
      <c r="L859" t="s">
        <v>1230</v>
      </c>
      <c r="M859" t="str">
        <f>_xlfn.XLOOKUP(Table1[[#This Row],[category]],Table6[category],Table6[id_category])</f>
        <v>KTG0205</v>
      </c>
      <c r="N859" t="s">
        <v>1233</v>
      </c>
      <c r="O859">
        <v>5</v>
      </c>
      <c r="P859">
        <v>20000</v>
      </c>
      <c r="Q859">
        <v>20</v>
      </c>
      <c r="R859">
        <v>4.5999999999999996</v>
      </c>
      <c r="S859" t="str">
        <f>_xlfn.XLOOKUP(Table1[[#This Row],[method]],Table7[method],Table7[id_method])</f>
        <v>PAY0710</v>
      </c>
      <c r="T859" t="s">
        <v>1237</v>
      </c>
      <c r="U859">
        <v>80000</v>
      </c>
    </row>
    <row r="860" spans="1:21" x14ac:dyDescent="0.25">
      <c r="A860" t="s">
        <v>872</v>
      </c>
      <c r="B860" t="str">
        <f>_xlfn.XLOOKUP(Table1[[#This Row],[date]],Table8[date],Table8[id_date])</f>
        <v>TGL0966</v>
      </c>
      <c r="C860" s="1">
        <v>45919</v>
      </c>
      <c r="D860" s="1" t="str">
        <f>_xlfn.XLOOKUP(Table1[[#This Row],[customer_name]],Table11[customer_name],Table11[id_cust])</f>
        <v>CNA0138</v>
      </c>
      <c r="E860" t="s">
        <v>1049</v>
      </c>
      <c r="F860">
        <v>53</v>
      </c>
      <c r="G860" t="str">
        <f>_xlfn.XLOOKUP(Table1[[#This Row],[branch_name]],Table3[branch_name],Table3[id_branch])</f>
        <v>BRCH004</v>
      </c>
      <c r="H860" t="s">
        <v>1216</v>
      </c>
      <c r="I860" t="str">
        <f>_xlfn.XLOOKUP(Table1[[#This Row],[city]],Table4[city],Table4[id_city])</f>
        <v>KOA0105</v>
      </c>
      <c r="J860" t="s">
        <v>1221</v>
      </c>
      <c r="K860" t="str">
        <f>_xlfn.XLOOKUP(Table1[[#This Row],[menu_name]],Table5[menu_name],Table5[id_menu])</f>
        <v>MENU008</v>
      </c>
      <c r="L860" t="s">
        <v>1230</v>
      </c>
      <c r="M860" t="str">
        <f>_xlfn.XLOOKUP(Table1[[#This Row],[category]],Table6[category],Table6[id_category])</f>
        <v>KTG0205</v>
      </c>
      <c r="N860" t="s">
        <v>1233</v>
      </c>
      <c r="O860">
        <v>1</v>
      </c>
      <c r="P860">
        <v>20000</v>
      </c>
      <c r="Q860">
        <v>5</v>
      </c>
      <c r="R860">
        <v>3.3</v>
      </c>
      <c r="S860" t="str">
        <f>_xlfn.XLOOKUP(Table1[[#This Row],[method]],Table7[method],Table7[id_method])</f>
        <v>PAY0711</v>
      </c>
      <c r="T860" t="s">
        <v>1238</v>
      </c>
      <c r="U860">
        <v>19000</v>
      </c>
    </row>
    <row r="861" spans="1:21" x14ac:dyDescent="0.25">
      <c r="A861" t="s">
        <v>873</v>
      </c>
      <c r="B861" t="str">
        <f>_xlfn.XLOOKUP(Table1[[#This Row],[date]],Table8[date],Table8[id_date])</f>
        <v>TGL0967</v>
      </c>
      <c r="C861" s="1">
        <v>45921</v>
      </c>
      <c r="D861" s="1" t="str">
        <f>_xlfn.XLOOKUP(Table1[[#This Row],[customer_name]],Table11[customer_name],Table11[id_cust])</f>
        <v>CNA0507</v>
      </c>
      <c r="E861" t="s">
        <v>1185</v>
      </c>
      <c r="F861">
        <v>24</v>
      </c>
      <c r="G861" t="str">
        <f>_xlfn.XLOOKUP(Table1[[#This Row],[branch_name]],Table3[branch_name],Table3[id_branch])</f>
        <v>BRCH004</v>
      </c>
      <c r="H861" t="s">
        <v>1216</v>
      </c>
      <c r="I861" t="str">
        <f>_xlfn.XLOOKUP(Table1[[#This Row],[city]],Table4[city],Table4[id_city])</f>
        <v>KOA0105</v>
      </c>
      <c r="J861" t="s">
        <v>1221</v>
      </c>
      <c r="K861" t="str">
        <f>_xlfn.XLOOKUP(Table1[[#This Row],[menu_name]],Table5[menu_name],Table5[id_menu])</f>
        <v>MENU007</v>
      </c>
      <c r="L861" t="s">
        <v>1229</v>
      </c>
      <c r="M861" t="str">
        <f>_xlfn.XLOOKUP(Table1[[#This Row],[category]],Table6[category],Table6[id_category])</f>
        <v>KTG0207</v>
      </c>
      <c r="N861" t="s">
        <v>1235</v>
      </c>
      <c r="O861">
        <v>1</v>
      </c>
      <c r="P861">
        <v>27000</v>
      </c>
      <c r="Q861">
        <v>5</v>
      </c>
      <c r="R861">
        <v>3</v>
      </c>
      <c r="S861" t="str">
        <f>_xlfn.XLOOKUP(Table1[[#This Row],[method]],Table7[method],Table7[id_method])</f>
        <v>PAY0709</v>
      </c>
      <c r="T861" t="s">
        <v>1236</v>
      </c>
      <c r="U861">
        <v>25650</v>
      </c>
    </row>
    <row r="862" spans="1:21" x14ac:dyDescent="0.25">
      <c r="A862" t="s">
        <v>874</v>
      </c>
      <c r="B862" t="str">
        <f>_xlfn.XLOOKUP(Table1[[#This Row],[date]],Table8[date],Table8[id_date])</f>
        <v>TGL0968</v>
      </c>
      <c r="C862" s="1">
        <v>45922</v>
      </c>
      <c r="D862" s="1" t="str">
        <f>_xlfn.XLOOKUP(Table1[[#This Row],[customer_name]],Table11[customer_name],Table11[id_cust])</f>
        <v>CNA0167</v>
      </c>
      <c r="E862" t="s">
        <v>1072</v>
      </c>
      <c r="F862">
        <v>38</v>
      </c>
      <c r="G862" t="str">
        <f>_xlfn.XLOOKUP(Table1[[#This Row],[branch_name]],Table3[branch_name],Table3[id_branch])</f>
        <v>BRCH001</v>
      </c>
      <c r="H862" t="s">
        <v>1213</v>
      </c>
      <c r="I862" t="str">
        <f>_xlfn.XLOOKUP(Table1[[#This Row],[city]],Table4[city],Table4[id_city])</f>
        <v>KOA0102</v>
      </c>
      <c r="J862" t="s">
        <v>1218</v>
      </c>
      <c r="K862" t="str">
        <f>_xlfn.XLOOKUP(Table1[[#This Row],[menu_name]],Table5[menu_name],Table5[id_menu])</f>
        <v>MENU005</v>
      </c>
      <c r="L862" t="s">
        <v>1227</v>
      </c>
      <c r="M862" t="str">
        <f>_xlfn.XLOOKUP(Table1[[#This Row],[category]],Table6[category],Table6[id_category])</f>
        <v>KTG0206</v>
      </c>
      <c r="N862" t="s">
        <v>1234</v>
      </c>
      <c r="O862">
        <v>5</v>
      </c>
      <c r="P862">
        <v>23000</v>
      </c>
      <c r="Q862">
        <v>0</v>
      </c>
      <c r="R862">
        <v>4.9000000000000004</v>
      </c>
      <c r="S862" t="str">
        <f>_xlfn.XLOOKUP(Table1[[#This Row],[method]],Table7[method],Table7[id_method])</f>
        <v>PAY0709</v>
      </c>
      <c r="T862" t="s">
        <v>1236</v>
      </c>
      <c r="U862">
        <v>115000</v>
      </c>
    </row>
    <row r="863" spans="1:21" x14ac:dyDescent="0.25">
      <c r="A863" t="s">
        <v>875</v>
      </c>
      <c r="B863" t="str">
        <f>_xlfn.XLOOKUP(Table1[[#This Row],[date]],Table8[date],Table8[id_date])</f>
        <v>TGL0969</v>
      </c>
      <c r="C863" s="1">
        <v>45925</v>
      </c>
      <c r="D863" s="1" t="str">
        <f>_xlfn.XLOOKUP(Table1[[#This Row],[customer_name]],Table11[customer_name],Table11[id_cust])</f>
        <v>CNA0124</v>
      </c>
      <c r="E863" t="s">
        <v>1037</v>
      </c>
      <c r="F863">
        <v>33</v>
      </c>
      <c r="G863" t="str">
        <f>_xlfn.XLOOKUP(Table1[[#This Row],[branch_name]],Table3[branch_name],Table3[id_branch])</f>
        <v>BRCH004</v>
      </c>
      <c r="H863" t="s">
        <v>1216</v>
      </c>
      <c r="I863" t="str">
        <f>_xlfn.XLOOKUP(Table1[[#This Row],[city]],Table4[city],Table4[id_city])</f>
        <v>KOA0105</v>
      </c>
      <c r="J863" t="s">
        <v>1221</v>
      </c>
      <c r="K863" t="str">
        <f>_xlfn.XLOOKUP(Table1[[#This Row],[menu_name]],Table5[menu_name],Table5[id_menu])</f>
        <v>MENU003</v>
      </c>
      <c r="L863" t="s">
        <v>1225</v>
      </c>
      <c r="M863" t="str">
        <f>_xlfn.XLOOKUP(Table1[[#This Row],[category]],Table6[category],Table6[id_category])</f>
        <v>KTG0205</v>
      </c>
      <c r="N863" t="s">
        <v>1233</v>
      </c>
      <c r="O863">
        <v>3</v>
      </c>
      <c r="P863">
        <v>22000</v>
      </c>
      <c r="Q863">
        <v>15</v>
      </c>
      <c r="R863">
        <v>2.6</v>
      </c>
      <c r="S863" t="str">
        <f>_xlfn.XLOOKUP(Table1[[#This Row],[method]],Table7[method],Table7[id_method])</f>
        <v>PAY0710</v>
      </c>
      <c r="T863" t="s">
        <v>1237</v>
      </c>
      <c r="U863">
        <v>56100</v>
      </c>
    </row>
    <row r="864" spans="1:21" x14ac:dyDescent="0.25">
      <c r="A864" t="s">
        <v>876</v>
      </c>
      <c r="B864" t="str">
        <f>_xlfn.XLOOKUP(Table1[[#This Row],[date]],Table8[date],Table8[id_date])</f>
        <v>TGL0969</v>
      </c>
      <c r="C864" s="1">
        <v>45925</v>
      </c>
      <c r="D864" s="1" t="str">
        <f>_xlfn.XLOOKUP(Table1[[#This Row],[customer_name]],Table11[customer_name],Table11[id_cust])</f>
        <v>CNA0175</v>
      </c>
      <c r="E864" t="s">
        <v>1080</v>
      </c>
      <c r="F864">
        <v>48</v>
      </c>
      <c r="G864" t="str">
        <f>_xlfn.XLOOKUP(Table1[[#This Row],[branch_name]],Table3[branch_name],Table3[id_branch])</f>
        <v>BRCH005</v>
      </c>
      <c r="H864" t="s">
        <v>1217</v>
      </c>
      <c r="I864" t="str">
        <f>_xlfn.XLOOKUP(Table1[[#This Row],[city]],Table4[city],Table4[id_city])</f>
        <v>KOA0106</v>
      </c>
      <c r="J864" t="s">
        <v>1222</v>
      </c>
      <c r="K864" t="str">
        <f>_xlfn.XLOOKUP(Table1[[#This Row],[menu_name]],Table5[menu_name],Table5[id_menu])</f>
        <v>MENU008</v>
      </c>
      <c r="L864" t="s">
        <v>1230</v>
      </c>
      <c r="M864" t="str">
        <f>_xlfn.XLOOKUP(Table1[[#This Row],[category]],Table6[category],Table6[id_category])</f>
        <v>KTG0205</v>
      </c>
      <c r="N864" t="s">
        <v>1233</v>
      </c>
      <c r="O864">
        <v>3</v>
      </c>
      <c r="P864">
        <v>20000</v>
      </c>
      <c r="Q864">
        <v>10</v>
      </c>
      <c r="R864">
        <v>3.8</v>
      </c>
      <c r="S864" t="str">
        <f>_xlfn.XLOOKUP(Table1[[#This Row],[method]],Table7[method],Table7[id_method])</f>
        <v>PAY0711</v>
      </c>
      <c r="T864" t="s">
        <v>1238</v>
      </c>
      <c r="U864">
        <v>54000</v>
      </c>
    </row>
    <row r="865" spans="1:21" x14ac:dyDescent="0.25">
      <c r="A865" t="s">
        <v>877</v>
      </c>
      <c r="B865" t="str">
        <f>_xlfn.XLOOKUP(Table1[[#This Row],[date]],Table8[date],Table8[id_date])</f>
        <v>TGL0969</v>
      </c>
      <c r="C865" s="1">
        <v>45925</v>
      </c>
      <c r="D865" s="1" t="str">
        <f>_xlfn.XLOOKUP(Table1[[#This Row],[customer_name]],Table11[customer_name],Table11[id_cust])</f>
        <v>CNA0120</v>
      </c>
      <c r="E865" t="s">
        <v>1033</v>
      </c>
      <c r="F865">
        <v>44</v>
      </c>
      <c r="G865" t="str">
        <f>_xlfn.XLOOKUP(Table1[[#This Row],[branch_name]],Table3[branch_name],Table3[id_branch])</f>
        <v>BRCH002</v>
      </c>
      <c r="H865" t="s">
        <v>1214</v>
      </c>
      <c r="I865" t="str">
        <f>_xlfn.XLOOKUP(Table1[[#This Row],[city]],Table4[city],Table4[id_city])</f>
        <v>KOA0103</v>
      </c>
      <c r="J865" t="s">
        <v>1219</v>
      </c>
      <c r="K865" t="str">
        <f>_xlfn.XLOOKUP(Table1[[#This Row],[menu_name]],Table5[menu_name],Table5[id_menu])</f>
        <v>MENU007</v>
      </c>
      <c r="L865" t="s">
        <v>1229</v>
      </c>
      <c r="M865" t="str">
        <f>_xlfn.XLOOKUP(Table1[[#This Row],[category]],Table6[category],Table6[id_category])</f>
        <v>KTG0207</v>
      </c>
      <c r="N865" t="s">
        <v>1235</v>
      </c>
      <c r="O865">
        <v>4</v>
      </c>
      <c r="P865">
        <v>27000</v>
      </c>
      <c r="Q865">
        <v>10</v>
      </c>
      <c r="R865">
        <v>3.5</v>
      </c>
      <c r="S865" t="str">
        <f>_xlfn.XLOOKUP(Table1[[#This Row],[method]],Table7[method],Table7[id_method])</f>
        <v>PAY0712</v>
      </c>
      <c r="T865" t="s">
        <v>1239</v>
      </c>
      <c r="U865">
        <v>97200</v>
      </c>
    </row>
    <row r="866" spans="1:21" x14ac:dyDescent="0.25">
      <c r="A866" t="s">
        <v>878</v>
      </c>
      <c r="B866" t="str">
        <f>_xlfn.XLOOKUP(Table1[[#This Row],[date]],Table8[date],Table8[id_date])</f>
        <v>TGL0969</v>
      </c>
      <c r="C866" s="1">
        <v>45925</v>
      </c>
      <c r="D866" s="1" t="str">
        <f>_xlfn.XLOOKUP(Table1[[#This Row],[customer_name]],Table11[customer_name],Table11[id_cust])</f>
        <v>CNA0381</v>
      </c>
      <c r="E866" t="s">
        <v>1168</v>
      </c>
      <c r="F866">
        <v>40</v>
      </c>
      <c r="G866" t="str">
        <f>_xlfn.XLOOKUP(Table1[[#This Row],[branch_name]],Table3[branch_name],Table3[id_branch])</f>
        <v>BRCH002</v>
      </c>
      <c r="H866" t="s">
        <v>1214</v>
      </c>
      <c r="I866" t="str">
        <f>_xlfn.XLOOKUP(Table1[[#This Row],[city]],Table4[city],Table4[id_city])</f>
        <v>KOA0103</v>
      </c>
      <c r="J866" t="s">
        <v>1219</v>
      </c>
      <c r="K866" t="str">
        <f>_xlfn.XLOOKUP(Table1[[#This Row],[menu_name]],Table5[menu_name],Table5[id_menu])</f>
        <v>MENU004</v>
      </c>
      <c r="L866" t="s">
        <v>1226</v>
      </c>
      <c r="M866" t="str">
        <f>_xlfn.XLOOKUP(Table1[[#This Row],[category]],Table6[category],Table6[id_category])</f>
        <v>KTG0207</v>
      </c>
      <c r="N866" t="s">
        <v>1235</v>
      </c>
      <c r="O866">
        <v>5</v>
      </c>
      <c r="P866">
        <v>28000</v>
      </c>
      <c r="Q866">
        <v>20</v>
      </c>
      <c r="R866">
        <v>3</v>
      </c>
      <c r="S866" t="str">
        <f>_xlfn.XLOOKUP(Table1[[#This Row],[method]],Table7[method],Table7[id_method])</f>
        <v>PAY0711</v>
      </c>
      <c r="T866" t="s">
        <v>1238</v>
      </c>
      <c r="U866">
        <v>112000</v>
      </c>
    </row>
    <row r="867" spans="1:21" x14ac:dyDescent="0.25">
      <c r="A867" t="s">
        <v>879</v>
      </c>
      <c r="B867" t="str">
        <f>_xlfn.XLOOKUP(Table1[[#This Row],[date]],Table8[date],Table8[id_date])</f>
        <v>TGL0970</v>
      </c>
      <c r="C867" s="1">
        <v>45926</v>
      </c>
      <c r="D867" s="1" t="str">
        <f>_xlfn.XLOOKUP(Table1[[#This Row],[customer_name]],Table11[customer_name],Table11[id_cust])</f>
        <v>CNA0203</v>
      </c>
      <c r="E867" t="s">
        <v>1098</v>
      </c>
      <c r="F867">
        <v>22</v>
      </c>
      <c r="G867" t="str">
        <f>_xlfn.XLOOKUP(Table1[[#This Row],[branch_name]],Table3[branch_name],Table3[id_branch])</f>
        <v>BRCH002</v>
      </c>
      <c r="H867" t="s">
        <v>1214</v>
      </c>
      <c r="I867" t="str">
        <f>_xlfn.XLOOKUP(Table1[[#This Row],[city]],Table4[city],Table4[id_city])</f>
        <v>KOA0103</v>
      </c>
      <c r="J867" t="s">
        <v>1219</v>
      </c>
      <c r="K867" t="str">
        <f>_xlfn.XLOOKUP(Table1[[#This Row],[menu_name]],Table5[menu_name],Table5[id_menu])</f>
        <v>MENU009</v>
      </c>
      <c r="L867" t="s">
        <v>1231</v>
      </c>
      <c r="M867" t="str">
        <f>_xlfn.XLOOKUP(Table1[[#This Row],[category]],Table6[category],Table6[id_category])</f>
        <v>KTG0206</v>
      </c>
      <c r="N867" t="s">
        <v>1234</v>
      </c>
      <c r="O867">
        <v>5</v>
      </c>
      <c r="P867">
        <v>18000</v>
      </c>
      <c r="Q867">
        <v>0</v>
      </c>
      <c r="R867">
        <v>1.3</v>
      </c>
      <c r="S867" t="str">
        <f>_xlfn.XLOOKUP(Table1[[#This Row],[method]],Table7[method],Table7[id_method])</f>
        <v>PAY0710</v>
      </c>
      <c r="T867" t="s">
        <v>1237</v>
      </c>
      <c r="U867">
        <v>90000</v>
      </c>
    </row>
    <row r="868" spans="1:21" x14ac:dyDescent="0.25">
      <c r="A868" t="s">
        <v>880</v>
      </c>
      <c r="B868" t="str">
        <f>_xlfn.XLOOKUP(Table1[[#This Row],[date]],Table8[date],Table8[id_date])</f>
        <v>TGL0971</v>
      </c>
      <c r="C868" s="1">
        <v>45927</v>
      </c>
      <c r="D868" s="1" t="str">
        <f>_xlfn.XLOOKUP(Table1[[#This Row],[customer_name]],Table11[customer_name],Table11[id_cust])</f>
        <v>CNA0184</v>
      </c>
      <c r="E868" t="s">
        <v>1086</v>
      </c>
      <c r="F868">
        <v>24</v>
      </c>
      <c r="G868" t="str">
        <f>_xlfn.XLOOKUP(Table1[[#This Row],[branch_name]],Table3[branch_name],Table3[id_branch])</f>
        <v>BRCH005</v>
      </c>
      <c r="H868" t="s">
        <v>1217</v>
      </c>
      <c r="I868" t="str">
        <f>_xlfn.XLOOKUP(Table1[[#This Row],[city]],Table4[city],Table4[id_city])</f>
        <v>KOA0106</v>
      </c>
      <c r="J868" t="s">
        <v>1222</v>
      </c>
      <c r="K868" t="str">
        <f>_xlfn.XLOOKUP(Table1[[#This Row],[menu_name]],Table5[menu_name],Table5[id_menu])</f>
        <v>MENU007</v>
      </c>
      <c r="L868" t="s">
        <v>1229</v>
      </c>
      <c r="M868" t="str">
        <f>_xlfn.XLOOKUP(Table1[[#This Row],[category]],Table6[category],Table6[id_category])</f>
        <v>KTG0207</v>
      </c>
      <c r="N868" t="s">
        <v>1235</v>
      </c>
      <c r="O868">
        <v>2</v>
      </c>
      <c r="P868">
        <v>27000</v>
      </c>
      <c r="Q868">
        <v>10</v>
      </c>
      <c r="R868">
        <v>1.6</v>
      </c>
      <c r="S868" t="str">
        <f>_xlfn.XLOOKUP(Table1[[#This Row],[method]],Table7[method],Table7[id_method])</f>
        <v>PAY0712</v>
      </c>
      <c r="T868" t="s">
        <v>1239</v>
      </c>
      <c r="U868">
        <v>48600</v>
      </c>
    </row>
    <row r="869" spans="1:21" x14ac:dyDescent="0.25">
      <c r="A869" t="s">
        <v>881</v>
      </c>
      <c r="B869" t="str">
        <f>_xlfn.XLOOKUP(Table1[[#This Row],[date]],Table8[date],Table8[id_date])</f>
        <v>TGL0972</v>
      </c>
      <c r="C869" s="1">
        <v>45928</v>
      </c>
      <c r="D869" s="1" t="str">
        <f>_xlfn.XLOOKUP(Table1[[#This Row],[customer_name]],Table11[customer_name],Table11[id_cust])</f>
        <v>CNA0155</v>
      </c>
      <c r="E869" t="s">
        <v>1064</v>
      </c>
      <c r="F869">
        <v>18</v>
      </c>
      <c r="G869" t="str">
        <f>_xlfn.XLOOKUP(Table1[[#This Row],[branch_name]],Table3[branch_name],Table3[id_branch])</f>
        <v>BRCH004</v>
      </c>
      <c r="H869" t="s">
        <v>1216</v>
      </c>
      <c r="I869" t="str">
        <f>_xlfn.XLOOKUP(Table1[[#This Row],[city]],Table4[city],Table4[id_city])</f>
        <v>KOA0105</v>
      </c>
      <c r="J869" t="s">
        <v>1221</v>
      </c>
      <c r="K869" t="str">
        <f>_xlfn.XLOOKUP(Table1[[#This Row],[menu_name]],Table5[menu_name],Table5[id_menu])</f>
        <v>MENU007</v>
      </c>
      <c r="L869" t="s">
        <v>1229</v>
      </c>
      <c r="M869" t="str">
        <f>_xlfn.XLOOKUP(Table1[[#This Row],[category]],Table6[category],Table6[id_category])</f>
        <v>KTG0207</v>
      </c>
      <c r="N869" t="s">
        <v>1235</v>
      </c>
      <c r="O869">
        <v>4</v>
      </c>
      <c r="P869">
        <v>27000</v>
      </c>
      <c r="Q869">
        <v>10</v>
      </c>
      <c r="R869">
        <v>2.8</v>
      </c>
      <c r="S869" t="str">
        <f>_xlfn.XLOOKUP(Table1[[#This Row],[method]],Table7[method],Table7[id_method])</f>
        <v>PAY0709</v>
      </c>
      <c r="T869" t="s">
        <v>1236</v>
      </c>
      <c r="U869">
        <v>97200</v>
      </c>
    </row>
    <row r="870" spans="1:21" x14ac:dyDescent="0.25">
      <c r="A870" t="s">
        <v>882</v>
      </c>
      <c r="B870" t="str">
        <f>_xlfn.XLOOKUP(Table1[[#This Row],[date]],Table8[date],Table8[id_date])</f>
        <v>TGL0973</v>
      </c>
      <c r="C870" s="1">
        <v>45929</v>
      </c>
      <c r="D870" s="1" t="str">
        <f>_xlfn.XLOOKUP(Table1[[#This Row],[customer_name]],Table11[customer_name],Table11[id_cust])</f>
        <v>CNA0144</v>
      </c>
      <c r="E870" t="s">
        <v>1053</v>
      </c>
      <c r="F870">
        <v>42</v>
      </c>
      <c r="G870" t="str">
        <f>_xlfn.XLOOKUP(Table1[[#This Row],[branch_name]],Table3[branch_name],Table3[id_branch])</f>
        <v>BRCH002</v>
      </c>
      <c r="H870" t="s">
        <v>1214</v>
      </c>
      <c r="I870" t="str">
        <f>_xlfn.XLOOKUP(Table1[[#This Row],[city]],Table4[city],Table4[id_city])</f>
        <v>KOA0103</v>
      </c>
      <c r="J870" t="s">
        <v>1219</v>
      </c>
      <c r="K870" t="str">
        <f>_xlfn.XLOOKUP(Table1[[#This Row],[menu_name]],Table5[menu_name],Table5[id_menu])</f>
        <v>MENU007</v>
      </c>
      <c r="L870" t="s">
        <v>1229</v>
      </c>
      <c r="M870" t="str">
        <f>_xlfn.XLOOKUP(Table1[[#This Row],[category]],Table6[category],Table6[id_category])</f>
        <v>KTG0207</v>
      </c>
      <c r="N870" t="s">
        <v>1235</v>
      </c>
      <c r="O870">
        <v>1</v>
      </c>
      <c r="P870">
        <v>27000</v>
      </c>
      <c r="Q870">
        <v>20</v>
      </c>
      <c r="R870">
        <v>1.2</v>
      </c>
      <c r="S870" t="str">
        <f>_xlfn.XLOOKUP(Table1[[#This Row],[method]],Table7[method],Table7[id_method])</f>
        <v>PAY0712</v>
      </c>
      <c r="T870" t="s">
        <v>1239</v>
      </c>
      <c r="U870">
        <v>21600</v>
      </c>
    </row>
    <row r="871" spans="1:21" x14ac:dyDescent="0.25">
      <c r="A871" t="s">
        <v>883</v>
      </c>
      <c r="B871" t="str">
        <f>_xlfn.XLOOKUP(Table1[[#This Row],[date]],Table8[date],Table8[id_date])</f>
        <v>TGL0973</v>
      </c>
      <c r="C871" s="1">
        <v>45929</v>
      </c>
      <c r="D871" s="1" t="str">
        <f>_xlfn.XLOOKUP(Table1[[#This Row],[customer_name]],Table11[customer_name],Table11[id_cust])</f>
        <v>CNA0118</v>
      </c>
      <c r="E871" t="s">
        <v>1031</v>
      </c>
      <c r="F871">
        <v>22</v>
      </c>
      <c r="G871" t="str">
        <f>_xlfn.XLOOKUP(Table1[[#This Row],[branch_name]],Table3[branch_name],Table3[id_branch])</f>
        <v>BRCH004</v>
      </c>
      <c r="H871" t="s">
        <v>1216</v>
      </c>
      <c r="I871" t="str">
        <f>_xlfn.XLOOKUP(Table1[[#This Row],[city]],Table4[city],Table4[id_city])</f>
        <v>KOA0105</v>
      </c>
      <c r="J871" t="s">
        <v>1221</v>
      </c>
      <c r="K871" t="str">
        <f>_xlfn.XLOOKUP(Table1[[#This Row],[menu_name]],Table5[menu_name],Table5[id_menu])</f>
        <v>MENU003</v>
      </c>
      <c r="L871" t="s">
        <v>1225</v>
      </c>
      <c r="M871" t="str">
        <f>_xlfn.XLOOKUP(Table1[[#This Row],[category]],Table6[category],Table6[id_category])</f>
        <v>KTG0205</v>
      </c>
      <c r="N871" t="s">
        <v>1233</v>
      </c>
      <c r="O871">
        <v>5</v>
      </c>
      <c r="P871">
        <v>22000</v>
      </c>
      <c r="Q871">
        <v>10</v>
      </c>
      <c r="R871">
        <v>2.8</v>
      </c>
      <c r="S871" t="str">
        <f>_xlfn.XLOOKUP(Table1[[#This Row],[method]],Table7[method],Table7[id_method])</f>
        <v>PAY0711</v>
      </c>
      <c r="T871" t="s">
        <v>1238</v>
      </c>
      <c r="U871">
        <v>99000</v>
      </c>
    </row>
    <row r="872" spans="1:21" x14ac:dyDescent="0.25">
      <c r="A872" t="s">
        <v>884</v>
      </c>
      <c r="B872" t="str">
        <f>_xlfn.XLOOKUP(Table1[[#This Row],[date]],Table8[date],Table8[id_date])</f>
        <v>TGL0974</v>
      </c>
      <c r="C872" s="1">
        <v>45930</v>
      </c>
      <c r="D872" s="1" t="str">
        <f>_xlfn.XLOOKUP(Table1[[#This Row],[customer_name]],Table11[customer_name],Table11[id_cust])</f>
        <v>CNA0131</v>
      </c>
      <c r="E872" t="s">
        <v>1043</v>
      </c>
      <c r="F872">
        <v>45</v>
      </c>
      <c r="G872" t="str">
        <f>_xlfn.XLOOKUP(Table1[[#This Row],[branch_name]],Table3[branch_name],Table3[id_branch])</f>
        <v>BRCH004</v>
      </c>
      <c r="H872" t="s">
        <v>1216</v>
      </c>
      <c r="I872" t="str">
        <f>_xlfn.XLOOKUP(Table1[[#This Row],[city]],Table4[city],Table4[id_city])</f>
        <v>KOA0105</v>
      </c>
      <c r="J872" t="s">
        <v>1221</v>
      </c>
      <c r="K872" t="str">
        <f>_xlfn.XLOOKUP(Table1[[#This Row],[menu_name]],Table5[menu_name],Table5[id_menu])</f>
        <v>MENU009</v>
      </c>
      <c r="L872" t="s">
        <v>1231</v>
      </c>
      <c r="M872" t="str">
        <f>_xlfn.XLOOKUP(Table1[[#This Row],[category]],Table6[category],Table6[id_category])</f>
        <v>KTG0206</v>
      </c>
      <c r="N872" t="s">
        <v>1234</v>
      </c>
      <c r="O872">
        <v>2</v>
      </c>
      <c r="P872">
        <v>18000</v>
      </c>
      <c r="Q872">
        <v>0</v>
      </c>
      <c r="R872">
        <v>4.3</v>
      </c>
      <c r="S872" t="str">
        <f>_xlfn.XLOOKUP(Table1[[#This Row],[method]],Table7[method],Table7[id_method])</f>
        <v>PAY0712</v>
      </c>
      <c r="T872" t="s">
        <v>1239</v>
      </c>
      <c r="U872">
        <v>36000</v>
      </c>
    </row>
    <row r="873" spans="1:21" x14ac:dyDescent="0.25">
      <c r="A873" t="s">
        <v>885</v>
      </c>
      <c r="B873" t="str">
        <f>_xlfn.XLOOKUP(Table1[[#This Row],[date]],Table8[date],Table8[id_date])</f>
        <v>TGL0974</v>
      </c>
      <c r="C873" s="1">
        <v>45930</v>
      </c>
      <c r="D873" s="1" t="str">
        <f>_xlfn.XLOOKUP(Table1[[#This Row],[customer_name]],Table11[customer_name],Table11[id_cust])</f>
        <v>CNA0262</v>
      </c>
      <c r="E873" t="s">
        <v>1130</v>
      </c>
      <c r="F873">
        <v>30</v>
      </c>
      <c r="G873" t="str">
        <f>_xlfn.XLOOKUP(Table1[[#This Row],[branch_name]],Table3[branch_name],Table3[id_branch])</f>
        <v>BRCH003</v>
      </c>
      <c r="H873" t="s">
        <v>1215</v>
      </c>
      <c r="I873" t="str">
        <f>_xlfn.XLOOKUP(Table1[[#This Row],[city]],Table4[city],Table4[id_city])</f>
        <v>KOA0104</v>
      </c>
      <c r="J873" t="s">
        <v>1220</v>
      </c>
      <c r="K873" t="str">
        <f>_xlfn.XLOOKUP(Table1[[#This Row],[menu_name]],Table5[menu_name],Table5[id_menu])</f>
        <v>MENU007</v>
      </c>
      <c r="L873" t="s">
        <v>1229</v>
      </c>
      <c r="M873" t="str">
        <f>_xlfn.XLOOKUP(Table1[[#This Row],[category]],Table6[category],Table6[id_category])</f>
        <v>KTG0207</v>
      </c>
      <c r="N873" t="s">
        <v>1235</v>
      </c>
      <c r="O873">
        <v>2</v>
      </c>
      <c r="P873">
        <v>27000</v>
      </c>
      <c r="Q873">
        <v>15</v>
      </c>
      <c r="R873">
        <v>4.2</v>
      </c>
      <c r="S873" t="str">
        <f>_xlfn.XLOOKUP(Table1[[#This Row],[method]],Table7[method],Table7[id_method])</f>
        <v>PAY0710</v>
      </c>
      <c r="T873" t="s">
        <v>1237</v>
      </c>
      <c r="U873">
        <v>45900</v>
      </c>
    </row>
    <row r="874" spans="1:21" x14ac:dyDescent="0.25">
      <c r="A874" t="s">
        <v>886</v>
      </c>
      <c r="B874" t="str">
        <f>_xlfn.XLOOKUP(Table1[[#This Row],[date]],Table8[date],Table8[id_date])</f>
        <v>TGL0975</v>
      </c>
      <c r="C874" s="1">
        <v>45931</v>
      </c>
      <c r="D874" s="1" t="str">
        <f>_xlfn.XLOOKUP(Table1[[#This Row],[customer_name]],Table11[customer_name],Table11[id_cust])</f>
        <v>CNA0853</v>
      </c>
      <c r="E874" t="s">
        <v>1207</v>
      </c>
      <c r="F874">
        <v>32</v>
      </c>
      <c r="G874" t="str">
        <f>_xlfn.XLOOKUP(Table1[[#This Row],[branch_name]],Table3[branch_name],Table3[id_branch])</f>
        <v>BRCH004</v>
      </c>
      <c r="H874" t="s">
        <v>1216</v>
      </c>
      <c r="I874" t="str">
        <f>_xlfn.XLOOKUP(Table1[[#This Row],[city]],Table4[city],Table4[id_city])</f>
        <v>KOA0105</v>
      </c>
      <c r="J874" t="s">
        <v>1221</v>
      </c>
      <c r="K874" t="str">
        <f>_xlfn.XLOOKUP(Table1[[#This Row],[menu_name]],Table5[menu_name],Table5[id_menu])</f>
        <v>MENU003</v>
      </c>
      <c r="L874" t="s">
        <v>1225</v>
      </c>
      <c r="M874" t="str">
        <f>_xlfn.XLOOKUP(Table1[[#This Row],[category]],Table6[category],Table6[id_category])</f>
        <v>KTG0205</v>
      </c>
      <c r="N874" t="s">
        <v>1233</v>
      </c>
      <c r="O874">
        <v>5</v>
      </c>
      <c r="P874">
        <v>22000</v>
      </c>
      <c r="Q874">
        <v>15</v>
      </c>
      <c r="R874">
        <v>1.1000000000000001</v>
      </c>
      <c r="S874" t="str">
        <f>_xlfn.XLOOKUP(Table1[[#This Row],[method]],Table7[method],Table7[id_method])</f>
        <v>PAY0711</v>
      </c>
      <c r="T874" t="s">
        <v>1238</v>
      </c>
      <c r="U874">
        <v>93500</v>
      </c>
    </row>
    <row r="875" spans="1:21" x14ac:dyDescent="0.25">
      <c r="A875" t="s">
        <v>887</v>
      </c>
      <c r="B875" t="str">
        <f>_xlfn.XLOOKUP(Table1[[#This Row],[date]],Table8[date],Table8[id_date])</f>
        <v>TGL0975</v>
      </c>
      <c r="C875" s="1">
        <v>45931</v>
      </c>
      <c r="D875" s="1" t="str">
        <f>_xlfn.XLOOKUP(Table1[[#This Row],[customer_name]],Table11[customer_name],Table11[id_cust])</f>
        <v>CNA0268</v>
      </c>
      <c r="E875" t="s">
        <v>1133</v>
      </c>
      <c r="F875">
        <v>31</v>
      </c>
      <c r="G875" t="str">
        <f>_xlfn.XLOOKUP(Table1[[#This Row],[branch_name]],Table3[branch_name],Table3[id_branch])</f>
        <v>BRCH002</v>
      </c>
      <c r="H875" t="s">
        <v>1214</v>
      </c>
      <c r="I875" t="str">
        <f>_xlfn.XLOOKUP(Table1[[#This Row],[city]],Table4[city],Table4[id_city])</f>
        <v>KOA0103</v>
      </c>
      <c r="J875" t="s">
        <v>1219</v>
      </c>
      <c r="K875" t="str">
        <f>_xlfn.XLOOKUP(Table1[[#This Row],[menu_name]],Table5[menu_name],Table5[id_menu])</f>
        <v>MENU006</v>
      </c>
      <c r="L875" t="s">
        <v>1228</v>
      </c>
      <c r="M875" t="str">
        <f>_xlfn.XLOOKUP(Table1[[#This Row],[category]],Table6[category],Table6[id_category])</f>
        <v>KTG0206</v>
      </c>
      <c r="N875" t="s">
        <v>1234</v>
      </c>
      <c r="O875">
        <v>4</v>
      </c>
      <c r="P875">
        <v>32000</v>
      </c>
      <c r="Q875">
        <v>0</v>
      </c>
      <c r="R875">
        <v>2.2000000000000002</v>
      </c>
      <c r="S875" t="str">
        <f>_xlfn.XLOOKUP(Table1[[#This Row],[method]],Table7[method],Table7[id_method])</f>
        <v>PAY0712</v>
      </c>
      <c r="T875" t="s">
        <v>1239</v>
      </c>
      <c r="U875">
        <v>128000</v>
      </c>
    </row>
    <row r="876" spans="1:21" x14ac:dyDescent="0.25">
      <c r="A876" t="s">
        <v>888</v>
      </c>
      <c r="B876" t="str">
        <f>_xlfn.XLOOKUP(Table1[[#This Row],[date]],Table8[date],Table8[id_date])</f>
        <v>TGL0975</v>
      </c>
      <c r="C876" s="1">
        <v>45931</v>
      </c>
      <c r="D876" s="1" t="str">
        <f>_xlfn.XLOOKUP(Table1[[#This Row],[customer_name]],Table11[customer_name],Table11[id_cust])</f>
        <v>CNA0120</v>
      </c>
      <c r="E876" t="s">
        <v>1033</v>
      </c>
      <c r="F876">
        <v>44</v>
      </c>
      <c r="G876" t="str">
        <f>_xlfn.XLOOKUP(Table1[[#This Row],[branch_name]],Table3[branch_name],Table3[id_branch])</f>
        <v>BRCH004</v>
      </c>
      <c r="H876" t="s">
        <v>1216</v>
      </c>
      <c r="I876" t="str">
        <f>_xlfn.XLOOKUP(Table1[[#This Row],[city]],Table4[city],Table4[id_city])</f>
        <v>KOA0105</v>
      </c>
      <c r="J876" t="s">
        <v>1221</v>
      </c>
      <c r="K876" t="str">
        <f>_xlfn.XLOOKUP(Table1[[#This Row],[menu_name]],Table5[menu_name],Table5[id_menu])</f>
        <v>MENU002</v>
      </c>
      <c r="L876" t="s">
        <v>1224</v>
      </c>
      <c r="M876" t="str">
        <f>_xlfn.XLOOKUP(Table1[[#This Row],[category]],Table6[category],Table6[id_category])</f>
        <v>KTG0206</v>
      </c>
      <c r="N876" t="s">
        <v>1234</v>
      </c>
      <c r="O876">
        <v>3</v>
      </c>
      <c r="P876">
        <v>30000</v>
      </c>
      <c r="Q876">
        <v>20</v>
      </c>
      <c r="R876">
        <v>4.2</v>
      </c>
      <c r="S876" t="str">
        <f>_xlfn.XLOOKUP(Table1[[#This Row],[method]],Table7[method],Table7[id_method])</f>
        <v>PAY0710</v>
      </c>
      <c r="T876" t="s">
        <v>1237</v>
      </c>
      <c r="U876">
        <v>72000</v>
      </c>
    </row>
    <row r="877" spans="1:21" x14ac:dyDescent="0.25">
      <c r="A877" t="s">
        <v>889</v>
      </c>
      <c r="B877" t="str">
        <f>_xlfn.XLOOKUP(Table1[[#This Row],[date]],Table8[date],Table8[id_date])</f>
        <v>TGL0976</v>
      </c>
      <c r="C877" s="1">
        <v>45932</v>
      </c>
      <c r="D877" s="1" t="str">
        <f>_xlfn.XLOOKUP(Table1[[#This Row],[customer_name]],Table11[customer_name],Table11[id_cust])</f>
        <v>CNA0976</v>
      </c>
      <c r="E877" t="s">
        <v>1211</v>
      </c>
      <c r="F877">
        <v>31</v>
      </c>
      <c r="G877" t="str">
        <f>_xlfn.XLOOKUP(Table1[[#This Row],[branch_name]],Table3[branch_name],Table3[id_branch])</f>
        <v>BRCH003</v>
      </c>
      <c r="H877" t="s">
        <v>1215</v>
      </c>
      <c r="I877" t="str">
        <f>_xlfn.XLOOKUP(Table1[[#This Row],[city]],Table4[city],Table4[id_city])</f>
        <v>KOA0104</v>
      </c>
      <c r="J877" t="s">
        <v>1220</v>
      </c>
      <c r="K877" t="str">
        <f>_xlfn.XLOOKUP(Table1[[#This Row],[menu_name]],Table5[menu_name],Table5[id_menu])</f>
        <v>MENU002</v>
      </c>
      <c r="L877" t="s">
        <v>1224</v>
      </c>
      <c r="M877" t="str">
        <f>_xlfn.XLOOKUP(Table1[[#This Row],[category]],Table6[category],Table6[id_category])</f>
        <v>KTG0206</v>
      </c>
      <c r="N877" t="s">
        <v>1234</v>
      </c>
      <c r="O877">
        <v>5</v>
      </c>
      <c r="P877">
        <v>30000</v>
      </c>
      <c r="Q877">
        <v>0</v>
      </c>
      <c r="R877">
        <v>3.5</v>
      </c>
      <c r="S877" t="str">
        <f>_xlfn.XLOOKUP(Table1[[#This Row],[method]],Table7[method],Table7[id_method])</f>
        <v>PAY0711</v>
      </c>
      <c r="T877" t="s">
        <v>1238</v>
      </c>
      <c r="U877">
        <v>150000</v>
      </c>
    </row>
    <row r="878" spans="1:21" x14ac:dyDescent="0.25">
      <c r="A878" t="s">
        <v>890</v>
      </c>
      <c r="B878" t="str">
        <f>_xlfn.XLOOKUP(Table1[[#This Row],[date]],Table8[date],Table8[id_date])</f>
        <v>TGL0976</v>
      </c>
      <c r="C878" s="1">
        <v>45932</v>
      </c>
      <c r="D878" s="1" t="str">
        <f>_xlfn.XLOOKUP(Table1[[#This Row],[customer_name]],Table11[customer_name],Table11[id_cust])</f>
        <v>CNA0240</v>
      </c>
      <c r="E878" t="s">
        <v>1122</v>
      </c>
      <c r="F878">
        <v>47</v>
      </c>
      <c r="G878" t="str">
        <f>_xlfn.XLOOKUP(Table1[[#This Row],[branch_name]],Table3[branch_name],Table3[id_branch])</f>
        <v>BRCH005</v>
      </c>
      <c r="H878" t="s">
        <v>1217</v>
      </c>
      <c r="I878" t="str">
        <f>_xlfn.XLOOKUP(Table1[[#This Row],[city]],Table4[city],Table4[id_city])</f>
        <v>KOA0106</v>
      </c>
      <c r="J878" t="s">
        <v>1222</v>
      </c>
      <c r="K878" t="str">
        <f>_xlfn.XLOOKUP(Table1[[#This Row],[menu_name]],Table5[menu_name],Table5[id_menu])</f>
        <v>MENU003</v>
      </c>
      <c r="L878" t="s">
        <v>1225</v>
      </c>
      <c r="M878" t="str">
        <f>_xlfn.XLOOKUP(Table1[[#This Row],[category]],Table6[category],Table6[id_category])</f>
        <v>KTG0205</v>
      </c>
      <c r="N878" t="s">
        <v>1233</v>
      </c>
      <c r="O878">
        <v>3</v>
      </c>
      <c r="P878">
        <v>22000</v>
      </c>
      <c r="Q878">
        <v>0</v>
      </c>
      <c r="R878">
        <v>2.5</v>
      </c>
      <c r="S878" t="str">
        <f>_xlfn.XLOOKUP(Table1[[#This Row],[method]],Table7[method],Table7[id_method])</f>
        <v>PAY0710</v>
      </c>
      <c r="T878" t="s">
        <v>1237</v>
      </c>
      <c r="U878">
        <v>66000</v>
      </c>
    </row>
    <row r="879" spans="1:21" x14ac:dyDescent="0.25">
      <c r="A879" t="s">
        <v>891</v>
      </c>
      <c r="B879" t="str">
        <f>_xlfn.XLOOKUP(Table1[[#This Row],[date]],Table8[date],Table8[id_date])</f>
        <v>TGL0977</v>
      </c>
      <c r="C879" s="1">
        <v>45933</v>
      </c>
      <c r="D879" s="1" t="str">
        <f>_xlfn.XLOOKUP(Table1[[#This Row],[customer_name]],Table11[customer_name],Table11[id_cust])</f>
        <v>CNA0114</v>
      </c>
      <c r="E879" t="s">
        <v>1027</v>
      </c>
      <c r="F879">
        <v>51</v>
      </c>
      <c r="G879" t="str">
        <f>_xlfn.XLOOKUP(Table1[[#This Row],[branch_name]],Table3[branch_name],Table3[id_branch])</f>
        <v>BRCH004</v>
      </c>
      <c r="H879" t="s">
        <v>1216</v>
      </c>
      <c r="I879" t="str">
        <f>_xlfn.XLOOKUP(Table1[[#This Row],[city]],Table4[city],Table4[id_city])</f>
        <v>KOA0105</v>
      </c>
      <c r="J879" t="s">
        <v>1221</v>
      </c>
      <c r="K879" t="str">
        <f>_xlfn.XLOOKUP(Table1[[#This Row],[menu_name]],Table5[menu_name],Table5[id_menu])</f>
        <v>MENU007</v>
      </c>
      <c r="L879" t="s">
        <v>1229</v>
      </c>
      <c r="M879" t="str">
        <f>_xlfn.XLOOKUP(Table1[[#This Row],[category]],Table6[category],Table6[id_category])</f>
        <v>KTG0207</v>
      </c>
      <c r="N879" t="s">
        <v>1235</v>
      </c>
      <c r="O879">
        <v>3</v>
      </c>
      <c r="P879">
        <v>27000</v>
      </c>
      <c r="Q879">
        <v>10</v>
      </c>
      <c r="R879">
        <v>3.2</v>
      </c>
      <c r="S879" t="str">
        <f>_xlfn.XLOOKUP(Table1[[#This Row],[method]],Table7[method],Table7[id_method])</f>
        <v>PAY0710</v>
      </c>
      <c r="T879" t="s">
        <v>1237</v>
      </c>
      <c r="U879">
        <v>72900</v>
      </c>
    </row>
    <row r="880" spans="1:21" x14ac:dyDescent="0.25">
      <c r="A880" t="s">
        <v>892</v>
      </c>
      <c r="B880" t="str">
        <f>_xlfn.XLOOKUP(Table1[[#This Row],[date]],Table8[date],Table8[id_date])</f>
        <v>TGL0978</v>
      </c>
      <c r="C880" s="1">
        <v>45934</v>
      </c>
      <c r="D880" s="1" t="str">
        <f>_xlfn.XLOOKUP(Table1[[#This Row],[customer_name]],Table11[customer_name],Table11[id_cust])</f>
        <v>CNA0204</v>
      </c>
      <c r="E880" t="s">
        <v>1099</v>
      </c>
      <c r="F880">
        <v>40</v>
      </c>
      <c r="G880" t="str">
        <f>_xlfn.XLOOKUP(Table1[[#This Row],[branch_name]],Table3[branch_name],Table3[id_branch])</f>
        <v>BRCH005</v>
      </c>
      <c r="H880" t="s">
        <v>1217</v>
      </c>
      <c r="I880" t="str">
        <f>_xlfn.XLOOKUP(Table1[[#This Row],[city]],Table4[city],Table4[id_city])</f>
        <v>KOA0106</v>
      </c>
      <c r="J880" t="s">
        <v>1222</v>
      </c>
      <c r="K880" t="str">
        <f>_xlfn.XLOOKUP(Table1[[#This Row],[menu_name]],Table5[menu_name],Table5[id_menu])</f>
        <v>MENU006</v>
      </c>
      <c r="L880" t="s">
        <v>1228</v>
      </c>
      <c r="M880" t="str">
        <f>_xlfn.XLOOKUP(Table1[[#This Row],[category]],Table6[category],Table6[id_category])</f>
        <v>KTG0206</v>
      </c>
      <c r="N880" t="s">
        <v>1234</v>
      </c>
      <c r="O880">
        <v>3</v>
      </c>
      <c r="P880">
        <v>32000</v>
      </c>
      <c r="Q880">
        <v>15</v>
      </c>
      <c r="R880">
        <v>1.9</v>
      </c>
      <c r="S880" t="str">
        <f>_xlfn.XLOOKUP(Table1[[#This Row],[method]],Table7[method],Table7[id_method])</f>
        <v>PAY0711</v>
      </c>
      <c r="T880" t="s">
        <v>1238</v>
      </c>
      <c r="U880">
        <v>81600</v>
      </c>
    </row>
    <row r="881" spans="1:21" x14ac:dyDescent="0.25">
      <c r="A881" t="s">
        <v>893</v>
      </c>
      <c r="B881" t="str">
        <f>_xlfn.XLOOKUP(Table1[[#This Row],[date]],Table8[date],Table8[id_date])</f>
        <v>TGL0979</v>
      </c>
      <c r="C881" s="1">
        <v>45935</v>
      </c>
      <c r="D881" s="1" t="str">
        <f>_xlfn.XLOOKUP(Table1[[#This Row],[customer_name]],Table11[customer_name],Table11[id_cust])</f>
        <v>CNA0420</v>
      </c>
      <c r="E881" t="s">
        <v>1177</v>
      </c>
      <c r="F881">
        <v>44</v>
      </c>
      <c r="G881" t="str">
        <f>_xlfn.XLOOKUP(Table1[[#This Row],[branch_name]],Table3[branch_name],Table3[id_branch])</f>
        <v>BRCH001</v>
      </c>
      <c r="H881" t="s">
        <v>1213</v>
      </c>
      <c r="I881" t="str">
        <f>_xlfn.XLOOKUP(Table1[[#This Row],[city]],Table4[city],Table4[id_city])</f>
        <v>KOA0102</v>
      </c>
      <c r="J881" t="s">
        <v>1218</v>
      </c>
      <c r="K881" t="str">
        <f>_xlfn.XLOOKUP(Table1[[#This Row],[menu_name]],Table5[menu_name],Table5[id_menu])</f>
        <v>MENU010</v>
      </c>
      <c r="L881" t="s">
        <v>1232</v>
      </c>
      <c r="M881" t="str">
        <f>_xlfn.XLOOKUP(Table1[[#This Row],[category]],Table6[category],Table6[id_category])</f>
        <v>KTG0205</v>
      </c>
      <c r="N881" t="s">
        <v>1233</v>
      </c>
      <c r="O881">
        <v>2</v>
      </c>
      <c r="P881">
        <v>18000</v>
      </c>
      <c r="Q881">
        <v>15</v>
      </c>
      <c r="R881">
        <v>3</v>
      </c>
      <c r="S881" t="str">
        <f>_xlfn.XLOOKUP(Table1[[#This Row],[method]],Table7[method],Table7[id_method])</f>
        <v>PAY0712</v>
      </c>
      <c r="T881" t="s">
        <v>1239</v>
      </c>
      <c r="U881">
        <v>30600</v>
      </c>
    </row>
    <row r="882" spans="1:21" x14ac:dyDescent="0.25">
      <c r="A882" t="s">
        <v>894</v>
      </c>
      <c r="B882" t="str">
        <f>_xlfn.XLOOKUP(Table1[[#This Row],[date]],Table8[date],Table8[id_date])</f>
        <v>TGL0980</v>
      </c>
      <c r="C882" s="1">
        <v>45936</v>
      </c>
      <c r="D882" s="1" t="str">
        <f>_xlfn.XLOOKUP(Table1[[#This Row],[customer_name]],Table11[customer_name],Table11[id_cust])</f>
        <v>CNA0105</v>
      </c>
      <c r="E882" t="s">
        <v>1018</v>
      </c>
      <c r="F882">
        <v>53</v>
      </c>
      <c r="G882" t="str">
        <f>_xlfn.XLOOKUP(Table1[[#This Row],[branch_name]],Table3[branch_name],Table3[id_branch])</f>
        <v>BRCH002</v>
      </c>
      <c r="H882" t="s">
        <v>1214</v>
      </c>
      <c r="I882" t="str">
        <f>_xlfn.XLOOKUP(Table1[[#This Row],[city]],Table4[city],Table4[id_city])</f>
        <v>KOA0103</v>
      </c>
      <c r="J882" t="s">
        <v>1219</v>
      </c>
      <c r="K882" t="str">
        <f>_xlfn.XLOOKUP(Table1[[#This Row],[menu_name]],Table5[menu_name],Table5[id_menu])</f>
        <v>MENU008</v>
      </c>
      <c r="L882" t="s">
        <v>1230</v>
      </c>
      <c r="M882" t="str">
        <f>_xlfn.XLOOKUP(Table1[[#This Row],[category]],Table6[category],Table6[id_category])</f>
        <v>KTG0205</v>
      </c>
      <c r="N882" t="s">
        <v>1233</v>
      </c>
      <c r="O882">
        <v>4</v>
      </c>
      <c r="P882">
        <v>20000</v>
      </c>
      <c r="Q882">
        <v>0</v>
      </c>
      <c r="R882">
        <v>3.3</v>
      </c>
      <c r="S882" t="str">
        <f>_xlfn.XLOOKUP(Table1[[#This Row],[method]],Table7[method],Table7[id_method])</f>
        <v>PAY0711</v>
      </c>
      <c r="T882" t="s">
        <v>1238</v>
      </c>
      <c r="U882">
        <v>80000</v>
      </c>
    </row>
    <row r="883" spans="1:21" x14ac:dyDescent="0.25">
      <c r="A883" t="s">
        <v>895</v>
      </c>
      <c r="B883" t="str">
        <f>_xlfn.XLOOKUP(Table1[[#This Row],[date]],Table8[date],Table8[id_date])</f>
        <v>TGL0980</v>
      </c>
      <c r="C883" s="1">
        <v>45936</v>
      </c>
      <c r="D883" s="1" t="str">
        <f>_xlfn.XLOOKUP(Table1[[#This Row],[customer_name]],Table11[customer_name],Table11[id_cust])</f>
        <v>CNA0149</v>
      </c>
      <c r="E883" t="s">
        <v>1058</v>
      </c>
      <c r="F883">
        <v>33</v>
      </c>
      <c r="G883" t="str">
        <f>_xlfn.XLOOKUP(Table1[[#This Row],[branch_name]],Table3[branch_name],Table3[id_branch])</f>
        <v>BRCH004</v>
      </c>
      <c r="H883" t="s">
        <v>1216</v>
      </c>
      <c r="I883" t="str">
        <f>_xlfn.XLOOKUP(Table1[[#This Row],[city]],Table4[city],Table4[id_city])</f>
        <v>KOA0105</v>
      </c>
      <c r="J883" t="s">
        <v>1221</v>
      </c>
      <c r="K883" t="str">
        <f>_xlfn.XLOOKUP(Table1[[#This Row],[menu_name]],Table5[menu_name],Table5[id_menu])</f>
        <v>MENU002</v>
      </c>
      <c r="L883" t="s">
        <v>1224</v>
      </c>
      <c r="M883" t="str">
        <f>_xlfn.XLOOKUP(Table1[[#This Row],[category]],Table6[category],Table6[id_category])</f>
        <v>KTG0206</v>
      </c>
      <c r="N883" t="s">
        <v>1234</v>
      </c>
      <c r="O883">
        <v>3</v>
      </c>
      <c r="P883">
        <v>30000</v>
      </c>
      <c r="Q883">
        <v>20</v>
      </c>
      <c r="R883">
        <v>5</v>
      </c>
      <c r="S883" t="str">
        <f>_xlfn.XLOOKUP(Table1[[#This Row],[method]],Table7[method],Table7[id_method])</f>
        <v>PAY0710</v>
      </c>
      <c r="T883" t="s">
        <v>1237</v>
      </c>
      <c r="U883">
        <v>72000</v>
      </c>
    </row>
    <row r="884" spans="1:21" x14ac:dyDescent="0.25">
      <c r="A884" t="s">
        <v>896</v>
      </c>
      <c r="B884" t="str">
        <f>_xlfn.XLOOKUP(Table1[[#This Row],[date]],Table8[date],Table8[id_date])</f>
        <v>TGL0980</v>
      </c>
      <c r="C884" s="1">
        <v>45936</v>
      </c>
      <c r="D884" s="1" t="str">
        <f>_xlfn.XLOOKUP(Table1[[#This Row],[customer_name]],Table11[customer_name],Table11[id_cust])</f>
        <v>CNA0188</v>
      </c>
      <c r="E884" t="s">
        <v>1090</v>
      </c>
      <c r="F884">
        <v>19</v>
      </c>
      <c r="G884" t="str">
        <f>_xlfn.XLOOKUP(Table1[[#This Row],[branch_name]],Table3[branch_name],Table3[id_branch])</f>
        <v>BRCH001</v>
      </c>
      <c r="H884" t="s">
        <v>1213</v>
      </c>
      <c r="I884" t="str">
        <f>_xlfn.XLOOKUP(Table1[[#This Row],[city]],Table4[city],Table4[id_city])</f>
        <v>KOA0102</v>
      </c>
      <c r="J884" t="s">
        <v>1218</v>
      </c>
      <c r="K884" t="str">
        <f>_xlfn.XLOOKUP(Table1[[#This Row],[menu_name]],Table5[menu_name],Table5[id_menu])</f>
        <v>MENU008</v>
      </c>
      <c r="L884" t="s">
        <v>1230</v>
      </c>
      <c r="M884" t="str">
        <f>_xlfn.XLOOKUP(Table1[[#This Row],[category]],Table6[category],Table6[id_category])</f>
        <v>KTG0205</v>
      </c>
      <c r="N884" t="s">
        <v>1233</v>
      </c>
      <c r="O884">
        <v>2</v>
      </c>
      <c r="P884">
        <v>20000</v>
      </c>
      <c r="Q884">
        <v>0</v>
      </c>
      <c r="R884">
        <v>4.9000000000000004</v>
      </c>
      <c r="S884" t="str">
        <f>_xlfn.XLOOKUP(Table1[[#This Row],[method]],Table7[method],Table7[id_method])</f>
        <v>PAY0709</v>
      </c>
      <c r="T884" t="s">
        <v>1236</v>
      </c>
      <c r="U884">
        <v>40000</v>
      </c>
    </row>
    <row r="885" spans="1:21" x14ac:dyDescent="0.25">
      <c r="A885" t="s">
        <v>897</v>
      </c>
      <c r="B885" t="str">
        <f>_xlfn.XLOOKUP(Table1[[#This Row],[date]],Table8[date],Table8[id_date])</f>
        <v>TGL0981</v>
      </c>
      <c r="C885" s="1">
        <v>45937</v>
      </c>
      <c r="D885" s="1" t="str">
        <f>_xlfn.XLOOKUP(Table1[[#This Row],[customer_name]],Table11[customer_name],Table11[id_cust])</f>
        <v>CNA0186</v>
      </c>
      <c r="E885" t="s">
        <v>1088</v>
      </c>
      <c r="F885">
        <v>53</v>
      </c>
      <c r="G885" t="str">
        <f>_xlfn.XLOOKUP(Table1[[#This Row],[branch_name]],Table3[branch_name],Table3[id_branch])</f>
        <v>BRCH001</v>
      </c>
      <c r="H885" t="s">
        <v>1213</v>
      </c>
      <c r="I885" t="str">
        <f>_xlfn.XLOOKUP(Table1[[#This Row],[city]],Table4[city],Table4[id_city])</f>
        <v>KOA0102</v>
      </c>
      <c r="J885" t="s">
        <v>1218</v>
      </c>
      <c r="K885" t="str">
        <f>_xlfn.XLOOKUP(Table1[[#This Row],[menu_name]],Table5[menu_name],Table5[id_menu])</f>
        <v>MENU008</v>
      </c>
      <c r="L885" t="s">
        <v>1230</v>
      </c>
      <c r="M885" t="str">
        <f>_xlfn.XLOOKUP(Table1[[#This Row],[category]],Table6[category],Table6[id_category])</f>
        <v>KTG0205</v>
      </c>
      <c r="N885" t="s">
        <v>1233</v>
      </c>
      <c r="O885">
        <v>3</v>
      </c>
      <c r="P885">
        <v>20000</v>
      </c>
      <c r="Q885">
        <v>5</v>
      </c>
      <c r="R885">
        <v>1.1000000000000001</v>
      </c>
      <c r="S885" t="str">
        <f>_xlfn.XLOOKUP(Table1[[#This Row],[method]],Table7[method],Table7[id_method])</f>
        <v>PAY0710</v>
      </c>
      <c r="T885" t="s">
        <v>1237</v>
      </c>
      <c r="U885">
        <v>57000</v>
      </c>
    </row>
    <row r="886" spans="1:21" x14ac:dyDescent="0.25">
      <c r="A886" t="s">
        <v>898</v>
      </c>
      <c r="B886" t="str">
        <f>_xlfn.XLOOKUP(Table1[[#This Row],[date]],Table8[date],Table8[id_date])</f>
        <v>TGL0981</v>
      </c>
      <c r="C886" s="1">
        <v>45937</v>
      </c>
      <c r="D886" s="1" t="str">
        <f>_xlfn.XLOOKUP(Table1[[#This Row],[customer_name]],Table11[customer_name],Table11[id_cust])</f>
        <v>CNA0280</v>
      </c>
      <c r="E886" t="s">
        <v>1140</v>
      </c>
      <c r="F886">
        <v>25</v>
      </c>
      <c r="G886" t="str">
        <f>_xlfn.XLOOKUP(Table1[[#This Row],[branch_name]],Table3[branch_name],Table3[id_branch])</f>
        <v>BRCH002</v>
      </c>
      <c r="H886" t="s">
        <v>1214</v>
      </c>
      <c r="I886" t="str">
        <f>_xlfn.XLOOKUP(Table1[[#This Row],[city]],Table4[city],Table4[id_city])</f>
        <v>KOA0103</v>
      </c>
      <c r="J886" t="s">
        <v>1219</v>
      </c>
      <c r="K886" t="str">
        <f>_xlfn.XLOOKUP(Table1[[#This Row],[menu_name]],Table5[menu_name],Table5[id_menu])</f>
        <v>MENU002</v>
      </c>
      <c r="L886" t="s">
        <v>1224</v>
      </c>
      <c r="M886" t="str">
        <f>_xlfn.XLOOKUP(Table1[[#This Row],[category]],Table6[category],Table6[id_category])</f>
        <v>KTG0206</v>
      </c>
      <c r="N886" t="s">
        <v>1234</v>
      </c>
      <c r="O886">
        <v>4</v>
      </c>
      <c r="P886">
        <v>30000</v>
      </c>
      <c r="Q886">
        <v>20</v>
      </c>
      <c r="R886">
        <v>2.1</v>
      </c>
      <c r="S886" t="str">
        <f>_xlfn.XLOOKUP(Table1[[#This Row],[method]],Table7[method],Table7[id_method])</f>
        <v>PAY0712</v>
      </c>
      <c r="T886" t="s">
        <v>1239</v>
      </c>
      <c r="U886">
        <v>96000</v>
      </c>
    </row>
    <row r="887" spans="1:21" x14ac:dyDescent="0.25">
      <c r="A887" t="s">
        <v>899</v>
      </c>
      <c r="B887" t="str">
        <f>_xlfn.XLOOKUP(Table1[[#This Row],[date]],Table8[date],Table8[id_date])</f>
        <v>TGL0982</v>
      </c>
      <c r="C887" s="1">
        <v>45939</v>
      </c>
      <c r="D887" s="1" t="str">
        <f>_xlfn.XLOOKUP(Table1[[#This Row],[customer_name]],Table11[customer_name],Table11[id_cust])</f>
        <v>CNA0132</v>
      </c>
      <c r="E887" t="s">
        <v>1044</v>
      </c>
      <c r="F887">
        <v>40</v>
      </c>
      <c r="G887" t="str">
        <f>_xlfn.XLOOKUP(Table1[[#This Row],[branch_name]],Table3[branch_name],Table3[id_branch])</f>
        <v>BRCH005</v>
      </c>
      <c r="H887" t="s">
        <v>1217</v>
      </c>
      <c r="I887" t="str">
        <f>_xlfn.XLOOKUP(Table1[[#This Row],[city]],Table4[city],Table4[id_city])</f>
        <v>KOA0106</v>
      </c>
      <c r="J887" t="s">
        <v>1222</v>
      </c>
      <c r="K887" t="str">
        <f>_xlfn.XLOOKUP(Table1[[#This Row],[menu_name]],Table5[menu_name],Table5[id_menu])</f>
        <v>MENU009</v>
      </c>
      <c r="L887" t="s">
        <v>1231</v>
      </c>
      <c r="M887" t="str">
        <f>_xlfn.XLOOKUP(Table1[[#This Row],[category]],Table6[category],Table6[id_category])</f>
        <v>KTG0206</v>
      </c>
      <c r="N887" t="s">
        <v>1234</v>
      </c>
      <c r="O887">
        <v>3</v>
      </c>
      <c r="P887">
        <v>18000</v>
      </c>
      <c r="Q887">
        <v>15</v>
      </c>
      <c r="R887">
        <v>4.3</v>
      </c>
      <c r="S887" t="str">
        <f>_xlfn.XLOOKUP(Table1[[#This Row],[method]],Table7[method],Table7[id_method])</f>
        <v>PAY0711</v>
      </c>
      <c r="T887" t="s">
        <v>1238</v>
      </c>
      <c r="U887">
        <v>45900</v>
      </c>
    </row>
    <row r="888" spans="1:21" x14ac:dyDescent="0.25">
      <c r="A888" t="s">
        <v>900</v>
      </c>
      <c r="B888" t="str">
        <f>_xlfn.XLOOKUP(Table1[[#This Row],[date]],Table8[date],Table8[id_date])</f>
        <v>TGL0982</v>
      </c>
      <c r="C888" s="1">
        <v>45939</v>
      </c>
      <c r="D888" s="1" t="str">
        <f>_xlfn.XLOOKUP(Table1[[#This Row],[customer_name]],Table11[customer_name],Table11[id_cust])</f>
        <v>CNA0558</v>
      </c>
      <c r="E888" t="s">
        <v>1191</v>
      </c>
      <c r="F888">
        <v>27</v>
      </c>
      <c r="G888" t="str">
        <f>_xlfn.XLOOKUP(Table1[[#This Row],[branch_name]],Table3[branch_name],Table3[id_branch])</f>
        <v>BRCH001</v>
      </c>
      <c r="H888" t="s">
        <v>1213</v>
      </c>
      <c r="I888" t="str">
        <f>_xlfn.XLOOKUP(Table1[[#This Row],[city]],Table4[city],Table4[id_city])</f>
        <v>KOA0102</v>
      </c>
      <c r="J888" t="s">
        <v>1218</v>
      </c>
      <c r="K888" t="str">
        <f>_xlfn.XLOOKUP(Table1[[#This Row],[menu_name]],Table5[menu_name],Table5[id_menu])</f>
        <v>MENU002</v>
      </c>
      <c r="L888" t="s">
        <v>1224</v>
      </c>
      <c r="M888" t="str">
        <f>_xlfn.XLOOKUP(Table1[[#This Row],[category]],Table6[category],Table6[id_category])</f>
        <v>KTG0206</v>
      </c>
      <c r="N888" t="s">
        <v>1234</v>
      </c>
      <c r="O888">
        <v>1</v>
      </c>
      <c r="P888">
        <v>30000</v>
      </c>
      <c r="Q888">
        <v>0</v>
      </c>
      <c r="R888">
        <v>1.9</v>
      </c>
      <c r="S888" t="str">
        <f>_xlfn.XLOOKUP(Table1[[#This Row],[method]],Table7[method],Table7[id_method])</f>
        <v>PAY0711</v>
      </c>
      <c r="T888" t="s">
        <v>1238</v>
      </c>
      <c r="U888">
        <v>30000</v>
      </c>
    </row>
    <row r="889" spans="1:21" x14ac:dyDescent="0.25">
      <c r="A889" t="s">
        <v>901</v>
      </c>
      <c r="B889" t="str">
        <f>_xlfn.XLOOKUP(Table1[[#This Row],[date]],Table8[date],Table8[id_date])</f>
        <v>TGL0982</v>
      </c>
      <c r="C889" s="1">
        <v>45939</v>
      </c>
      <c r="D889" s="1" t="str">
        <f>_xlfn.XLOOKUP(Table1[[#This Row],[customer_name]],Table11[customer_name],Table11[id_cust])</f>
        <v>CNA0106</v>
      </c>
      <c r="E889" t="s">
        <v>1019</v>
      </c>
      <c r="F889">
        <v>30</v>
      </c>
      <c r="G889" t="str">
        <f>_xlfn.XLOOKUP(Table1[[#This Row],[branch_name]],Table3[branch_name],Table3[id_branch])</f>
        <v>BRCH001</v>
      </c>
      <c r="H889" t="s">
        <v>1213</v>
      </c>
      <c r="I889" t="str">
        <f>_xlfn.XLOOKUP(Table1[[#This Row],[city]],Table4[city],Table4[id_city])</f>
        <v>KOA0102</v>
      </c>
      <c r="J889" t="s">
        <v>1218</v>
      </c>
      <c r="K889" t="str">
        <f>_xlfn.XLOOKUP(Table1[[#This Row],[menu_name]],Table5[menu_name],Table5[id_menu])</f>
        <v>MENU007</v>
      </c>
      <c r="L889" t="s">
        <v>1229</v>
      </c>
      <c r="M889" t="str">
        <f>_xlfn.XLOOKUP(Table1[[#This Row],[category]],Table6[category],Table6[id_category])</f>
        <v>KTG0207</v>
      </c>
      <c r="N889" t="s">
        <v>1235</v>
      </c>
      <c r="O889">
        <v>2</v>
      </c>
      <c r="P889">
        <v>27000</v>
      </c>
      <c r="Q889">
        <v>5</v>
      </c>
      <c r="R889">
        <v>4.5</v>
      </c>
      <c r="S889" t="str">
        <f>_xlfn.XLOOKUP(Table1[[#This Row],[method]],Table7[method],Table7[id_method])</f>
        <v>PAY0709</v>
      </c>
      <c r="T889" t="s">
        <v>1236</v>
      </c>
      <c r="U889">
        <v>51300</v>
      </c>
    </row>
    <row r="890" spans="1:21" x14ac:dyDescent="0.25">
      <c r="A890" t="s">
        <v>902</v>
      </c>
      <c r="B890" t="str">
        <f>_xlfn.XLOOKUP(Table1[[#This Row],[date]],Table8[date],Table8[id_date])</f>
        <v>TGL0983</v>
      </c>
      <c r="C890" s="1">
        <v>45941</v>
      </c>
      <c r="D890" s="1" t="str">
        <f>_xlfn.XLOOKUP(Table1[[#This Row],[customer_name]],Table11[customer_name],Table11[id_cust])</f>
        <v>CNA0123</v>
      </c>
      <c r="E890" t="s">
        <v>1036</v>
      </c>
      <c r="F890">
        <v>31</v>
      </c>
      <c r="G890" t="str">
        <f>_xlfn.XLOOKUP(Table1[[#This Row],[branch_name]],Table3[branch_name],Table3[id_branch])</f>
        <v>BRCH004</v>
      </c>
      <c r="H890" t="s">
        <v>1216</v>
      </c>
      <c r="I890" t="str">
        <f>_xlfn.XLOOKUP(Table1[[#This Row],[city]],Table4[city],Table4[id_city])</f>
        <v>KOA0105</v>
      </c>
      <c r="J890" t="s">
        <v>1221</v>
      </c>
      <c r="K890" t="str">
        <f>_xlfn.XLOOKUP(Table1[[#This Row],[menu_name]],Table5[menu_name],Table5[id_menu])</f>
        <v>MENU006</v>
      </c>
      <c r="L890" t="s">
        <v>1228</v>
      </c>
      <c r="M890" t="str">
        <f>_xlfn.XLOOKUP(Table1[[#This Row],[category]],Table6[category],Table6[id_category])</f>
        <v>KTG0206</v>
      </c>
      <c r="N890" t="s">
        <v>1234</v>
      </c>
      <c r="O890">
        <v>3</v>
      </c>
      <c r="P890">
        <v>32000</v>
      </c>
      <c r="Q890">
        <v>5</v>
      </c>
      <c r="R890">
        <v>4.8</v>
      </c>
      <c r="S890" t="str">
        <f>_xlfn.XLOOKUP(Table1[[#This Row],[method]],Table7[method],Table7[id_method])</f>
        <v>PAY0712</v>
      </c>
      <c r="T890" t="s">
        <v>1239</v>
      </c>
      <c r="U890">
        <v>91200</v>
      </c>
    </row>
    <row r="891" spans="1:21" x14ac:dyDescent="0.25">
      <c r="A891" t="s">
        <v>903</v>
      </c>
      <c r="B891" t="str">
        <f>_xlfn.XLOOKUP(Table1[[#This Row],[date]],Table8[date],Table8[id_date])</f>
        <v>TGL0984</v>
      </c>
      <c r="C891" s="1">
        <v>45943</v>
      </c>
      <c r="D891" s="1" t="str">
        <f>_xlfn.XLOOKUP(Table1[[#This Row],[customer_name]],Table11[customer_name],Table11[id_cust])</f>
        <v>CNA0537</v>
      </c>
      <c r="E891" t="s">
        <v>1189</v>
      </c>
      <c r="F891">
        <v>19</v>
      </c>
      <c r="G891" t="str">
        <f>_xlfn.XLOOKUP(Table1[[#This Row],[branch_name]],Table3[branch_name],Table3[id_branch])</f>
        <v>BRCH005</v>
      </c>
      <c r="H891" t="s">
        <v>1217</v>
      </c>
      <c r="I891" t="str">
        <f>_xlfn.XLOOKUP(Table1[[#This Row],[city]],Table4[city],Table4[id_city])</f>
        <v>KOA0106</v>
      </c>
      <c r="J891" t="s">
        <v>1222</v>
      </c>
      <c r="K891" t="str">
        <f>_xlfn.XLOOKUP(Table1[[#This Row],[menu_name]],Table5[menu_name],Table5[id_menu])</f>
        <v>MENU004</v>
      </c>
      <c r="L891" t="s">
        <v>1226</v>
      </c>
      <c r="M891" t="str">
        <f>_xlfn.XLOOKUP(Table1[[#This Row],[category]],Table6[category],Table6[id_category])</f>
        <v>KTG0207</v>
      </c>
      <c r="N891" t="s">
        <v>1235</v>
      </c>
      <c r="O891">
        <v>3</v>
      </c>
      <c r="P891">
        <v>28000</v>
      </c>
      <c r="Q891">
        <v>15</v>
      </c>
      <c r="R891">
        <v>3</v>
      </c>
      <c r="S891" t="str">
        <f>_xlfn.XLOOKUP(Table1[[#This Row],[method]],Table7[method],Table7[id_method])</f>
        <v>PAY0710</v>
      </c>
      <c r="T891" t="s">
        <v>1237</v>
      </c>
      <c r="U891">
        <v>71400</v>
      </c>
    </row>
    <row r="892" spans="1:21" x14ac:dyDescent="0.25">
      <c r="A892" t="s">
        <v>904</v>
      </c>
      <c r="B892" t="str">
        <f>_xlfn.XLOOKUP(Table1[[#This Row],[date]],Table8[date],Table8[id_date])</f>
        <v>TGL0985</v>
      </c>
      <c r="C892" s="1">
        <v>45944</v>
      </c>
      <c r="D892" s="1" t="str">
        <f>_xlfn.XLOOKUP(Table1[[#This Row],[customer_name]],Table11[customer_name],Table11[id_cust])</f>
        <v>CNA0171</v>
      </c>
      <c r="E892" t="s">
        <v>1076</v>
      </c>
      <c r="F892">
        <v>43</v>
      </c>
      <c r="G892" t="str">
        <f>_xlfn.XLOOKUP(Table1[[#This Row],[branch_name]],Table3[branch_name],Table3[id_branch])</f>
        <v>BRCH004</v>
      </c>
      <c r="H892" t="s">
        <v>1216</v>
      </c>
      <c r="I892" t="str">
        <f>_xlfn.XLOOKUP(Table1[[#This Row],[city]],Table4[city],Table4[id_city])</f>
        <v>KOA0105</v>
      </c>
      <c r="J892" t="s">
        <v>1221</v>
      </c>
      <c r="K892" t="str">
        <f>_xlfn.XLOOKUP(Table1[[#This Row],[menu_name]],Table5[menu_name],Table5[id_menu])</f>
        <v>MENU006</v>
      </c>
      <c r="L892" t="s">
        <v>1228</v>
      </c>
      <c r="M892" t="str">
        <f>_xlfn.XLOOKUP(Table1[[#This Row],[category]],Table6[category],Table6[id_category])</f>
        <v>KTG0206</v>
      </c>
      <c r="N892" t="s">
        <v>1234</v>
      </c>
      <c r="O892">
        <v>1</v>
      </c>
      <c r="P892">
        <v>32000</v>
      </c>
      <c r="Q892">
        <v>15</v>
      </c>
      <c r="R892">
        <v>4.3</v>
      </c>
      <c r="S892" t="str">
        <f>_xlfn.XLOOKUP(Table1[[#This Row],[method]],Table7[method],Table7[id_method])</f>
        <v>PAY0709</v>
      </c>
      <c r="T892" t="s">
        <v>1236</v>
      </c>
      <c r="U892">
        <v>27200</v>
      </c>
    </row>
    <row r="893" spans="1:21" x14ac:dyDescent="0.25">
      <c r="A893" t="s">
        <v>905</v>
      </c>
      <c r="B893" t="str">
        <f>_xlfn.XLOOKUP(Table1[[#This Row],[date]],Table8[date],Table8[id_date])</f>
        <v>TGL0985</v>
      </c>
      <c r="C893" s="1">
        <v>45944</v>
      </c>
      <c r="D893" s="1" t="str">
        <f>_xlfn.XLOOKUP(Table1[[#This Row],[customer_name]],Table11[customer_name],Table11[id_cust])</f>
        <v>CNA0497</v>
      </c>
      <c r="E893" t="s">
        <v>1184</v>
      </c>
      <c r="F893">
        <v>25</v>
      </c>
      <c r="G893" t="str">
        <f>_xlfn.XLOOKUP(Table1[[#This Row],[branch_name]],Table3[branch_name],Table3[id_branch])</f>
        <v>BRCH003</v>
      </c>
      <c r="H893" t="s">
        <v>1215</v>
      </c>
      <c r="I893" t="str">
        <f>_xlfn.XLOOKUP(Table1[[#This Row],[city]],Table4[city],Table4[id_city])</f>
        <v>KOA0104</v>
      </c>
      <c r="J893" t="s">
        <v>1220</v>
      </c>
      <c r="K893" t="str">
        <f>_xlfn.XLOOKUP(Table1[[#This Row],[menu_name]],Table5[menu_name],Table5[id_menu])</f>
        <v>MENU006</v>
      </c>
      <c r="L893" t="s">
        <v>1228</v>
      </c>
      <c r="M893" t="str">
        <f>_xlfn.XLOOKUP(Table1[[#This Row],[category]],Table6[category],Table6[id_category])</f>
        <v>KTG0206</v>
      </c>
      <c r="N893" t="s">
        <v>1234</v>
      </c>
      <c r="O893">
        <v>3</v>
      </c>
      <c r="P893">
        <v>32000</v>
      </c>
      <c r="Q893">
        <v>10</v>
      </c>
      <c r="R893">
        <v>1.2</v>
      </c>
      <c r="S893" t="str">
        <f>_xlfn.XLOOKUP(Table1[[#This Row],[method]],Table7[method],Table7[id_method])</f>
        <v>PAY0711</v>
      </c>
      <c r="T893" t="s">
        <v>1238</v>
      </c>
      <c r="U893">
        <v>86400</v>
      </c>
    </row>
    <row r="894" spans="1:21" x14ac:dyDescent="0.25">
      <c r="A894" t="s">
        <v>906</v>
      </c>
      <c r="B894" t="str">
        <f>_xlfn.XLOOKUP(Table1[[#This Row],[date]],Table8[date],Table8[id_date])</f>
        <v>TGL0986</v>
      </c>
      <c r="C894" s="1">
        <v>45945</v>
      </c>
      <c r="D894" s="1" t="str">
        <f>_xlfn.XLOOKUP(Table1[[#This Row],[customer_name]],Table11[customer_name],Table11[id_cust])</f>
        <v>CNA0203</v>
      </c>
      <c r="E894" t="s">
        <v>1098</v>
      </c>
      <c r="F894">
        <v>22</v>
      </c>
      <c r="G894" t="str">
        <f>_xlfn.XLOOKUP(Table1[[#This Row],[branch_name]],Table3[branch_name],Table3[id_branch])</f>
        <v>BRCH003</v>
      </c>
      <c r="H894" t="s">
        <v>1215</v>
      </c>
      <c r="I894" t="str">
        <f>_xlfn.XLOOKUP(Table1[[#This Row],[city]],Table4[city],Table4[id_city])</f>
        <v>KOA0104</v>
      </c>
      <c r="J894" t="s">
        <v>1220</v>
      </c>
      <c r="K894" t="str">
        <f>_xlfn.XLOOKUP(Table1[[#This Row],[menu_name]],Table5[menu_name],Table5[id_menu])</f>
        <v>MENU002</v>
      </c>
      <c r="L894" t="s">
        <v>1224</v>
      </c>
      <c r="M894" t="str">
        <f>_xlfn.XLOOKUP(Table1[[#This Row],[category]],Table6[category],Table6[id_category])</f>
        <v>KTG0206</v>
      </c>
      <c r="N894" t="s">
        <v>1234</v>
      </c>
      <c r="O894">
        <v>3</v>
      </c>
      <c r="P894">
        <v>30000</v>
      </c>
      <c r="Q894">
        <v>0</v>
      </c>
      <c r="R894">
        <v>1.7</v>
      </c>
      <c r="S894" t="str">
        <f>_xlfn.XLOOKUP(Table1[[#This Row],[method]],Table7[method],Table7[id_method])</f>
        <v>PAY0710</v>
      </c>
      <c r="T894" t="s">
        <v>1237</v>
      </c>
      <c r="U894">
        <v>90000</v>
      </c>
    </row>
    <row r="895" spans="1:21" x14ac:dyDescent="0.25">
      <c r="A895" t="s">
        <v>907</v>
      </c>
      <c r="B895" t="str">
        <f>_xlfn.XLOOKUP(Table1[[#This Row],[date]],Table8[date],Table8[id_date])</f>
        <v>TGL0986</v>
      </c>
      <c r="C895" s="1">
        <v>45945</v>
      </c>
      <c r="D895" s="1" t="str">
        <f>_xlfn.XLOOKUP(Table1[[#This Row],[customer_name]],Table11[customer_name],Table11[id_cust])</f>
        <v>CNA0234</v>
      </c>
      <c r="E895" t="s">
        <v>1118</v>
      </c>
      <c r="F895">
        <v>37</v>
      </c>
      <c r="G895" t="str">
        <f>_xlfn.XLOOKUP(Table1[[#This Row],[branch_name]],Table3[branch_name],Table3[id_branch])</f>
        <v>BRCH003</v>
      </c>
      <c r="H895" t="s">
        <v>1215</v>
      </c>
      <c r="I895" t="str">
        <f>_xlfn.XLOOKUP(Table1[[#This Row],[city]],Table4[city],Table4[id_city])</f>
        <v>KOA0104</v>
      </c>
      <c r="J895" t="s">
        <v>1220</v>
      </c>
      <c r="K895" t="str">
        <f>_xlfn.XLOOKUP(Table1[[#This Row],[menu_name]],Table5[menu_name],Table5[id_menu])</f>
        <v>MENU010</v>
      </c>
      <c r="L895" t="s">
        <v>1232</v>
      </c>
      <c r="M895" t="str">
        <f>_xlfn.XLOOKUP(Table1[[#This Row],[category]],Table6[category],Table6[id_category])</f>
        <v>KTG0205</v>
      </c>
      <c r="N895" t="s">
        <v>1233</v>
      </c>
      <c r="O895">
        <v>3</v>
      </c>
      <c r="P895">
        <v>18000</v>
      </c>
      <c r="Q895">
        <v>0</v>
      </c>
      <c r="R895">
        <v>3.3</v>
      </c>
      <c r="S895" t="str">
        <f>_xlfn.XLOOKUP(Table1[[#This Row],[method]],Table7[method],Table7[id_method])</f>
        <v>PAY0712</v>
      </c>
      <c r="T895" t="s">
        <v>1239</v>
      </c>
      <c r="U895">
        <v>54000</v>
      </c>
    </row>
    <row r="896" spans="1:21" x14ac:dyDescent="0.25">
      <c r="A896" t="s">
        <v>908</v>
      </c>
      <c r="B896" t="str">
        <f>_xlfn.XLOOKUP(Table1[[#This Row],[date]],Table8[date],Table8[id_date])</f>
        <v>TGL0987</v>
      </c>
      <c r="C896" s="1">
        <v>45947</v>
      </c>
      <c r="D896" s="1" t="str">
        <f>_xlfn.XLOOKUP(Table1[[#This Row],[customer_name]],Table11[customer_name],Table11[id_cust])</f>
        <v>CNA0350</v>
      </c>
      <c r="E896" t="s">
        <v>1165</v>
      </c>
      <c r="F896">
        <v>52</v>
      </c>
      <c r="G896" t="str">
        <f>_xlfn.XLOOKUP(Table1[[#This Row],[branch_name]],Table3[branch_name],Table3[id_branch])</f>
        <v>BRCH005</v>
      </c>
      <c r="H896" t="s">
        <v>1217</v>
      </c>
      <c r="I896" t="str">
        <f>_xlfn.XLOOKUP(Table1[[#This Row],[city]],Table4[city],Table4[id_city])</f>
        <v>KOA0106</v>
      </c>
      <c r="J896" t="s">
        <v>1222</v>
      </c>
      <c r="K896" t="str">
        <f>_xlfn.XLOOKUP(Table1[[#This Row],[menu_name]],Table5[menu_name],Table5[id_menu])</f>
        <v>MENU005</v>
      </c>
      <c r="L896" t="s">
        <v>1227</v>
      </c>
      <c r="M896" t="str">
        <f>_xlfn.XLOOKUP(Table1[[#This Row],[category]],Table6[category],Table6[id_category])</f>
        <v>KTG0206</v>
      </c>
      <c r="N896" t="s">
        <v>1234</v>
      </c>
      <c r="O896">
        <v>4</v>
      </c>
      <c r="P896">
        <v>23000</v>
      </c>
      <c r="Q896">
        <v>0</v>
      </c>
      <c r="R896">
        <v>1.1000000000000001</v>
      </c>
      <c r="S896" t="str">
        <f>_xlfn.XLOOKUP(Table1[[#This Row],[method]],Table7[method],Table7[id_method])</f>
        <v>PAY0712</v>
      </c>
      <c r="T896" t="s">
        <v>1239</v>
      </c>
      <c r="U896">
        <v>92000</v>
      </c>
    </row>
    <row r="897" spans="1:21" x14ac:dyDescent="0.25">
      <c r="A897" t="s">
        <v>909</v>
      </c>
      <c r="B897" t="str">
        <f>_xlfn.XLOOKUP(Table1[[#This Row],[date]],Table8[date],Table8[id_date])</f>
        <v>TGL0987</v>
      </c>
      <c r="C897" s="1">
        <v>45947</v>
      </c>
      <c r="D897" s="1" t="str">
        <f>_xlfn.XLOOKUP(Table1[[#This Row],[customer_name]],Table11[customer_name],Table11[id_cust])</f>
        <v>CNA0274</v>
      </c>
      <c r="E897" t="s">
        <v>1137</v>
      </c>
      <c r="F897">
        <v>27</v>
      </c>
      <c r="G897" t="str">
        <f>_xlfn.XLOOKUP(Table1[[#This Row],[branch_name]],Table3[branch_name],Table3[id_branch])</f>
        <v>BRCH004</v>
      </c>
      <c r="H897" t="s">
        <v>1216</v>
      </c>
      <c r="I897" t="str">
        <f>_xlfn.XLOOKUP(Table1[[#This Row],[city]],Table4[city],Table4[id_city])</f>
        <v>KOA0105</v>
      </c>
      <c r="J897" t="s">
        <v>1221</v>
      </c>
      <c r="K897" t="str">
        <f>_xlfn.XLOOKUP(Table1[[#This Row],[menu_name]],Table5[menu_name],Table5[id_menu])</f>
        <v>MENU010</v>
      </c>
      <c r="L897" t="s">
        <v>1232</v>
      </c>
      <c r="M897" t="str">
        <f>_xlfn.XLOOKUP(Table1[[#This Row],[category]],Table6[category],Table6[id_category])</f>
        <v>KTG0205</v>
      </c>
      <c r="N897" t="s">
        <v>1233</v>
      </c>
      <c r="O897">
        <v>1</v>
      </c>
      <c r="P897">
        <v>18000</v>
      </c>
      <c r="Q897">
        <v>10</v>
      </c>
      <c r="R897">
        <v>1.1000000000000001</v>
      </c>
      <c r="S897" t="str">
        <f>_xlfn.XLOOKUP(Table1[[#This Row],[method]],Table7[method],Table7[id_method])</f>
        <v>PAY0712</v>
      </c>
      <c r="T897" t="s">
        <v>1239</v>
      </c>
      <c r="U897">
        <v>16200</v>
      </c>
    </row>
    <row r="898" spans="1:21" x14ac:dyDescent="0.25">
      <c r="A898" t="s">
        <v>910</v>
      </c>
      <c r="B898" t="str">
        <f>_xlfn.XLOOKUP(Table1[[#This Row],[date]],Table8[date],Table8[id_date])</f>
        <v>TGL0987</v>
      </c>
      <c r="C898" s="1">
        <v>45947</v>
      </c>
      <c r="D898" s="1" t="str">
        <f>_xlfn.XLOOKUP(Table1[[#This Row],[customer_name]],Table11[customer_name],Table11[id_cust])</f>
        <v>CNA0670</v>
      </c>
      <c r="E898" t="s">
        <v>1197</v>
      </c>
      <c r="F898">
        <v>39</v>
      </c>
      <c r="G898" t="str">
        <f>_xlfn.XLOOKUP(Table1[[#This Row],[branch_name]],Table3[branch_name],Table3[id_branch])</f>
        <v>BRCH005</v>
      </c>
      <c r="H898" t="s">
        <v>1217</v>
      </c>
      <c r="I898" t="str">
        <f>_xlfn.XLOOKUP(Table1[[#This Row],[city]],Table4[city],Table4[id_city])</f>
        <v>KOA0106</v>
      </c>
      <c r="J898" t="s">
        <v>1222</v>
      </c>
      <c r="K898" t="str">
        <f>_xlfn.XLOOKUP(Table1[[#This Row],[menu_name]],Table5[menu_name],Table5[id_menu])</f>
        <v>MENU001</v>
      </c>
      <c r="L898" t="s">
        <v>1223</v>
      </c>
      <c r="M898" t="str">
        <f>_xlfn.XLOOKUP(Table1[[#This Row],[category]],Table6[category],Table6[id_category])</f>
        <v>KTG0205</v>
      </c>
      <c r="N898" t="s">
        <v>1233</v>
      </c>
      <c r="O898">
        <v>2</v>
      </c>
      <c r="P898">
        <v>25000</v>
      </c>
      <c r="Q898">
        <v>10</v>
      </c>
      <c r="R898">
        <v>3.4</v>
      </c>
      <c r="S898" t="str">
        <f>_xlfn.XLOOKUP(Table1[[#This Row],[method]],Table7[method],Table7[id_method])</f>
        <v>PAY0709</v>
      </c>
      <c r="T898" t="s">
        <v>1236</v>
      </c>
      <c r="U898">
        <v>45000</v>
      </c>
    </row>
    <row r="899" spans="1:21" x14ac:dyDescent="0.25">
      <c r="A899" t="s">
        <v>911</v>
      </c>
      <c r="B899" t="str">
        <f>_xlfn.XLOOKUP(Table1[[#This Row],[date]],Table8[date],Table8[id_date])</f>
        <v>TGL0988</v>
      </c>
      <c r="C899" s="1">
        <v>45948</v>
      </c>
      <c r="D899" s="1" t="str">
        <f>_xlfn.XLOOKUP(Table1[[#This Row],[customer_name]],Table11[customer_name],Table11[id_cust])</f>
        <v>CNA0885</v>
      </c>
      <c r="E899" t="s">
        <v>1209</v>
      </c>
      <c r="F899">
        <v>26</v>
      </c>
      <c r="G899" t="str">
        <f>_xlfn.XLOOKUP(Table1[[#This Row],[branch_name]],Table3[branch_name],Table3[id_branch])</f>
        <v>BRCH004</v>
      </c>
      <c r="H899" t="s">
        <v>1216</v>
      </c>
      <c r="I899" t="str">
        <f>_xlfn.XLOOKUP(Table1[[#This Row],[city]],Table4[city],Table4[id_city])</f>
        <v>KOA0105</v>
      </c>
      <c r="J899" t="s">
        <v>1221</v>
      </c>
      <c r="K899" t="str">
        <f>_xlfn.XLOOKUP(Table1[[#This Row],[menu_name]],Table5[menu_name],Table5[id_menu])</f>
        <v>MENU006</v>
      </c>
      <c r="L899" t="s">
        <v>1228</v>
      </c>
      <c r="M899" t="str">
        <f>_xlfn.XLOOKUP(Table1[[#This Row],[category]],Table6[category],Table6[id_category])</f>
        <v>KTG0206</v>
      </c>
      <c r="N899" t="s">
        <v>1234</v>
      </c>
      <c r="O899">
        <v>2</v>
      </c>
      <c r="P899">
        <v>32000</v>
      </c>
      <c r="Q899">
        <v>0</v>
      </c>
      <c r="R899">
        <v>2.4</v>
      </c>
      <c r="S899" t="str">
        <f>_xlfn.XLOOKUP(Table1[[#This Row],[method]],Table7[method],Table7[id_method])</f>
        <v>PAY0710</v>
      </c>
      <c r="T899" t="s">
        <v>1237</v>
      </c>
      <c r="U899">
        <v>64000</v>
      </c>
    </row>
    <row r="900" spans="1:21" x14ac:dyDescent="0.25">
      <c r="A900" t="s">
        <v>912</v>
      </c>
      <c r="B900" t="str">
        <f>_xlfn.XLOOKUP(Table1[[#This Row],[date]],Table8[date],Table8[id_date])</f>
        <v>TGL0988</v>
      </c>
      <c r="C900" s="1">
        <v>45948</v>
      </c>
      <c r="D900" s="1" t="str">
        <f>_xlfn.XLOOKUP(Table1[[#This Row],[customer_name]],Table11[customer_name],Table11[id_cust])</f>
        <v>CNA0904</v>
      </c>
      <c r="E900" t="s">
        <v>1210</v>
      </c>
      <c r="F900">
        <v>46</v>
      </c>
      <c r="G900" t="str">
        <f>_xlfn.XLOOKUP(Table1[[#This Row],[branch_name]],Table3[branch_name],Table3[id_branch])</f>
        <v>BRCH003</v>
      </c>
      <c r="H900" t="s">
        <v>1215</v>
      </c>
      <c r="I900" t="str">
        <f>_xlfn.XLOOKUP(Table1[[#This Row],[city]],Table4[city],Table4[id_city])</f>
        <v>KOA0104</v>
      </c>
      <c r="J900" t="s">
        <v>1220</v>
      </c>
      <c r="K900" t="str">
        <f>_xlfn.XLOOKUP(Table1[[#This Row],[menu_name]],Table5[menu_name],Table5[id_menu])</f>
        <v>MENU002</v>
      </c>
      <c r="L900" t="s">
        <v>1224</v>
      </c>
      <c r="M900" t="str">
        <f>_xlfn.XLOOKUP(Table1[[#This Row],[category]],Table6[category],Table6[id_category])</f>
        <v>KTG0206</v>
      </c>
      <c r="N900" t="s">
        <v>1234</v>
      </c>
      <c r="O900">
        <v>1</v>
      </c>
      <c r="P900">
        <v>30000</v>
      </c>
      <c r="Q900">
        <v>0</v>
      </c>
      <c r="R900">
        <v>2.1</v>
      </c>
      <c r="S900" t="str">
        <f>_xlfn.XLOOKUP(Table1[[#This Row],[method]],Table7[method],Table7[id_method])</f>
        <v>PAY0710</v>
      </c>
      <c r="T900" t="s">
        <v>1237</v>
      </c>
      <c r="U900">
        <v>30000</v>
      </c>
    </row>
    <row r="901" spans="1:21" x14ac:dyDescent="0.25">
      <c r="A901" t="s">
        <v>913</v>
      </c>
      <c r="B901" t="str">
        <f>_xlfn.XLOOKUP(Table1[[#This Row],[date]],Table8[date],Table8[id_date])</f>
        <v>TGL0989</v>
      </c>
      <c r="C901" s="1">
        <v>45949</v>
      </c>
      <c r="D901" s="1" t="str">
        <f>_xlfn.XLOOKUP(Table1[[#This Row],[customer_name]],Table11[customer_name],Table11[id_cust])</f>
        <v>CNA0119</v>
      </c>
      <c r="E901" t="s">
        <v>1032</v>
      </c>
      <c r="F901">
        <v>35</v>
      </c>
      <c r="G901" t="str">
        <f>_xlfn.XLOOKUP(Table1[[#This Row],[branch_name]],Table3[branch_name],Table3[id_branch])</f>
        <v>BRCH005</v>
      </c>
      <c r="H901" t="s">
        <v>1217</v>
      </c>
      <c r="I901" t="str">
        <f>_xlfn.XLOOKUP(Table1[[#This Row],[city]],Table4[city],Table4[id_city])</f>
        <v>KOA0106</v>
      </c>
      <c r="J901" t="s">
        <v>1222</v>
      </c>
      <c r="K901" t="str">
        <f>_xlfn.XLOOKUP(Table1[[#This Row],[menu_name]],Table5[menu_name],Table5[id_menu])</f>
        <v>MENU010</v>
      </c>
      <c r="L901" t="s">
        <v>1232</v>
      </c>
      <c r="M901" t="str">
        <f>_xlfn.XLOOKUP(Table1[[#This Row],[category]],Table6[category],Table6[id_category])</f>
        <v>KTG0205</v>
      </c>
      <c r="N901" t="s">
        <v>1233</v>
      </c>
      <c r="O901">
        <v>4</v>
      </c>
      <c r="P901">
        <v>18000</v>
      </c>
      <c r="Q901">
        <v>0</v>
      </c>
      <c r="R901">
        <v>1.2</v>
      </c>
      <c r="S901" t="str">
        <f>_xlfn.XLOOKUP(Table1[[#This Row],[method]],Table7[method],Table7[id_method])</f>
        <v>PAY0711</v>
      </c>
      <c r="T901" t="s">
        <v>1238</v>
      </c>
      <c r="U901">
        <v>72000</v>
      </c>
    </row>
    <row r="902" spans="1:21" x14ac:dyDescent="0.25">
      <c r="A902" t="s">
        <v>914</v>
      </c>
      <c r="B902" t="str">
        <f>_xlfn.XLOOKUP(Table1[[#This Row],[date]],Table8[date],Table8[id_date])</f>
        <v>TGL0990</v>
      </c>
      <c r="C902" s="1">
        <v>45950</v>
      </c>
      <c r="D902" s="1" t="str">
        <f>_xlfn.XLOOKUP(Table1[[#This Row],[customer_name]],Table11[customer_name],Table11[id_cust])</f>
        <v>CNA0233</v>
      </c>
      <c r="E902" t="s">
        <v>1117</v>
      </c>
      <c r="F902">
        <v>18</v>
      </c>
      <c r="G902" t="str">
        <f>_xlfn.XLOOKUP(Table1[[#This Row],[branch_name]],Table3[branch_name],Table3[id_branch])</f>
        <v>BRCH002</v>
      </c>
      <c r="H902" t="s">
        <v>1214</v>
      </c>
      <c r="I902" t="str">
        <f>_xlfn.XLOOKUP(Table1[[#This Row],[city]],Table4[city],Table4[id_city])</f>
        <v>KOA0103</v>
      </c>
      <c r="J902" t="s">
        <v>1219</v>
      </c>
      <c r="K902" t="str">
        <f>_xlfn.XLOOKUP(Table1[[#This Row],[menu_name]],Table5[menu_name],Table5[id_menu])</f>
        <v>MENU001</v>
      </c>
      <c r="L902" t="s">
        <v>1223</v>
      </c>
      <c r="M902" t="str">
        <f>_xlfn.XLOOKUP(Table1[[#This Row],[category]],Table6[category],Table6[id_category])</f>
        <v>KTG0205</v>
      </c>
      <c r="N902" t="s">
        <v>1233</v>
      </c>
      <c r="O902">
        <v>3</v>
      </c>
      <c r="P902">
        <v>25000</v>
      </c>
      <c r="Q902">
        <v>0</v>
      </c>
      <c r="R902">
        <v>4.7</v>
      </c>
      <c r="S902" t="str">
        <f>_xlfn.XLOOKUP(Table1[[#This Row],[method]],Table7[method],Table7[id_method])</f>
        <v>PAY0709</v>
      </c>
      <c r="T902" t="s">
        <v>1236</v>
      </c>
      <c r="U902">
        <v>75000</v>
      </c>
    </row>
    <row r="903" spans="1:21" x14ac:dyDescent="0.25">
      <c r="A903" t="s">
        <v>915</v>
      </c>
      <c r="B903" t="str">
        <f>_xlfn.XLOOKUP(Table1[[#This Row],[date]],Table8[date],Table8[id_date])</f>
        <v>TGL0990</v>
      </c>
      <c r="C903" s="1">
        <v>45950</v>
      </c>
      <c r="D903" s="1" t="str">
        <f>_xlfn.XLOOKUP(Table1[[#This Row],[customer_name]],Table11[customer_name],Table11[id_cust])</f>
        <v>CNA0772</v>
      </c>
      <c r="E903" t="s">
        <v>1204</v>
      </c>
      <c r="F903">
        <v>28</v>
      </c>
      <c r="G903" t="str">
        <f>_xlfn.XLOOKUP(Table1[[#This Row],[branch_name]],Table3[branch_name],Table3[id_branch])</f>
        <v>BRCH004</v>
      </c>
      <c r="H903" t="s">
        <v>1216</v>
      </c>
      <c r="I903" t="str">
        <f>_xlfn.XLOOKUP(Table1[[#This Row],[city]],Table4[city],Table4[id_city])</f>
        <v>KOA0105</v>
      </c>
      <c r="J903" t="s">
        <v>1221</v>
      </c>
      <c r="K903" t="str">
        <f>_xlfn.XLOOKUP(Table1[[#This Row],[menu_name]],Table5[menu_name],Table5[id_menu])</f>
        <v>MENU004</v>
      </c>
      <c r="L903" t="s">
        <v>1226</v>
      </c>
      <c r="M903" t="str">
        <f>_xlfn.XLOOKUP(Table1[[#This Row],[category]],Table6[category],Table6[id_category])</f>
        <v>KTG0207</v>
      </c>
      <c r="N903" t="s">
        <v>1235</v>
      </c>
      <c r="O903">
        <v>1</v>
      </c>
      <c r="P903">
        <v>28000</v>
      </c>
      <c r="Q903">
        <v>0</v>
      </c>
      <c r="R903">
        <v>1.3</v>
      </c>
      <c r="S903" t="str">
        <f>_xlfn.XLOOKUP(Table1[[#This Row],[method]],Table7[method],Table7[id_method])</f>
        <v>PAY0710</v>
      </c>
      <c r="T903" t="s">
        <v>1237</v>
      </c>
      <c r="U903">
        <v>28000</v>
      </c>
    </row>
    <row r="904" spans="1:21" x14ac:dyDescent="0.25">
      <c r="A904" t="s">
        <v>916</v>
      </c>
      <c r="B904" t="str">
        <f>_xlfn.XLOOKUP(Table1[[#This Row],[date]],Table8[date],Table8[id_date])</f>
        <v>TGL0990</v>
      </c>
      <c r="C904" s="1">
        <v>45950</v>
      </c>
      <c r="D904" s="1" t="str">
        <f>_xlfn.XLOOKUP(Table1[[#This Row],[customer_name]],Table11[customer_name],Table11[id_cust])</f>
        <v>CNA0391</v>
      </c>
      <c r="E904" t="s">
        <v>1171</v>
      </c>
      <c r="F904">
        <v>44</v>
      </c>
      <c r="G904" t="str">
        <f>_xlfn.XLOOKUP(Table1[[#This Row],[branch_name]],Table3[branch_name],Table3[id_branch])</f>
        <v>BRCH005</v>
      </c>
      <c r="H904" t="s">
        <v>1217</v>
      </c>
      <c r="I904" t="str">
        <f>_xlfn.XLOOKUP(Table1[[#This Row],[city]],Table4[city],Table4[id_city])</f>
        <v>KOA0106</v>
      </c>
      <c r="J904" t="s">
        <v>1222</v>
      </c>
      <c r="K904" t="str">
        <f>_xlfn.XLOOKUP(Table1[[#This Row],[menu_name]],Table5[menu_name],Table5[id_menu])</f>
        <v>MENU002</v>
      </c>
      <c r="L904" t="s">
        <v>1224</v>
      </c>
      <c r="M904" t="str">
        <f>_xlfn.XLOOKUP(Table1[[#This Row],[category]],Table6[category],Table6[id_category])</f>
        <v>KTG0206</v>
      </c>
      <c r="N904" t="s">
        <v>1234</v>
      </c>
      <c r="O904">
        <v>2</v>
      </c>
      <c r="P904">
        <v>30000</v>
      </c>
      <c r="Q904">
        <v>5</v>
      </c>
      <c r="R904">
        <v>3</v>
      </c>
      <c r="S904" t="str">
        <f>_xlfn.XLOOKUP(Table1[[#This Row],[method]],Table7[method],Table7[id_method])</f>
        <v>PAY0712</v>
      </c>
      <c r="T904" t="s">
        <v>1239</v>
      </c>
      <c r="U904">
        <v>57000</v>
      </c>
    </row>
    <row r="905" spans="1:21" x14ac:dyDescent="0.25">
      <c r="A905" t="s">
        <v>917</v>
      </c>
      <c r="B905" t="str">
        <f>_xlfn.XLOOKUP(Table1[[#This Row],[date]],Table8[date],Table8[id_date])</f>
        <v>TGL0990</v>
      </c>
      <c r="C905" s="1">
        <v>45950</v>
      </c>
      <c r="D905" s="1" t="str">
        <f>_xlfn.XLOOKUP(Table1[[#This Row],[customer_name]],Table11[customer_name],Table11[id_cust])</f>
        <v>CNA0208</v>
      </c>
      <c r="E905" t="s">
        <v>1102</v>
      </c>
      <c r="F905">
        <v>21</v>
      </c>
      <c r="G905" t="str">
        <f>_xlfn.XLOOKUP(Table1[[#This Row],[branch_name]],Table3[branch_name],Table3[id_branch])</f>
        <v>BRCH005</v>
      </c>
      <c r="H905" t="s">
        <v>1217</v>
      </c>
      <c r="I905" t="str">
        <f>_xlfn.XLOOKUP(Table1[[#This Row],[city]],Table4[city],Table4[id_city])</f>
        <v>KOA0106</v>
      </c>
      <c r="J905" t="s">
        <v>1222</v>
      </c>
      <c r="K905" t="str">
        <f>_xlfn.XLOOKUP(Table1[[#This Row],[menu_name]],Table5[menu_name],Table5[id_menu])</f>
        <v>MENU008</v>
      </c>
      <c r="L905" t="s">
        <v>1230</v>
      </c>
      <c r="M905" t="str">
        <f>_xlfn.XLOOKUP(Table1[[#This Row],[category]],Table6[category],Table6[id_category])</f>
        <v>KTG0205</v>
      </c>
      <c r="N905" t="s">
        <v>1233</v>
      </c>
      <c r="O905">
        <v>2</v>
      </c>
      <c r="P905">
        <v>20000</v>
      </c>
      <c r="Q905">
        <v>5</v>
      </c>
      <c r="R905">
        <v>3.9</v>
      </c>
      <c r="S905" t="str">
        <f>_xlfn.XLOOKUP(Table1[[#This Row],[method]],Table7[method],Table7[id_method])</f>
        <v>PAY0711</v>
      </c>
      <c r="T905" t="s">
        <v>1238</v>
      </c>
      <c r="U905">
        <v>38000</v>
      </c>
    </row>
    <row r="906" spans="1:21" x14ac:dyDescent="0.25">
      <c r="A906" t="s">
        <v>918</v>
      </c>
      <c r="B906" t="str">
        <f>_xlfn.XLOOKUP(Table1[[#This Row],[date]],Table8[date],Table8[id_date])</f>
        <v>TGL0990</v>
      </c>
      <c r="C906" s="1">
        <v>45950</v>
      </c>
      <c r="D906" s="1" t="str">
        <f>_xlfn.XLOOKUP(Table1[[#This Row],[customer_name]],Table11[customer_name],Table11[id_cust])</f>
        <v>CNA0560</v>
      </c>
      <c r="E906" t="s">
        <v>1192</v>
      </c>
      <c r="F906">
        <v>41</v>
      </c>
      <c r="G906" t="str">
        <f>_xlfn.XLOOKUP(Table1[[#This Row],[branch_name]],Table3[branch_name],Table3[id_branch])</f>
        <v>BRCH005</v>
      </c>
      <c r="H906" t="s">
        <v>1217</v>
      </c>
      <c r="I906" t="str">
        <f>_xlfn.XLOOKUP(Table1[[#This Row],[city]],Table4[city],Table4[id_city])</f>
        <v>KOA0106</v>
      </c>
      <c r="J906" t="s">
        <v>1222</v>
      </c>
      <c r="K906" t="str">
        <f>_xlfn.XLOOKUP(Table1[[#This Row],[menu_name]],Table5[menu_name],Table5[id_menu])</f>
        <v>MENU002</v>
      </c>
      <c r="L906" t="s">
        <v>1224</v>
      </c>
      <c r="M906" t="str">
        <f>_xlfn.XLOOKUP(Table1[[#This Row],[category]],Table6[category],Table6[id_category])</f>
        <v>KTG0206</v>
      </c>
      <c r="N906" t="s">
        <v>1234</v>
      </c>
      <c r="O906">
        <v>5</v>
      </c>
      <c r="P906">
        <v>30000</v>
      </c>
      <c r="Q906">
        <v>0</v>
      </c>
      <c r="R906">
        <v>4.3</v>
      </c>
      <c r="S906" t="str">
        <f>_xlfn.XLOOKUP(Table1[[#This Row],[method]],Table7[method],Table7[id_method])</f>
        <v>PAY0712</v>
      </c>
      <c r="T906" t="s">
        <v>1239</v>
      </c>
      <c r="U906">
        <v>150000</v>
      </c>
    </row>
    <row r="907" spans="1:21" x14ac:dyDescent="0.25">
      <c r="A907" t="s">
        <v>919</v>
      </c>
      <c r="B907" t="str">
        <f>_xlfn.XLOOKUP(Table1[[#This Row],[date]],Table8[date],Table8[id_date])</f>
        <v>TGL0991</v>
      </c>
      <c r="C907" s="1">
        <v>45951</v>
      </c>
      <c r="D907" s="1" t="str">
        <f>_xlfn.XLOOKUP(Table1[[#This Row],[customer_name]],Table11[customer_name],Table11[id_cust])</f>
        <v>CNA0646</v>
      </c>
      <c r="E907" t="s">
        <v>1195</v>
      </c>
      <c r="F907">
        <v>27</v>
      </c>
      <c r="G907" t="str">
        <f>_xlfn.XLOOKUP(Table1[[#This Row],[branch_name]],Table3[branch_name],Table3[id_branch])</f>
        <v>BRCH003</v>
      </c>
      <c r="H907" t="s">
        <v>1215</v>
      </c>
      <c r="I907" t="str">
        <f>_xlfn.XLOOKUP(Table1[[#This Row],[city]],Table4[city],Table4[id_city])</f>
        <v>KOA0104</v>
      </c>
      <c r="J907" t="s">
        <v>1220</v>
      </c>
      <c r="K907" t="str">
        <f>_xlfn.XLOOKUP(Table1[[#This Row],[menu_name]],Table5[menu_name],Table5[id_menu])</f>
        <v>MENU003</v>
      </c>
      <c r="L907" t="s">
        <v>1225</v>
      </c>
      <c r="M907" t="str">
        <f>_xlfn.XLOOKUP(Table1[[#This Row],[category]],Table6[category],Table6[id_category])</f>
        <v>KTG0205</v>
      </c>
      <c r="N907" t="s">
        <v>1233</v>
      </c>
      <c r="O907">
        <v>1</v>
      </c>
      <c r="P907">
        <v>22000</v>
      </c>
      <c r="Q907">
        <v>0</v>
      </c>
      <c r="R907">
        <v>1.6</v>
      </c>
      <c r="S907" t="str">
        <f>_xlfn.XLOOKUP(Table1[[#This Row],[method]],Table7[method],Table7[id_method])</f>
        <v>PAY0710</v>
      </c>
      <c r="T907" t="s">
        <v>1237</v>
      </c>
      <c r="U907">
        <v>22000</v>
      </c>
    </row>
    <row r="908" spans="1:21" x14ac:dyDescent="0.25">
      <c r="A908" t="s">
        <v>920</v>
      </c>
      <c r="B908" t="str">
        <f>_xlfn.XLOOKUP(Table1[[#This Row],[date]],Table8[date],Table8[id_date])</f>
        <v>TGL0991</v>
      </c>
      <c r="C908" s="1">
        <v>45951</v>
      </c>
      <c r="D908" s="1" t="str">
        <f>_xlfn.XLOOKUP(Table1[[#This Row],[customer_name]],Table11[customer_name],Table11[id_cust])</f>
        <v>CNA0511</v>
      </c>
      <c r="E908" t="s">
        <v>1186</v>
      </c>
      <c r="F908">
        <v>36</v>
      </c>
      <c r="G908" t="str">
        <f>_xlfn.XLOOKUP(Table1[[#This Row],[branch_name]],Table3[branch_name],Table3[id_branch])</f>
        <v>BRCH001</v>
      </c>
      <c r="H908" t="s">
        <v>1213</v>
      </c>
      <c r="I908" t="str">
        <f>_xlfn.XLOOKUP(Table1[[#This Row],[city]],Table4[city],Table4[id_city])</f>
        <v>KOA0102</v>
      </c>
      <c r="J908" t="s">
        <v>1218</v>
      </c>
      <c r="K908" t="str">
        <f>_xlfn.XLOOKUP(Table1[[#This Row],[menu_name]],Table5[menu_name],Table5[id_menu])</f>
        <v>MENU001</v>
      </c>
      <c r="L908" t="s">
        <v>1223</v>
      </c>
      <c r="M908" t="str">
        <f>_xlfn.XLOOKUP(Table1[[#This Row],[category]],Table6[category],Table6[id_category])</f>
        <v>KTG0205</v>
      </c>
      <c r="N908" t="s">
        <v>1233</v>
      </c>
      <c r="O908">
        <v>4</v>
      </c>
      <c r="P908">
        <v>25000</v>
      </c>
      <c r="Q908">
        <v>0</v>
      </c>
      <c r="R908">
        <v>1.2</v>
      </c>
      <c r="S908" t="str">
        <f>_xlfn.XLOOKUP(Table1[[#This Row],[method]],Table7[method],Table7[id_method])</f>
        <v>PAY0709</v>
      </c>
      <c r="T908" t="s">
        <v>1236</v>
      </c>
      <c r="U908">
        <v>100000</v>
      </c>
    </row>
    <row r="909" spans="1:21" x14ac:dyDescent="0.25">
      <c r="A909" t="s">
        <v>921</v>
      </c>
      <c r="B909" t="str">
        <f>_xlfn.XLOOKUP(Table1[[#This Row],[date]],Table8[date],Table8[id_date])</f>
        <v>TGL0992</v>
      </c>
      <c r="C909" s="1">
        <v>45952</v>
      </c>
      <c r="D909" s="1" t="str">
        <f>_xlfn.XLOOKUP(Table1[[#This Row],[customer_name]],Table11[customer_name],Table11[id_cust])</f>
        <v>CNA0295</v>
      </c>
      <c r="E909" t="s">
        <v>1147</v>
      </c>
      <c r="F909">
        <v>42</v>
      </c>
      <c r="G909" t="str">
        <f>_xlfn.XLOOKUP(Table1[[#This Row],[branch_name]],Table3[branch_name],Table3[id_branch])</f>
        <v>BRCH004</v>
      </c>
      <c r="H909" t="s">
        <v>1216</v>
      </c>
      <c r="I909" t="str">
        <f>_xlfn.XLOOKUP(Table1[[#This Row],[city]],Table4[city],Table4[id_city])</f>
        <v>KOA0105</v>
      </c>
      <c r="J909" t="s">
        <v>1221</v>
      </c>
      <c r="K909" t="str">
        <f>_xlfn.XLOOKUP(Table1[[#This Row],[menu_name]],Table5[menu_name],Table5[id_menu])</f>
        <v>MENU010</v>
      </c>
      <c r="L909" t="s">
        <v>1232</v>
      </c>
      <c r="M909" t="str">
        <f>_xlfn.XLOOKUP(Table1[[#This Row],[category]],Table6[category],Table6[id_category])</f>
        <v>KTG0205</v>
      </c>
      <c r="N909" t="s">
        <v>1233</v>
      </c>
      <c r="O909">
        <v>4</v>
      </c>
      <c r="P909">
        <v>18000</v>
      </c>
      <c r="Q909">
        <v>0</v>
      </c>
      <c r="R909">
        <v>3.8</v>
      </c>
      <c r="S909" t="str">
        <f>_xlfn.XLOOKUP(Table1[[#This Row],[method]],Table7[method],Table7[id_method])</f>
        <v>PAY0710</v>
      </c>
      <c r="T909" t="s">
        <v>1237</v>
      </c>
      <c r="U909">
        <v>72000</v>
      </c>
    </row>
    <row r="910" spans="1:21" x14ac:dyDescent="0.25">
      <c r="A910" t="s">
        <v>922</v>
      </c>
      <c r="B910" t="str">
        <f>_xlfn.XLOOKUP(Table1[[#This Row],[date]],Table8[date],Table8[id_date])</f>
        <v>TGL0993</v>
      </c>
      <c r="C910" s="1">
        <v>45953</v>
      </c>
      <c r="D910" s="1" t="str">
        <f>_xlfn.XLOOKUP(Table1[[#This Row],[customer_name]],Table11[customer_name],Table11[id_cust])</f>
        <v>CNA0315</v>
      </c>
      <c r="E910" t="s">
        <v>1155</v>
      </c>
      <c r="F910">
        <v>51</v>
      </c>
      <c r="G910" t="str">
        <f>_xlfn.XLOOKUP(Table1[[#This Row],[branch_name]],Table3[branch_name],Table3[id_branch])</f>
        <v>BRCH005</v>
      </c>
      <c r="H910" t="s">
        <v>1217</v>
      </c>
      <c r="I910" t="str">
        <f>_xlfn.XLOOKUP(Table1[[#This Row],[city]],Table4[city],Table4[id_city])</f>
        <v>KOA0106</v>
      </c>
      <c r="J910" t="s">
        <v>1222</v>
      </c>
      <c r="K910" t="str">
        <f>_xlfn.XLOOKUP(Table1[[#This Row],[menu_name]],Table5[menu_name],Table5[id_menu])</f>
        <v>MENU008</v>
      </c>
      <c r="L910" t="s">
        <v>1230</v>
      </c>
      <c r="M910" t="str">
        <f>_xlfn.XLOOKUP(Table1[[#This Row],[category]],Table6[category],Table6[id_category])</f>
        <v>KTG0205</v>
      </c>
      <c r="N910" t="s">
        <v>1233</v>
      </c>
      <c r="O910">
        <v>5</v>
      </c>
      <c r="P910">
        <v>20000</v>
      </c>
      <c r="Q910">
        <v>10</v>
      </c>
      <c r="R910">
        <v>4.5999999999999996</v>
      </c>
      <c r="S910" t="str">
        <f>_xlfn.XLOOKUP(Table1[[#This Row],[method]],Table7[method],Table7[id_method])</f>
        <v>PAY0712</v>
      </c>
      <c r="T910" t="s">
        <v>1239</v>
      </c>
      <c r="U910">
        <v>90000</v>
      </c>
    </row>
    <row r="911" spans="1:21" x14ac:dyDescent="0.25">
      <c r="A911" t="s">
        <v>923</v>
      </c>
      <c r="B911" t="str">
        <f>_xlfn.XLOOKUP(Table1[[#This Row],[date]],Table8[date],Table8[id_date])</f>
        <v>TGL0993</v>
      </c>
      <c r="C911" s="1">
        <v>45953</v>
      </c>
      <c r="D911" s="1" t="str">
        <f>_xlfn.XLOOKUP(Table1[[#This Row],[customer_name]],Table11[customer_name],Table11[id_cust])</f>
        <v>CNA1010</v>
      </c>
      <c r="E911" t="s">
        <v>1212</v>
      </c>
      <c r="F911">
        <v>38</v>
      </c>
      <c r="G911" t="str">
        <f>_xlfn.XLOOKUP(Table1[[#This Row],[branch_name]],Table3[branch_name],Table3[id_branch])</f>
        <v>BRCH002</v>
      </c>
      <c r="H911" t="s">
        <v>1214</v>
      </c>
      <c r="I911" t="str">
        <f>_xlfn.XLOOKUP(Table1[[#This Row],[city]],Table4[city],Table4[id_city])</f>
        <v>KOA0103</v>
      </c>
      <c r="J911" t="s">
        <v>1219</v>
      </c>
      <c r="K911" t="str">
        <f>_xlfn.XLOOKUP(Table1[[#This Row],[menu_name]],Table5[menu_name],Table5[id_menu])</f>
        <v>MENU001</v>
      </c>
      <c r="L911" t="s">
        <v>1223</v>
      </c>
      <c r="M911" t="str">
        <f>_xlfn.XLOOKUP(Table1[[#This Row],[category]],Table6[category],Table6[id_category])</f>
        <v>KTG0205</v>
      </c>
      <c r="N911" t="s">
        <v>1233</v>
      </c>
      <c r="O911">
        <v>5</v>
      </c>
      <c r="P911">
        <v>25000</v>
      </c>
      <c r="Q911">
        <v>15</v>
      </c>
      <c r="R911">
        <v>4.4000000000000004</v>
      </c>
      <c r="S911" t="str">
        <f>_xlfn.XLOOKUP(Table1[[#This Row],[method]],Table7[method],Table7[id_method])</f>
        <v>PAY0709</v>
      </c>
      <c r="T911" t="s">
        <v>1236</v>
      </c>
      <c r="U911">
        <v>106250</v>
      </c>
    </row>
    <row r="912" spans="1:21" x14ac:dyDescent="0.25">
      <c r="A912" t="s">
        <v>924</v>
      </c>
      <c r="B912" t="str">
        <f>_xlfn.XLOOKUP(Table1[[#This Row],[date]],Table8[date],Table8[id_date])</f>
        <v>TGL0994</v>
      </c>
      <c r="C912" s="1">
        <v>45954</v>
      </c>
      <c r="D912" s="1" t="str">
        <f>_xlfn.XLOOKUP(Table1[[#This Row],[customer_name]],Table11[customer_name],Table11[id_cust])</f>
        <v>CNA0180</v>
      </c>
      <c r="E912" t="s">
        <v>1083</v>
      </c>
      <c r="F912">
        <v>19</v>
      </c>
      <c r="G912" t="str">
        <f>_xlfn.XLOOKUP(Table1[[#This Row],[branch_name]],Table3[branch_name],Table3[id_branch])</f>
        <v>BRCH003</v>
      </c>
      <c r="H912" t="s">
        <v>1215</v>
      </c>
      <c r="I912" t="str">
        <f>_xlfn.XLOOKUP(Table1[[#This Row],[city]],Table4[city],Table4[id_city])</f>
        <v>KOA0104</v>
      </c>
      <c r="J912" t="s">
        <v>1220</v>
      </c>
      <c r="K912" t="str">
        <f>_xlfn.XLOOKUP(Table1[[#This Row],[menu_name]],Table5[menu_name],Table5[id_menu])</f>
        <v>MENU006</v>
      </c>
      <c r="L912" t="s">
        <v>1228</v>
      </c>
      <c r="M912" t="str">
        <f>_xlfn.XLOOKUP(Table1[[#This Row],[category]],Table6[category],Table6[id_category])</f>
        <v>KTG0206</v>
      </c>
      <c r="N912" t="s">
        <v>1234</v>
      </c>
      <c r="O912">
        <v>5</v>
      </c>
      <c r="P912">
        <v>32000</v>
      </c>
      <c r="Q912">
        <v>10</v>
      </c>
      <c r="R912">
        <v>2.9</v>
      </c>
      <c r="S912" t="str">
        <f>_xlfn.XLOOKUP(Table1[[#This Row],[method]],Table7[method],Table7[id_method])</f>
        <v>PAY0709</v>
      </c>
      <c r="T912" t="s">
        <v>1236</v>
      </c>
      <c r="U912">
        <v>144000</v>
      </c>
    </row>
    <row r="913" spans="1:21" x14ac:dyDescent="0.25">
      <c r="A913" t="s">
        <v>925</v>
      </c>
      <c r="B913" t="str">
        <f>_xlfn.XLOOKUP(Table1[[#This Row],[date]],Table8[date],Table8[id_date])</f>
        <v>TGL0994</v>
      </c>
      <c r="C913" s="1">
        <v>45954</v>
      </c>
      <c r="D913" s="1" t="str">
        <f>_xlfn.XLOOKUP(Table1[[#This Row],[customer_name]],Table11[customer_name],Table11[id_cust])</f>
        <v>CNA0199</v>
      </c>
      <c r="E913" t="s">
        <v>1094</v>
      </c>
      <c r="F913">
        <v>24</v>
      </c>
      <c r="G913" t="str">
        <f>_xlfn.XLOOKUP(Table1[[#This Row],[branch_name]],Table3[branch_name],Table3[id_branch])</f>
        <v>BRCH005</v>
      </c>
      <c r="H913" t="s">
        <v>1217</v>
      </c>
      <c r="I913" t="str">
        <f>_xlfn.XLOOKUP(Table1[[#This Row],[city]],Table4[city],Table4[id_city])</f>
        <v>KOA0106</v>
      </c>
      <c r="J913" t="s">
        <v>1222</v>
      </c>
      <c r="K913" t="str">
        <f>_xlfn.XLOOKUP(Table1[[#This Row],[menu_name]],Table5[menu_name],Table5[id_menu])</f>
        <v>MENU004</v>
      </c>
      <c r="L913" t="s">
        <v>1226</v>
      </c>
      <c r="M913" t="str">
        <f>_xlfn.XLOOKUP(Table1[[#This Row],[category]],Table6[category],Table6[id_category])</f>
        <v>KTG0207</v>
      </c>
      <c r="N913" t="s">
        <v>1235</v>
      </c>
      <c r="O913">
        <v>4</v>
      </c>
      <c r="P913">
        <v>28000</v>
      </c>
      <c r="Q913">
        <v>10</v>
      </c>
      <c r="R913">
        <v>5</v>
      </c>
      <c r="S913" t="str">
        <f>_xlfn.XLOOKUP(Table1[[#This Row],[method]],Table7[method],Table7[id_method])</f>
        <v>PAY0710</v>
      </c>
      <c r="T913" t="s">
        <v>1237</v>
      </c>
      <c r="U913">
        <v>100800</v>
      </c>
    </row>
    <row r="914" spans="1:21" x14ac:dyDescent="0.25">
      <c r="A914" t="s">
        <v>926</v>
      </c>
      <c r="B914" t="str">
        <f>_xlfn.XLOOKUP(Table1[[#This Row],[date]],Table8[date],Table8[id_date])</f>
        <v>TGL0994</v>
      </c>
      <c r="C914" s="1">
        <v>45954</v>
      </c>
      <c r="D914" s="1" t="str">
        <f>_xlfn.XLOOKUP(Table1[[#This Row],[customer_name]],Table11[customer_name],Table11[id_cust])</f>
        <v>CNA0670</v>
      </c>
      <c r="E914" t="s">
        <v>1197</v>
      </c>
      <c r="F914">
        <v>39</v>
      </c>
      <c r="G914" t="str">
        <f>_xlfn.XLOOKUP(Table1[[#This Row],[branch_name]],Table3[branch_name],Table3[id_branch])</f>
        <v>BRCH003</v>
      </c>
      <c r="H914" t="s">
        <v>1215</v>
      </c>
      <c r="I914" t="str">
        <f>_xlfn.XLOOKUP(Table1[[#This Row],[city]],Table4[city],Table4[id_city])</f>
        <v>KOA0104</v>
      </c>
      <c r="J914" t="s">
        <v>1220</v>
      </c>
      <c r="K914" t="str">
        <f>_xlfn.XLOOKUP(Table1[[#This Row],[menu_name]],Table5[menu_name],Table5[id_menu])</f>
        <v>MENU010</v>
      </c>
      <c r="L914" t="s">
        <v>1232</v>
      </c>
      <c r="M914" t="str">
        <f>_xlfn.XLOOKUP(Table1[[#This Row],[category]],Table6[category],Table6[id_category])</f>
        <v>KTG0205</v>
      </c>
      <c r="N914" t="s">
        <v>1233</v>
      </c>
      <c r="O914">
        <v>5</v>
      </c>
      <c r="P914">
        <v>18000</v>
      </c>
      <c r="Q914">
        <v>20</v>
      </c>
      <c r="R914">
        <v>1.9</v>
      </c>
      <c r="S914" t="str">
        <f>_xlfn.XLOOKUP(Table1[[#This Row],[method]],Table7[method],Table7[id_method])</f>
        <v>PAY0712</v>
      </c>
      <c r="T914" t="s">
        <v>1239</v>
      </c>
      <c r="U914">
        <v>72000</v>
      </c>
    </row>
    <row r="915" spans="1:21" x14ac:dyDescent="0.25">
      <c r="A915" t="s">
        <v>927</v>
      </c>
      <c r="B915" t="str">
        <f>_xlfn.XLOOKUP(Table1[[#This Row],[date]],Table8[date],Table8[id_date])</f>
        <v>TGL0995</v>
      </c>
      <c r="C915" s="1">
        <v>45955</v>
      </c>
      <c r="D915" s="1" t="str">
        <f>_xlfn.XLOOKUP(Table1[[#This Row],[customer_name]],Table11[customer_name],Table11[id_cust])</f>
        <v>CNA0145</v>
      </c>
      <c r="E915" t="s">
        <v>1054</v>
      </c>
      <c r="F915">
        <v>19</v>
      </c>
      <c r="G915" t="str">
        <f>_xlfn.XLOOKUP(Table1[[#This Row],[branch_name]],Table3[branch_name],Table3[id_branch])</f>
        <v>BRCH005</v>
      </c>
      <c r="H915" t="s">
        <v>1217</v>
      </c>
      <c r="I915" t="str">
        <f>_xlfn.XLOOKUP(Table1[[#This Row],[city]],Table4[city],Table4[id_city])</f>
        <v>KOA0106</v>
      </c>
      <c r="J915" t="s">
        <v>1222</v>
      </c>
      <c r="K915" t="str">
        <f>_xlfn.XLOOKUP(Table1[[#This Row],[menu_name]],Table5[menu_name],Table5[id_menu])</f>
        <v>MENU004</v>
      </c>
      <c r="L915" t="s">
        <v>1226</v>
      </c>
      <c r="M915" t="str">
        <f>_xlfn.XLOOKUP(Table1[[#This Row],[category]],Table6[category],Table6[id_category])</f>
        <v>KTG0207</v>
      </c>
      <c r="N915" t="s">
        <v>1235</v>
      </c>
      <c r="O915">
        <v>1</v>
      </c>
      <c r="P915">
        <v>28000</v>
      </c>
      <c r="Q915">
        <v>20</v>
      </c>
      <c r="R915">
        <v>2</v>
      </c>
      <c r="S915" t="str">
        <f>_xlfn.XLOOKUP(Table1[[#This Row],[method]],Table7[method],Table7[id_method])</f>
        <v>PAY0711</v>
      </c>
      <c r="T915" t="s">
        <v>1238</v>
      </c>
      <c r="U915">
        <v>22400</v>
      </c>
    </row>
    <row r="916" spans="1:21" x14ac:dyDescent="0.25">
      <c r="A916" t="s">
        <v>928</v>
      </c>
      <c r="B916" t="str">
        <f>_xlfn.XLOOKUP(Table1[[#This Row],[date]],Table8[date],Table8[id_date])</f>
        <v>TGL0995</v>
      </c>
      <c r="C916" s="1">
        <v>45955</v>
      </c>
      <c r="D916" s="1" t="str">
        <f>_xlfn.XLOOKUP(Table1[[#This Row],[customer_name]],Table11[customer_name],Table11[id_cust])</f>
        <v>CNA0105</v>
      </c>
      <c r="E916" t="s">
        <v>1018</v>
      </c>
      <c r="F916">
        <v>53</v>
      </c>
      <c r="G916" t="str">
        <f>_xlfn.XLOOKUP(Table1[[#This Row],[branch_name]],Table3[branch_name],Table3[id_branch])</f>
        <v>BRCH003</v>
      </c>
      <c r="H916" t="s">
        <v>1215</v>
      </c>
      <c r="I916" t="str">
        <f>_xlfn.XLOOKUP(Table1[[#This Row],[city]],Table4[city],Table4[id_city])</f>
        <v>KOA0104</v>
      </c>
      <c r="J916" t="s">
        <v>1220</v>
      </c>
      <c r="K916" t="str">
        <f>_xlfn.XLOOKUP(Table1[[#This Row],[menu_name]],Table5[menu_name],Table5[id_menu])</f>
        <v>MENU003</v>
      </c>
      <c r="L916" t="s">
        <v>1225</v>
      </c>
      <c r="M916" t="str">
        <f>_xlfn.XLOOKUP(Table1[[#This Row],[category]],Table6[category],Table6[id_category])</f>
        <v>KTG0205</v>
      </c>
      <c r="N916" t="s">
        <v>1233</v>
      </c>
      <c r="O916">
        <v>3</v>
      </c>
      <c r="P916">
        <v>22000</v>
      </c>
      <c r="Q916">
        <v>0</v>
      </c>
      <c r="R916">
        <v>3.1</v>
      </c>
      <c r="S916" t="str">
        <f>_xlfn.XLOOKUP(Table1[[#This Row],[method]],Table7[method],Table7[id_method])</f>
        <v>PAY0712</v>
      </c>
      <c r="T916" t="s">
        <v>1239</v>
      </c>
      <c r="U916">
        <v>66000</v>
      </c>
    </row>
    <row r="917" spans="1:21" x14ac:dyDescent="0.25">
      <c r="A917" t="s">
        <v>929</v>
      </c>
      <c r="B917" t="str">
        <f>_xlfn.XLOOKUP(Table1[[#This Row],[date]],Table8[date],Table8[id_date])</f>
        <v>TGL0995</v>
      </c>
      <c r="C917" s="1">
        <v>45955</v>
      </c>
      <c r="D917" s="1" t="str">
        <f>_xlfn.XLOOKUP(Table1[[#This Row],[customer_name]],Table11[customer_name],Table11[id_cust])</f>
        <v>CNA0211</v>
      </c>
      <c r="E917" t="s">
        <v>1103</v>
      </c>
      <c r="F917">
        <v>49</v>
      </c>
      <c r="G917" t="str">
        <f>_xlfn.XLOOKUP(Table1[[#This Row],[branch_name]],Table3[branch_name],Table3[id_branch])</f>
        <v>BRCH002</v>
      </c>
      <c r="H917" t="s">
        <v>1214</v>
      </c>
      <c r="I917" t="str">
        <f>_xlfn.XLOOKUP(Table1[[#This Row],[city]],Table4[city],Table4[id_city])</f>
        <v>KOA0103</v>
      </c>
      <c r="J917" t="s">
        <v>1219</v>
      </c>
      <c r="K917" t="str">
        <f>_xlfn.XLOOKUP(Table1[[#This Row],[menu_name]],Table5[menu_name],Table5[id_menu])</f>
        <v>MENU008</v>
      </c>
      <c r="L917" t="s">
        <v>1230</v>
      </c>
      <c r="M917" t="str">
        <f>_xlfn.XLOOKUP(Table1[[#This Row],[category]],Table6[category],Table6[id_category])</f>
        <v>KTG0205</v>
      </c>
      <c r="N917" t="s">
        <v>1233</v>
      </c>
      <c r="O917">
        <v>1</v>
      </c>
      <c r="P917">
        <v>20000</v>
      </c>
      <c r="Q917">
        <v>0</v>
      </c>
      <c r="R917">
        <v>4.5</v>
      </c>
      <c r="S917" t="str">
        <f>_xlfn.XLOOKUP(Table1[[#This Row],[method]],Table7[method],Table7[id_method])</f>
        <v>PAY0711</v>
      </c>
      <c r="T917" t="s">
        <v>1238</v>
      </c>
      <c r="U917">
        <v>20000</v>
      </c>
    </row>
    <row r="918" spans="1:21" x14ac:dyDescent="0.25">
      <c r="A918" t="s">
        <v>930</v>
      </c>
      <c r="B918" t="str">
        <f>_xlfn.XLOOKUP(Table1[[#This Row],[date]],Table8[date],Table8[id_date])</f>
        <v>TGL0995</v>
      </c>
      <c r="C918" s="1">
        <v>45955</v>
      </c>
      <c r="D918" s="1" t="str">
        <f>_xlfn.XLOOKUP(Table1[[#This Row],[customer_name]],Table11[customer_name],Table11[id_cust])</f>
        <v>CNA0174</v>
      </c>
      <c r="E918" t="s">
        <v>1079</v>
      </c>
      <c r="F918">
        <v>48</v>
      </c>
      <c r="G918" t="str">
        <f>_xlfn.XLOOKUP(Table1[[#This Row],[branch_name]],Table3[branch_name],Table3[id_branch])</f>
        <v>BRCH004</v>
      </c>
      <c r="H918" t="s">
        <v>1216</v>
      </c>
      <c r="I918" t="str">
        <f>_xlfn.XLOOKUP(Table1[[#This Row],[city]],Table4[city],Table4[id_city])</f>
        <v>KOA0105</v>
      </c>
      <c r="J918" t="s">
        <v>1221</v>
      </c>
      <c r="K918" t="str">
        <f>_xlfn.XLOOKUP(Table1[[#This Row],[menu_name]],Table5[menu_name],Table5[id_menu])</f>
        <v>MENU004</v>
      </c>
      <c r="L918" t="s">
        <v>1226</v>
      </c>
      <c r="M918" t="str">
        <f>_xlfn.XLOOKUP(Table1[[#This Row],[category]],Table6[category],Table6[id_category])</f>
        <v>KTG0207</v>
      </c>
      <c r="N918" t="s">
        <v>1235</v>
      </c>
      <c r="O918">
        <v>5</v>
      </c>
      <c r="P918">
        <v>28000</v>
      </c>
      <c r="Q918">
        <v>0</v>
      </c>
      <c r="R918">
        <v>2.1</v>
      </c>
      <c r="S918" t="str">
        <f>_xlfn.XLOOKUP(Table1[[#This Row],[method]],Table7[method],Table7[id_method])</f>
        <v>PAY0711</v>
      </c>
      <c r="T918" t="s">
        <v>1238</v>
      </c>
      <c r="U918">
        <v>140000</v>
      </c>
    </row>
    <row r="919" spans="1:21" x14ac:dyDescent="0.25">
      <c r="A919" t="s">
        <v>931</v>
      </c>
      <c r="B919" t="str">
        <f>_xlfn.XLOOKUP(Table1[[#This Row],[date]],Table8[date],Table8[id_date])</f>
        <v>TGL0996</v>
      </c>
      <c r="C919" s="1">
        <v>45956</v>
      </c>
      <c r="D919" s="1" t="str">
        <f>_xlfn.XLOOKUP(Table1[[#This Row],[customer_name]],Table11[customer_name],Table11[id_cust])</f>
        <v>CNA0121</v>
      </c>
      <c r="E919" t="s">
        <v>1034</v>
      </c>
      <c r="F919">
        <v>25</v>
      </c>
      <c r="G919" t="str">
        <f>_xlfn.XLOOKUP(Table1[[#This Row],[branch_name]],Table3[branch_name],Table3[id_branch])</f>
        <v>BRCH005</v>
      </c>
      <c r="H919" t="s">
        <v>1217</v>
      </c>
      <c r="I919" t="str">
        <f>_xlfn.XLOOKUP(Table1[[#This Row],[city]],Table4[city],Table4[id_city])</f>
        <v>KOA0106</v>
      </c>
      <c r="J919" t="s">
        <v>1222</v>
      </c>
      <c r="K919" t="str">
        <f>_xlfn.XLOOKUP(Table1[[#This Row],[menu_name]],Table5[menu_name],Table5[id_menu])</f>
        <v>MENU004</v>
      </c>
      <c r="L919" t="s">
        <v>1226</v>
      </c>
      <c r="M919" t="str">
        <f>_xlfn.XLOOKUP(Table1[[#This Row],[category]],Table6[category],Table6[id_category])</f>
        <v>KTG0207</v>
      </c>
      <c r="N919" t="s">
        <v>1235</v>
      </c>
      <c r="O919">
        <v>5</v>
      </c>
      <c r="P919">
        <v>28000</v>
      </c>
      <c r="Q919">
        <v>0</v>
      </c>
      <c r="R919">
        <v>1.4</v>
      </c>
      <c r="S919" t="str">
        <f>_xlfn.XLOOKUP(Table1[[#This Row],[method]],Table7[method],Table7[id_method])</f>
        <v>PAY0710</v>
      </c>
      <c r="T919" t="s">
        <v>1237</v>
      </c>
      <c r="U919">
        <v>140000</v>
      </c>
    </row>
    <row r="920" spans="1:21" x14ac:dyDescent="0.25">
      <c r="A920" t="s">
        <v>932</v>
      </c>
      <c r="B920" t="str">
        <f>_xlfn.XLOOKUP(Table1[[#This Row],[date]],Table8[date],Table8[id_date])</f>
        <v>TGL0996</v>
      </c>
      <c r="C920" s="1">
        <v>45956</v>
      </c>
      <c r="D920" s="1" t="str">
        <f>_xlfn.XLOOKUP(Table1[[#This Row],[customer_name]],Table11[customer_name],Table11[id_cust])</f>
        <v>CNA0230</v>
      </c>
      <c r="E920" t="s">
        <v>1115</v>
      </c>
      <c r="F920">
        <v>23</v>
      </c>
      <c r="G920" t="str">
        <f>_xlfn.XLOOKUP(Table1[[#This Row],[branch_name]],Table3[branch_name],Table3[id_branch])</f>
        <v>BRCH005</v>
      </c>
      <c r="H920" t="s">
        <v>1217</v>
      </c>
      <c r="I920" t="str">
        <f>_xlfn.XLOOKUP(Table1[[#This Row],[city]],Table4[city],Table4[id_city])</f>
        <v>KOA0106</v>
      </c>
      <c r="J920" t="s">
        <v>1222</v>
      </c>
      <c r="K920" t="str">
        <f>_xlfn.XLOOKUP(Table1[[#This Row],[menu_name]],Table5[menu_name],Table5[id_menu])</f>
        <v>MENU006</v>
      </c>
      <c r="L920" t="s">
        <v>1228</v>
      </c>
      <c r="M920" t="str">
        <f>_xlfn.XLOOKUP(Table1[[#This Row],[category]],Table6[category],Table6[id_category])</f>
        <v>KTG0206</v>
      </c>
      <c r="N920" t="s">
        <v>1234</v>
      </c>
      <c r="O920">
        <v>2</v>
      </c>
      <c r="P920">
        <v>32000</v>
      </c>
      <c r="Q920">
        <v>20</v>
      </c>
      <c r="R920">
        <v>1.8</v>
      </c>
      <c r="S920" t="str">
        <f>_xlfn.XLOOKUP(Table1[[#This Row],[method]],Table7[method],Table7[id_method])</f>
        <v>PAY0712</v>
      </c>
      <c r="T920" t="s">
        <v>1239</v>
      </c>
      <c r="U920">
        <v>51200</v>
      </c>
    </row>
    <row r="921" spans="1:21" x14ac:dyDescent="0.25">
      <c r="A921" t="s">
        <v>933</v>
      </c>
      <c r="B921" t="str">
        <f>_xlfn.XLOOKUP(Table1[[#This Row],[date]],Table8[date],Table8[id_date])</f>
        <v>TGL0997</v>
      </c>
      <c r="C921" s="1">
        <v>45957</v>
      </c>
      <c r="D921" s="1" t="str">
        <f>_xlfn.XLOOKUP(Table1[[#This Row],[customer_name]],Table11[customer_name],Table11[id_cust])</f>
        <v>CNA0205</v>
      </c>
      <c r="E921" t="s">
        <v>1100</v>
      </c>
      <c r="F921">
        <v>17</v>
      </c>
      <c r="G921" t="str">
        <f>_xlfn.XLOOKUP(Table1[[#This Row],[branch_name]],Table3[branch_name],Table3[id_branch])</f>
        <v>BRCH001</v>
      </c>
      <c r="H921" t="s">
        <v>1213</v>
      </c>
      <c r="I921" t="str">
        <f>_xlfn.XLOOKUP(Table1[[#This Row],[city]],Table4[city],Table4[id_city])</f>
        <v>KOA0102</v>
      </c>
      <c r="J921" t="s">
        <v>1218</v>
      </c>
      <c r="K921" t="str">
        <f>_xlfn.XLOOKUP(Table1[[#This Row],[menu_name]],Table5[menu_name],Table5[id_menu])</f>
        <v>MENU006</v>
      </c>
      <c r="L921" t="s">
        <v>1228</v>
      </c>
      <c r="M921" t="str">
        <f>_xlfn.XLOOKUP(Table1[[#This Row],[category]],Table6[category],Table6[id_category])</f>
        <v>KTG0206</v>
      </c>
      <c r="N921" t="s">
        <v>1234</v>
      </c>
      <c r="O921">
        <v>1</v>
      </c>
      <c r="P921">
        <v>32000</v>
      </c>
      <c r="Q921">
        <v>15</v>
      </c>
      <c r="R921">
        <v>4.9000000000000004</v>
      </c>
      <c r="S921" t="str">
        <f>_xlfn.XLOOKUP(Table1[[#This Row],[method]],Table7[method],Table7[id_method])</f>
        <v>PAY0712</v>
      </c>
      <c r="T921" t="s">
        <v>1239</v>
      </c>
      <c r="U921">
        <v>27200</v>
      </c>
    </row>
    <row r="922" spans="1:21" x14ac:dyDescent="0.25">
      <c r="A922" t="s">
        <v>934</v>
      </c>
      <c r="B922" t="str">
        <f>_xlfn.XLOOKUP(Table1[[#This Row],[date]],Table8[date],Table8[id_date])</f>
        <v>TGL0997</v>
      </c>
      <c r="C922" s="1">
        <v>45957</v>
      </c>
      <c r="D922" s="1" t="str">
        <f>_xlfn.XLOOKUP(Table1[[#This Row],[customer_name]],Table11[customer_name],Table11[id_cust])</f>
        <v>CNA0199</v>
      </c>
      <c r="E922" t="s">
        <v>1094</v>
      </c>
      <c r="F922">
        <v>24</v>
      </c>
      <c r="G922" t="str">
        <f>_xlfn.XLOOKUP(Table1[[#This Row],[branch_name]],Table3[branch_name],Table3[id_branch])</f>
        <v>BRCH003</v>
      </c>
      <c r="H922" t="s">
        <v>1215</v>
      </c>
      <c r="I922" t="str">
        <f>_xlfn.XLOOKUP(Table1[[#This Row],[city]],Table4[city],Table4[id_city])</f>
        <v>KOA0104</v>
      </c>
      <c r="J922" t="s">
        <v>1220</v>
      </c>
      <c r="K922" t="str">
        <f>_xlfn.XLOOKUP(Table1[[#This Row],[menu_name]],Table5[menu_name],Table5[id_menu])</f>
        <v>MENU009</v>
      </c>
      <c r="L922" t="s">
        <v>1231</v>
      </c>
      <c r="M922" t="str">
        <f>_xlfn.XLOOKUP(Table1[[#This Row],[category]],Table6[category],Table6[id_category])</f>
        <v>KTG0206</v>
      </c>
      <c r="N922" t="s">
        <v>1234</v>
      </c>
      <c r="O922">
        <v>2</v>
      </c>
      <c r="P922">
        <v>18000</v>
      </c>
      <c r="Q922">
        <v>10</v>
      </c>
      <c r="R922">
        <v>1.6</v>
      </c>
      <c r="S922" t="str">
        <f>_xlfn.XLOOKUP(Table1[[#This Row],[method]],Table7[method],Table7[id_method])</f>
        <v>PAY0709</v>
      </c>
      <c r="T922" t="s">
        <v>1236</v>
      </c>
      <c r="U922">
        <v>32400</v>
      </c>
    </row>
    <row r="923" spans="1:21" x14ac:dyDescent="0.25">
      <c r="A923" t="s">
        <v>935</v>
      </c>
      <c r="B923" t="str">
        <f>_xlfn.XLOOKUP(Table1[[#This Row],[date]],Table8[date],Table8[id_date])</f>
        <v>TGL0997</v>
      </c>
      <c r="C923" s="1">
        <v>45957</v>
      </c>
      <c r="D923" s="1" t="str">
        <f>_xlfn.XLOOKUP(Table1[[#This Row],[customer_name]],Table11[customer_name],Table11[id_cust])</f>
        <v>CNA0242</v>
      </c>
      <c r="E923" t="s">
        <v>1123</v>
      </c>
      <c r="F923">
        <v>40</v>
      </c>
      <c r="G923" t="str">
        <f>_xlfn.XLOOKUP(Table1[[#This Row],[branch_name]],Table3[branch_name],Table3[id_branch])</f>
        <v>BRCH003</v>
      </c>
      <c r="H923" t="s">
        <v>1215</v>
      </c>
      <c r="I923" t="str">
        <f>_xlfn.XLOOKUP(Table1[[#This Row],[city]],Table4[city],Table4[id_city])</f>
        <v>KOA0104</v>
      </c>
      <c r="J923" t="s">
        <v>1220</v>
      </c>
      <c r="K923" t="str">
        <f>_xlfn.XLOOKUP(Table1[[#This Row],[menu_name]],Table5[menu_name],Table5[id_menu])</f>
        <v>MENU003</v>
      </c>
      <c r="L923" t="s">
        <v>1225</v>
      </c>
      <c r="M923" t="str">
        <f>_xlfn.XLOOKUP(Table1[[#This Row],[category]],Table6[category],Table6[id_category])</f>
        <v>KTG0205</v>
      </c>
      <c r="N923" t="s">
        <v>1233</v>
      </c>
      <c r="O923">
        <v>4</v>
      </c>
      <c r="P923">
        <v>22000</v>
      </c>
      <c r="Q923">
        <v>20</v>
      </c>
      <c r="R923">
        <v>1</v>
      </c>
      <c r="S923" t="str">
        <f>_xlfn.XLOOKUP(Table1[[#This Row],[method]],Table7[method],Table7[id_method])</f>
        <v>PAY0709</v>
      </c>
      <c r="T923" t="s">
        <v>1236</v>
      </c>
      <c r="U923">
        <v>70400</v>
      </c>
    </row>
    <row r="924" spans="1:21" x14ac:dyDescent="0.25">
      <c r="A924" t="s">
        <v>936</v>
      </c>
      <c r="B924" t="str">
        <f>_xlfn.XLOOKUP(Table1[[#This Row],[date]],Table8[date],Table8[id_date])</f>
        <v>TGL0998</v>
      </c>
      <c r="C924" s="1">
        <v>45958</v>
      </c>
      <c r="D924" s="1" t="str">
        <f>_xlfn.XLOOKUP(Table1[[#This Row],[customer_name]],Table11[customer_name],Table11[id_cust])</f>
        <v>CNA0333</v>
      </c>
      <c r="E924" t="s">
        <v>1161</v>
      </c>
      <c r="F924">
        <v>27</v>
      </c>
      <c r="G924" t="str">
        <f>_xlfn.XLOOKUP(Table1[[#This Row],[branch_name]],Table3[branch_name],Table3[id_branch])</f>
        <v>BRCH002</v>
      </c>
      <c r="H924" t="s">
        <v>1214</v>
      </c>
      <c r="I924" t="str">
        <f>_xlfn.XLOOKUP(Table1[[#This Row],[city]],Table4[city],Table4[id_city])</f>
        <v>KOA0103</v>
      </c>
      <c r="J924" t="s">
        <v>1219</v>
      </c>
      <c r="K924" t="str">
        <f>_xlfn.XLOOKUP(Table1[[#This Row],[menu_name]],Table5[menu_name],Table5[id_menu])</f>
        <v>MENU004</v>
      </c>
      <c r="L924" t="s">
        <v>1226</v>
      </c>
      <c r="M924" t="str">
        <f>_xlfn.XLOOKUP(Table1[[#This Row],[category]],Table6[category],Table6[id_category])</f>
        <v>KTG0207</v>
      </c>
      <c r="N924" t="s">
        <v>1235</v>
      </c>
      <c r="O924">
        <v>5</v>
      </c>
      <c r="P924">
        <v>28000</v>
      </c>
      <c r="Q924">
        <v>15</v>
      </c>
      <c r="R924">
        <v>1.5</v>
      </c>
      <c r="S924" t="str">
        <f>_xlfn.XLOOKUP(Table1[[#This Row],[method]],Table7[method],Table7[id_method])</f>
        <v>PAY0709</v>
      </c>
      <c r="T924" t="s">
        <v>1236</v>
      </c>
      <c r="U924">
        <v>119000</v>
      </c>
    </row>
    <row r="925" spans="1:21" x14ac:dyDescent="0.25">
      <c r="A925" t="s">
        <v>937</v>
      </c>
      <c r="B925" t="str">
        <f>_xlfn.XLOOKUP(Table1[[#This Row],[date]],Table8[date],Table8[id_date])</f>
        <v>TGL0999</v>
      </c>
      <c r="C925" s="1">
        <v>45959</v>
      </c>
      <c r="D925" s="1" t="str">
        <f>_xlfn.XLOOKUP(Table1[[#This Row],[customer_name]],Table11[customer_name],Table11[id_cust])</f>
        <v>CNA0654</v>
      </c>
      <c r="E925" t="s">
        <v>1196</v>
      </c>
      <c r="F925">
        <v>35</v>
      </c>
      <c r="G925" t="str">
        <f>_xlfn.XLOOKUP(Table1[[#This Row],[branch_name]],Table3[branch_name],Table3[id_branch])</f>
        <v>BRCH004</v>
      </c>
      <c r="H925" t="s">
        <v>1216</v>
      </c>
      <c r="I925" t="str">
        <f>_xlfn.XLOOKUP(Table1[[#This Row],[city]],Table4[city],Table4[id_city])</f>
        <v>KOA0105</v>
      </c>
      <c r="J925" t="s">
        <v>1221</v>
      </c>
      <c r="K925" t="str">
        <f>_xlfn.XLOOKUP(Table1[[#This Row],[menu_name]],Table5[menu_name],Table5[id_menu])</f>
        <v>MENU010</v>
      </c>
      <c r="L925" t="s">
        <v>1232</v>
      </c>
      <c r="M925" t="str">
        <f>_xlfn.XLOOKUP(Table1[[#This Row],[category]],Table6[category],Table6[id_category])</f>
        <v>KTG0205</v>
      </c>
      <c r="N925" t="s">
        <v>1233</v>
      </c>
      <c r="O925">
        <v>5</v>
      </c>
      <c r="P925">
        <v>18000</v>
      </c>
      <c r="Q925">
        <v>0</v>
      </c>
      <c r="R925">
        <v>4.5999999999999996</v>
      </c>
      <c r="S925" t="str">
        <f>_xlfn.XLOOKUP(Table1[[#This Row],[method]],Table7[method],Table7[id_method])</f>
        <v>PAY0710</v>
      </c>
      <c r="T925" t="s">
        <v>1237</v>
      </c>
      <c r="U925">
        <v>90000</v>
      </c>
    </row>
    <row r="926" spans="1:21" x14ac:dyDescent="0.25">
      <c r="A926" t="s">
        <v>938</v>
      </c>
      <c r="B926" t="str">
        <f>_xlfn.XLOOKUP(Table1[[#This Row],[date]],Table8[date],Table8[id_date])</f>
        <v>TGL1000</v>
      </c>
      <c r="C926" s="1">
        <v>45960</v>
      </c>
      <c r="D926" s="1" t="str">
        <f>_xlfn.XLOOKUP(Table1[[#This Row],[customer_name]],Table11[customer_name],Table11[id_cust])</f>
        <v>CNA0641</v>
      </c>
      <c r="E926" t="s">
        <v>1194</v>
      </c>
      <c r="F926">
        <v>41</v>
      </c>
      <c r="G926" t="str">
        <f>_xlfn.XLOOKUP(Table1[[#This Row],[branch_name]],Table3[branch_name],Table3[id_branch])</f>
        <v>BRCH003</v>
      </c>
      <c r="H926" t="s">
        <v>1215</v>
      </c>
      <c r="I926" t="str">
        <f>_xlfn.XLOOKUP(Table1[[#This Row],[city]],Table4[city],Table4[id_city])</f>
        <v>KOA0104</v>
      </c>
      <c r="J926" t="s">
        <v>1220</v>
      </c>
      <c r="K926" t="str">
        <f>_xlfn.XLOOKUP(Table1[[#This Row],[menu_name]],Table5[menu_name],Table5[id_menu])</f>
        <v>MENU002</v>
      </c>
      <c r="L926" t="s">
        <v>1224</v>
      </c>
      <c r="M926" t="str">
        <f>_xlfn.XLOOKUP(Table1[[#This Row],[category]],Table6[category],Table6[id_category])</f>
        <v>KTG0206</v>
      </c>
      <c r="N926" t="s">
        <v>1234</v>
      </c>
      <c r="O926">
        <v>2</v>
      </c>
      <c r="P926">
        <v>30000</v>
      </c>
      <c r="Q926">
        <v>20</v>
      </c>
      <c r="R926">
        <v>1.4</v>
      </c>
      <c r="S926" t="str">
        <f>_xlfn.XLOOKUP(Table1[[#This Row],[method]],Table7[method],Table7[id_method])</f>
        <v>PAY0711</v>
      </c>
      <c r="T926" t="s">
        <v>1238</v>
      </c>
      <c r="U926">
        <v>48000</v>
      </c>
    </row>
    <row r="927" spans="1:21" x14ac:dyDescent="0.25">
      <c r="A927" t="s">
        <v>939</v>
      </c>
      <c r="B927" t="str">
        <f>_xlfn.XLOOKUP(Table1[[#This Row],[date]],Table8[date],Table8[id_date])</f>
        <v>TGL1001</v>
      </c>
      <c r="C927" s="1">
        <v>45961</v>
      </c>
      <c r="D927" s="1" t="str">
        <f>_xlfn.XLOOKUP(Table1[[#This Row],[customer_name]],Table11[customer_name],Table11[id_cust])</f>
        <v>CNA0381</v>
      </c>
      <c r="E927" t="s">
        <v>1168</v>
      </c>
      <c r="F927">
        <v>40</v>
      </c>
      <c r="G927" t="str">
        <f>_xlfn.XLOOKUP(Table1[[#This Row],[branch_name]],Table3[branch_name],Table3[id_branch])</f>
        <v>BRCH002</v>
      </c>
      <c r="H927" t="s">
        <v>1214</v>
      </c>
      <c r="I927" t="str">
        <f>_xlfn.XLOOKUP(Table1[[#This Row],[city]],Table4[city],Table4[id_city])</f>
        <v>KOA0103</v>
      </c>
      <c r="J927" t="s">
        <v>1219</v>
      </c>
      <c r="K927" t="str">
        <f>_xlfn.XLOOKUP(Table1[[#This Row],[menu_name]],Table5[menu_name],Table5[id_menu])</f>
        <v>MENU004</v>
      </c>
      <c r="L927" t="s">
        <v>1226</v>
      </c>
      <c r="M927" t="str">
        <f>_xlfn.XLOOKUP(Table1[[#This Row],[category]],Table6[category],Table6[id_category])</f>
        <v>KTG0207</v>
      </c>
      <c r="N927" t="s">
        <v>1235</v>
      </c>
      <c r="O927">
        <v>1</v>
      </c>
      <c r="P927">
        <v>28000</v>
      </c>
      <c r="Q927">
        <v>20</v>
      </c>
      <c r="R927">
        <v>4.5999999999999996</v>
      </c>
      <c r="S927" t="str">
        <f>_xlfn.XLOOKUP(Table1[[#This Row],[method]],Table7[method],Table7[id_method])</f>
        <v>PAY0711</v>
      </c>
      <c r="T927" t="s">
        <v>1238</v>
      </c>
      <c r="U927">
        <v>22400</v>
      </c>
    </row>
    <row r="928" spans="1:21" x14ac:dyDescent="0.25">
      <c r="A928" t="s">
        <v>940</v>
      </c>
      <c r="B928" t="str">
        <f>_xlfn.XLOOKUP(Table1[[#This Row],[date]],Table8[date],Table8[id_date])</f>
        <v>TGL1001</v>
      </c>
      <c r="C928" s="1">
        <v>45961</v>
      </c>
      <c r="D928" s="1" t="str">
        <f>_xlfn.XLOOKUP(Table1[[#This Row],[customer_name]],Table11[customer_name],Table11[id_cust])</f>
        <v>CNA0280</v>
      </c>
      <c r="E928" t="s">
        <v>1140</v>
      </c>
      <c r="F928">
        <v>25</v>
      </c>
      <c r="G928" t="str">
        <f>_xlfn.XLOOKUP(Table1[[#This Row],[branch_name]],Table3[branch_name],Table3[id_branch])</f>
        <v>BRCH002</v>
      </c>
      <c r="H928" t="s">
        <v>1214</v>
      </c>
      <c r="I928" t="str">
        <f>_xlfn.XLOOKUP(Table1[[#This Row],[city]],Table4[city],Table4[id_city])</f>
        <v>KOA0103</v>
      </c>
      <c r="J928" t="s">
        <v>1219</v>
      </c>
      <c r="K928" t="str">
        <f>_xlfn.XLOOKUP(Table1[[#This Row],[menu_name]],Table5[menu_name],Table5[id_menu])</f>
        <v>MENU005</v>
      </c>
      <c r="L928" t="s">
        <v>1227</v>
      </c>
      <c r="M928" t="str">
        <f>_xlfn.XLOOKUP(Table1[[#This Row],[category]],Table6[category],Table6[id_category])</f>
        <v>KTG0206</v>
      </c>
      <c r="N928" t="s">
        <v>1234</v>
      </c>
      <c r="O928">
        <v>2</v>
      </c>
      <c r="P928">
        <v>23000</v>
      </c>
      <c r="Q928">
        <v>0</v>
      </c>
      <c r="R928">
        <v>4.7</v>
      </c>
      <c r="S928" t="str">
        <f>_xlfn.XLOOKUP(Table1[[#This Row],[method]],Table7[method],Table7[id_method])</f>
        <v>PAY0709</v>
      </c>
      <c r="T928" t="s">
        <v>1236</v>
      </c>
      <c r="U928">
        <v>46000</v>
      </c>
    </row>
    <row r="929" spans="1:21" x14ac:dyDescent="0.25">
      <c r="A929" t="s">
        <v>941</v>
      </c>
      <c r="B929" t="str">
        <f>_xlfn.XLOOKUP(Table1[[#This Row],[date]],Table8[date],Table8[id_date])</f>
        <v>TGL1001</v>
      </c>
      <c r="C929" s="1">
        <v>45961</v>
      </c>
      <c r="D929" s="1" t="str">
        <f>_xlfn.XLOOKUP(Table1[[#This Row],[customer_name]],Table11[customer_name],Table11[id_cust])</f>
        <v>CNA0278</v>
      </c>
      <c r="E929" t="s">
        <v>1139</v>
      </c>
      <c r="F929">
        <v>32</v>
      </c>
      <c r="G929" t="str">
        <f>_xlfn.XLOOKUP(Table1[[#This Row],[branch_name]],Table3[branch_name],Table3[id_branch])</f>
        <v>BRCH005</v>
      </c>
      <c r="H929" t="s">
        <v>1217</v>
      </c>
      <c r="I929" t="str">
        <f>_xlfn.XLOOKUP(Table1[[#This Row],[city]],Table4[city],Table4[id_city])</f>
        <v>KOA0106</v>
      </c>
      <c r="J929" t="s">
        <v>1222</v>
      </c>
      <c r="K929" t="str">
        <f>_xlfn.XLOOKUP(Table1[[#This Row],[menu_name]],Table5[menu_name],Table5[id_menu])</f>
        <v>MENU004</v>
      </c>
      <c r="L929" t="s">
        <v>1226</v>
      </c>
      <c r="M929" t="str">
        <f>_xlfn.XLOOKUP(Table1[[#This Row],[category]],Table6[category],Table6[id_category])</f>
        <v>KTG0207</v>
      </c>
      <c r="N929" t="s">
        <v>1235</v>
      </c>
      <c r="O929">
        <v>2</v>
      </c>
      <c r="P929">
        <v>28000</v>
      </c>
      <c r="Q929">
        <v>10</v>
      </c>
      <c r="R929">
        <v>1.8</v>
      </c>
      <c r="S929" t="str">
        <f>_xlfn.XLOOKUP(Table1[[#This Row],[method]],Table7[method],Table7[id_method])</f>
        <v>PAY0710</v>
      </c>
      <c r="T929" t="s">
        <v>1237</v>
      </c>
      <c r="U929">
        <v>50400</v>
      </c>
    </row>
    <row r="930" spans="1:21" x14ac:dyDescent="0.25">
      <c r="A930" t="s">
        <v>942</v>
      </c>
      <c r="B930" t="str">
        <f>_xlfn.XLOOKUP(Table1[[#This Row],[date]],Table8[date],Table8[id_date])</f>
        <v>TGL1002</v>
      </c>
      <c r="C930" s="1">
        <v>45963</v>
      </c>
      <c r="D930" s="1" t="str">
        <f>_xlfn.XLOOKUP(Table1[[#This Row],[customer_name]],Table11[customer_name],Table11[id_cust])</f>
        <v>CNA0108</v>
      </c>
      <c r="E930" t="s">
        <v>1021</v>
      </c>
      <c r="F930">
        <v>21</v>
      </c>
      <c r="G930" t="str">
        <f>_xlfn.XLOOKUP(Table1[[#This Row],[branch_name]],Table3[branch_name],Table3[id_branch])</f>
        <v>BRCH004</v>
      </c>
      <c r="H930" t="s">
        <v>1216</v>
      </c>
      <c r="I930" t="str">
        <f>_xlfn.XLOOKUP(Table1[[#This Row],[city]],Table4[city],Table4[id_city])</f>
        <v>KOA0105</v>
      </c>
      <c r="J930" t="s">
        <v>1221</v>
      </c>
      <c r="K930" t="str">
        <f>_xlfn.XLOOKUP(Table1[[#This Row],[menu_name]],Table5[menu_name],Table5[id_menu])</f>
        <v>MENU004</v>
      </c>
      <c r="L930" t="s">
        <v>1226</v>
      </c>
      <c r="M930" t="str">
        <f>_xlfn.XLOOKUP(Table1[[#This Row],[category]],Table6[category],Table6[id_category])</f>
        <v>KTG0207</v>
      </c>
      <c r="N930" t="s">
        <v>1235</v>
      </c>
      <c r="O930">
        <v>2</v>
      </c>
      <c r="P930">
        <v>28000</v>
      </c>
      <c r="Q930">
        <v>0</v>
      </c>
      <c r="R930">
        <v>3.6</v>
      </c>
      <c r="S930" t="str">
        <f>_xlfn.XLOOKUP(Table1[[#This Row],[method]],Table7[method],Table7[id_method])</f>
        <v>PAY0709</v>
      </c>
      <c r="T930" t="s">
        <v>1236</v>
      </c>
      <c r="U930">
        <v>56000</v>
      </c>
    </row>
    <row r="931" spans="1:21" x14ac:dyDescent="0.25">
      <c r="A931" t="s">
        <v>943</v>
      </c>
      <c r="B931" t="str">
        <f>_xlfn.XLOOKUP(Table1[[#This Row],[date]],Table8[date],Table8[id_date])</f>
        <v>TGL1002</v>
      </c>
      <c r="C931" s="1">
        <v>45963</v>
      </c>
      <c r="D931" s="1" t="str">
        <f>_xlfn.XLOOKUP(Table1[[#This Row],[customer_name]],Table11[customer_name],Table11[id_cust])</f>
        <v>CNA0199</v>
      </c>
      <c r="E931" t="s">
        <v>1094</v>
      </c>
      <c r="F931">
        <v>24</v>
      </c>
      <c r="G931" t="str">
        <f>_xlfn.XLOOKUP(Table1[[#This Row],[branch_name]],Table3[branch_name],Table3[id_branch])</f>
        <v>BRCH003</v>
      </c>
      <c r="H931" t="s">
        <v>1215</v>
      </c>
      <c r="I931" t="str">
        <f>_xlfn.XLOOKUP(Table1[[#This Row],[city]],Table4[city],Table4[id_city])</f>
        <v>KOA0104</v>
      </c>
      <c r="J931" t="s">
        <v>1220</v>
      </c>
      <c r="K931" t="str">
        <f>_xlfn.XLOOKUP(Table1[[#This Row],[menu_name]],Table5[menu_name],Table5[id_menu])</f>
        <v>MENU006</v>
      </c>
      <c r="L931" t="s">
        <v>1228</v>
      </c>
      <c r="M931" t="str">
        <f>_xlfn.XLOOKUP(Table1[[#This Row],[category]],Table6[category],Table6[id_category])</f>
        <v>KTG0206</v>
      </c>
      <c r="N931" t="s">
        <v>1234</v>
      </c>
      <c r="O931">
        <v>1</v>
      </c>
      <c r="P931">
        <v>32000</v>
      </c>
      <c r="Q931">
        <v>15</v>
      </c>
      <c r="R931">
        <v>3.8</v>
      </c>
      <c r="S931" t="str">
        <f>_xlfn.XLOOKUP(Table1[[#This Row],[method]],Table7[method],Table7[id_method])</f>
        <v>PAY0711</v>
      </c>
      <c r="T931" t="s">
        <v>1238</v>
      </c>
      <c r="U931">
        <v>27200</v>
      </c>
    </row>
    <row r="932" spans="1:21" x14ac:dyDescent="0.25">
      <c r="A932" t="s">
        <v>944</v>
      </c>
      <c r="B932" t="str">
        <f>_xlfn.XLOOKUP(Table1[[#This Row],[date]],Table8[date],Table8[id_date])</f>
        <v>TGL1003</v>
      </c>
      <c r="C932" s="1">
        <v>45964</v>
      </c>
      <c r="D932" s="1" t="str">
        <f>_xlfn.XLOOKUP(Table1[[#This Row],[customer_name]],Table11[customer_name],Table11[id_cust])</f>
        <v>CNA0149</v>
      </c>
      <c r="E932" t="s">
        <v>1058</v>
      </c>
      <c r="F932">
        <v>33</v>
      </c>
      <c r="G932" t="str">
        <f>_xlfn.XLOOKUP(Table1[[#This Row],[branch_name]],Table3[branch_name],Table3[id_branch])</f>
        <v>BRCH002</v>
      </c>
      <c r="H932" t="s">
        <v>1214</v>
      </c>
      <c r="I932" t="str">
        <f>_xlfn.XLOOKUP(Table1[[#This Row],[city]],Table4[city],Table4[id_city])</f>
        <v>KOA0103</v>
      </c>
      <c r="J932" t="s">
        <v>1219</v>
      </c>
      <c r="K932" t="str">
        <f>_xlfn.XLOOKUP(Table1[[#This Row],[menu_name]],Table5[menu_name],Table5[id_menu])</f>
        <v>MENU004</v>
      </c>
      <c r="L932" t="s">
        <v>1226</v>
      </c>
      <c r="M932" t="str">
        <f>_xlfn.XLOOKUP(Table1[[#This Row],[category]],Table6[category],Table6[id_category])</f>
        <v>KTG0207</v>
      </c>
      <c r="N932" t="s">
        <v>1235</v>
      </c>
      <c r="O932">
        <v>4</v>
      </c>
      <c r="P932">
        <v>28000</v>
      </c>
      <c r="Q932">
        <v>0</v>
      </c>
      <c r="R932">
        <v>3.2</v>
      </c>
      <c r="S932" t="str">
        <f>_xlfn.XLOOKUP(Table1[[#This Row],[method]],Table7[method],Table7[id_method])</f>
        <v>PAY0709</v>
      </c>
      <c r="T932" t="s">
        <v>1236</v>
      </c>
      <c r="U932">
        <v>112000</v>
      </c>
    </row>
    <row r="933" spans="1:21" x14ac:dyDescent="0.25">
      <c r="A933" t="s">
        <v>945</v>
      </c>
      <c r="B933" t="str">
        <f>_xlfn.XLOOKUP(Table1[[#This Row],[date]],Table8[date],Table8[id_date])</f>
        <v>TGL1003</v>
      </c>
      <c r="C933" s="1">
        <v>45964</v>
      </c>
      <c r="D933" s="1" t="str">
        <f>_xlfn.XLOOKUP(Table1[[#This Row],[customer_name]],Table11[customer_name],Table11[id_cust])</f>
        <v>CNA0511</v>
      </c>
      <c r="E933" t="s">
        <v>1186</v>
      </c>
      <c r="F933">
        <v>36</v>
      </c>
      <c r="G933" t="str">
        <f>_xlfn.XLOOKUP(Table1[[#This Row],[branch_name]],Table3[branch_name],Table3[id_branch])</f>
        <v>BRCH001</v>
      </c>
      <c r="H933" t="s">
        <v>1213</v>
      </c>
      <c r="I933" t="str">
        <f>_xlfn.XLOOKUP(Table1[[#This Row],[city]],Table4[city],Table4[id_city])</f>
        <v>KOA0102</v>
      </c>
      <c r="J933" t="s">
        <v>1218</v>
      </c>
      <c r="K933" t="str">
        <f>_xlfn.XLOOKUP(Table1[[#This Row],[menu_name]],Table5[menu_name],Table5[id_menu])</f>
        <v>MENU005</v>
      </c>
      <c r="L933" t="s">
        <v>1227</v>
      </c>
      <c r="M933" t="str">
        <f>_xlfn.XLOOKUP(Table1[[#This Row],[category]],Table6[category],Table6[id_category])</f>
        <v>KTG0206</v>
      </c>
      <c r="N933" t="s">
        <v>1234</v>
      </c>
      <c r="O933">
        <v>4</v>
      </c>
      <c r="P933">
        <v>23000</v>
      </c>
      <c r="Q933">
        <v>15</v>
      </c>
      <c r="R933">
        <v>4.3</v>
      </c>
      <c r="S933" t="str">
        <f>_xlfn.XLOOKUP(Table1[[#This Row],[method]],Table7[method],Table7[id_method])</f>
        <v>PAY0712</v>
      </c>
      <c r="T933" t="s">
        <v>1239</v>
      </c>
      <c r="U933">
        <v>78200</v>
      </c>
    </row>
    <row r="934" spans="1:21" x14ac:dyDescent="0.25">
      <c r="A934" t="s">
        <v>946</v>
      </c>
      <c r="B934" t="str">
        <f>_xlfn.XLOOKUP(Table1[[#This Row],[date]],Table8[date],Table8[id_date])</f>
        <v>TGL1003</v>
      </c>
      <c r="C934" s="1">
        <v>45964</v>
      </c>
      <c r="D934" s="1" t="str">
        <f>_xlfn.XLOOKUP(Table1[[#This Row],[customer_name]],Table11[customer_name],Table11[id_cust])</f>
        <v>CNA0641</v>
      </c>
      <c r="E934" t="s">
        <v>1194</v>
      </c>
      <c r="F934">
        <v>41</v>
      </c>
      <c r="G934" t="str">
        <f>_xlfn.XLOOKUP(Table1[[#This Row],[branch_name]],Table3[branch_name],Table3[id_branch])</f>
        <v>BRCH004</v>
      </c>
      <c r="H934" t="s">
        <v>1216</v>
      </c>
      <c r="I934" t="str">
        <f>_xlfn.XLOOKUP(Table1[[#This Row],[city]],Table4[city],Table4[id_city])</f>
        <v>KOA0105</v>
      </c>
      <c r="J934" t="s">
        <v>1221</v>
      </c>
      <c r="K934" t="str">
        <f>_xlfn.XLOOKUP(Table1[[#This Row],[menu_name]],Table5[menu_name],Table5[id_menu])</f>
        <v>MENU004</v>
      </c>
      <c r="L934" t="s">
        <v>1226</v>
      </c>
      <c r="M934" t="str">
        <f>_xlfn.XLOOKUP(Table1[[#This Row],[category]],Table6[category],Table6[id_category])</f>
        <v>KTG0207</v>
      </c>
      <c r="N934" t="s">
        <v>1235</v>
      </c>
      <c r="O934">
        <v>5</v>
      </c>
      <c r="P934">
        <v>28000</v>
      </c>
      <c r="Q934">
        <v>20</v>
      </c>
      <c r="R934">
        <v>2.8</v>
      </c>
      <c r="S934" t="str">
        <f>_xlfn.XLOOKUP(Table1[[#This Row],[method]],Table7[method],Table7[id_method])</f>
        <v>PAY0712</v>
      </c>
      <c r="T934" t="s">
        <v>1239</v>
      </c>
      <c r="U934">
        <v>112000</v>
      </c>
    </row>
    <row r="935" spans="1:21" x14ac:dyDescent="0.25">
      <c r="A935" t="s">
        <v>947</v>
      </c>
      <c r="B935" t="str">
        <f>_xlfn.XLOOKUP(Table1[[#This Row],[date]],Table8[date],Table8[id_date])</f>
        <v>TGL1004</v>
      </c>
      <c r="C935" s="1">
        <v>45965</v>
      </c>
      <c r="D935" s="1" t="str">
        <f>_xlfn.XLOOKUP(Table1[[#This Row],[customer_name]],Table11[customer_name],Table11[id_cust])</f>
        <v>CNA0170</v>
      </c>
      <c r="E935" t="s">
        <v>1075</v>
      </c>
      <c r="F935">
        <v>18</v>
      </c>
      <c r="G935" t="str">
        <f>_xlfn.XLOOKUP(Table1[[#This Row],[branch_name]],Table3[branch_name],Table3[id_branch])</f>
        <v>BRCH001</v>
      </c>
      <c r="H935" t="s">
        <v>1213</v>
      </c>
      <c r="I935" t="str">
        <f>_xlfn.XLOOKUP(Table1[[#This Row],[city]],Table4[city],Table4[id_city])</f>
        <v>KOA0102</v>
      </c>
      <c r="J935" t="s">
        <v>1218</v>
      </c>
      <c r="K935" t="str">
        <f>_xlfn.XLOOKUP(Table1[[#This Row],[menu_name]],Table5[menu_name],Table5[id_menu])</f>
        <v>MENU008</v>
      </c>
      <c r="L935" t="s">
        <v>1230</v>
      </c>
      <c r="M935" t="str">
        <f>_xlfn.XLOOKUP(Table1[[#This Row],[category]],Table6[category],Table6[id_category])</f>
        <v>KTG0205</v>
      </c>
      <c r="N935" t="s">
        <v>1233</v>
      </c>
      <c r="O935">
        <v>4</v>
      </c>
      <c r="P935">
        <v>20000</v>
      </c>
      <c r="Q935">
        <v>15</v>
      </c>
      <c r="R935">
        <v>1.2</v>
      </c>
      <c r="S935" t="str">
        <f>_xlfn.XLOOKUP(Table1[[#This Row],[method]],Table7[method],Table7[id_method])</f>
        <v>PAY0712</v>
      </c>
      <c r="T935" t="s">
        <v>1239</v>
      </c>
      <c r="U935">
        <v>68000</v>
      </c>
    </row>
    <row r="936" spans="1:21" x14ac:dyDescent="0.25">
      <c r="A936" t="s">
        <v>948</v>
      </c>
      <c r="B936" t="str">
        <f>_xlfn.XLOOKUP(Table1[[#This Row],[date]],Table8[date],Table8[id_date])</f>
        <v>TGL1005</v>
      </c>
      <c r="C936" s="1">
        <v>45966</v>
      </c>
      <c r="D936" s="1" t="str">
        <f>_xlfn.XLOOKUP(Table1[[#This Row],[customer_name]],Table11[customer_name],Table11[id_cust])</f>
        <v>CNA0114</v>
      </c>
      <c r="E936" t="s">
        <v>1027</v>
      </c>
      <c r="F936">
        <v>51</v>
      </c>
      <c r="G936" t="str">
        <f>_xlfn.XLOOKUP(Table1[[#This Row],[branch_name]],Table3[branch_name],Table3[id_branch])</f>
        <v>BRCH002</v>
      </c>
      <c r="H936" t="s">
        <v>1214</v>
      </c>
      <c r="I936" t="str">
        <f>_xlfn.XLOOKUP(Table1[[#This Row],[city]],Table4[city],Table4[id_city])</f>
        <v>KOA0103</v>
      </c>
      <c r="J936" t="s">
        <v>1219</v>
      </c>
      <c r="K936" t="str">
        <f>_xlfn.XLOOKUP(Table1[[#This Row],[menu_name]],Table5[menu_name],Table5[id_menu])</f>
        <v>MENU003</v>
      </c>
      <c r="L936" t="s">
        <v>1225</v>
      </c>
      <c r="M936" t="str">
        <f>_xlfn.XLOOKUP(Table1[[#This Row],[category]],Table6[category],Table6[id_category])</f>
        <v>KTG0205</v>
      </c>
      <c r="N936" t="s">
        <v>1233</v>
      </c>
      <c r="O936">
        <v>5</v>
      </c>
      <c r="P936">
        <v>22000</v>
      </c>
      <c r="Q936">
        <v>0</v>
      </c>
      <c r="R936">
        <v>3</v>
      </c>
      <c r="S936" t="str">
        <f>_xlfn.XLOOKUP(Table1[[#This Row],[method]],Table7[method],Table7[id_method])</f>
        <v>PAY0711</v>
      </c>
      <c r="T936" t="s">
        <v>1238</v>
      </c>
      <c r="U936">
        <v>110000</v>
      </c>
    </row>
    <row r="937" spans="1:21" x14ac:dyDescent="0.25">
      <c r="A937" t="s">
        <v>949</v>
      </c>
      <c r="B937" t="str">
        <f>_xlfn.XLOOKUP(Table1[[#This Row],[date]],Table8[date],Table8[id_date])</f>
        <v>TGL1006</v>
      </c>
      <c r="C937" s="1">
        <v>45967</v>
      </c>
      <c r="D937" s="1" t="str">
        <f>_xlfn.XLOOKUP(Table1[[#This Row],[customer_name]],Table11[customer_name],Table11[id_cust])</f>
        <v>CNA0183</v>
      </c>
      <c r="E937" t="s">
        <v>1085</v>
      </c>
      <c r="F937">
        <v>54</v>
      </c>
      <c r="G937" t="str">
        <f>_xlfn.XLOOKUP(Table1[[#This Row],[branch_name]],Table3[branch_name],Table3[id_branch])</f>
        <v>BRCH001</v>
      </c>
      <c r="H937" t="s">
        <v>1213</v>
      </c>
      <c r="I937" t="str">
        <f>_xlfn.XLOOKUP(Table1[[#This Row],[city]],Table4[city],Table4[id_city])</f>
        <v>KOA0102</v>
      </c>
      <c r="J937" t="s">
        <v>1218</v>
      </c>
      <c r="K937" t="str">
        <f>_xlfn.XLOOKUP(Table1[[#This Row],[menu_name]],Table5[menu_name],Table5[id_menu])</f>
        <v>MENU005</v>
      </c>
      <c r="L937" t="s">
        <v>1227</v>
      </c>
      <c r="M937" t="str">
        <f>_xlfn.XLOOKUP(Table1[[#This Row],[category]],Table6[category],Table6[id_category])</f>
        <v>KTG0206</v>
      </c>
      <c r="N937" t="s">
        <v>1234</v>
      </c>
      <c r="O937">
        <v>2</v>
      </c>
      <c r="P937">
        <v>23000</v>
      </c>
      <c r="Q937">
        <v>0</v>
      </c>
      <c r="R937">
        <v>1.9</v>
      </c>
      <c r="S937" t="str">
        <f>_xlfn.XLOOKUP(Table1[[#This Row],[method]],Table7[method],Table7[id_method])</f>
        <v>PAY0712</v>
      </c>
      <c r="T937" t="s">
        <v>1239</v>
      </c>
      <c r="U937">
        <v>46000</v>
      </c>
    </row>
    <row r="938" spans="1:21" x14ac:dyDescent="0.25">
      <c r="A938" t="s">
        <v>950</v>
      </c>
      <c r="B938" t="str">
        <f>_xlfn.XLOOKUP(Table1[[#This Row],[date]],Table8[date],Table8[id_date])</f>
        <v>TGL1006</v>
      </c>
      <c r="C938" s="1">
        <v>45967</v>
      </c>
      <c r="D938" s="1" t="str">
        <f>_xlfn.XLOOKUP(Table1[[#This Row],[customer_name]],Table11[customer_name],Table11[id_cust])</f>
        <v>CNA0227</v>
      </c>
      <c r="E938" t="s">
        <v>1113</v>
      </c>
      <c r="F938">
        <v>17</v>
      </c>
      <c r="G938" t="str">
        <f>_xlfn.XLOOKUP(Table1[[#This Row],[branch_name]],Table3[branch_name],Table3[id_branch])</f>
        <v>BRCH001</v>
      </c>
      <c r="H938" t="s">
        <v>1213</v>
      </c>
      <c r="I938" t="str">
        <f>_xlfn.XLOOKUP(Table1[[#This Row],[city]],Table4[city],Table4[id_city])</f>
        <v>KOA0102</v>
      </c>
      <c r="J938" t="s">
        <v>1218</v>
      </c>
      <c r="K938" t="str">
        <f>_xlfn.XLOOKUP(Table1[[#This Row],[menu_name]],Table5[menu_name],Table5[id_menu])</f>
        <v>MENU010</v>
      </c>
      <c r="L938" t="s">
        <v>1232</v>
      </c>
      <c r="M938" t="str">
        <f>_xlfn.XLOOKUP(Table1[[#This Row],[category]],Table6[category],Table6[id_category])</f>
        <v>KTG0205</v>
      </c>
      <c r="N938" t="s">
        <v>1233</v>
      </c>
      <c r="O938">
        <v>1</v>
      </c>
      <c r="P938">
        <v>18000</v>
      </c>
      <c r="Q938">
        <v>10</v>
      </c>
      <c r="R938">
        <v>4</v>
      </c>
      <c r="S938" t="str">
        <f>_xlfn.XLOOKUP(Table1[[#This Row],[method]],Table7[method],Table7[id_method])</f>
        <v>PAY0712</v>
      </c>
      <c r="T938" t="s">
        <v>1239</v>
      </c>
      <c r="U938">
        <v>16200</v>
      </c>
    </row>
    <row r="939" spans="1:21" x14ac:dyDescent="0.25">
      <c r="A939" t="s">
        <v>951</v>
      </c>
      <c r="B939" t="str">
        <f>_xlfn.XLOOKUP(Table1[[#This Row],[date]],Table8[date],Table8[id_date])</f>
        <v>TGL1006</v>
      </c>
      <c r="C939" s="1">
        <v>45967</v>
      </c>
      <c r="D939" s="1" t="str">
        <f>_xlfn.XLOOKUP(Table1[[#This Row],[customer_name]],Table11[customer_name],Table11[id_cust])</f>
        <v>CNA0299</v>
      </c>
      <c r="E939" t="s">
        <v>1149</v>
      </c>
      <c r="F939">
        <v>38</v>
      </c>
      <c r="G939" t="str">
        <f>_xlfn.XLOOKUP(Table1[[#This Row],[branch_name]],Table3[branch_name],Table3[id_branch])</f>
        <v>BRCH005</v>
      </c>
      <c r="H939" t="s">
        <v>1217</v>
      </c>
      <c r="I939" t="str">
        <f>_xlfn.XLOOKUP(Table1[[#This Row],[city]],Table4[city],Table4[id_city])</f>
        <v>KOA0106</v>
      </c>
      <c r="J939" t="s">
        <v>1222</v>
      </c>
      <c r="K939" t="str">
        <f>_xlfn.XLOOKUP(Table1[[#This Row],[menu_name]],Table5[menu_name],Table5[id_menu])</f>
        <v>MENU009</v>
      </c>
      <c r="L939" t="s">
        <v>1231</v>
      </c>
      <c r="M939" t="str">
        <f>_xlfn.XLOOKUP(Table1[[#This Row],[category]],Table6[category],Table6[id_category])</f>
        <v>KTG0206</v>
      </c>
      <c r="N939" t="s">
        <v>1234</v>
      </c>
      <c r="O939">
        <v>5</v>
      </c>
      <c r="P939">
        <v>18000</v>
      </c>
      <c r="Q939">
        <v>15</v>
      </c>
      <c r="R939">
        <v>3.1</v>
      </c>
      <c r="S939" t="str">
        <f>_xlfn.XLOOKUP(Table1[[#This Row],[method]],Table7[method],Table7[id_method])</f>
        <v>PAY0711</v>
      </c>
      <c r="T939" t="s">
        <v>1238</v>
      </c>
      <c r="U939">
        <v>76500</v>
      </c>
    </row>
    <row r="940" spans="1:21" x14ac:dyDescent="0.25">
      <c r="A940" t="s">
        <v>952</v>
      </c>
      <c r="B940" t="str">
        <f>_xlfn.XLOOKUP(Table1[[#This Row],[date]],Table8[date],Table8[id_date])</f>
        <v>TGL1007</v>
      </c>
      <c r="C940" s="1">
        <v>45968</v>
      </c>
      <c r="D940" s="1" t="str">
        <f>_xlfn.XLOOKUP(Table1[[#This Row],[customer_name]],Table11[customer_name],Table11[id_cust])</f>
        <v>CNA0297</v>
      </c>
      <c r="E940" t="s">
        <v>1148</v>
      </c>
      <c r="F940">
        <v>28</v>
      </c>
      <c r="G940" t="str">
        <f>_xlfn.XLOOKUP(Table1[[#This Row],[branch_name]],Table3[branch_name],Table3[id_branch])</f>
        <v>BRCH002</v>
      </c>
      <c r="H940" t="s">
        <v>1214</v>
      </c>
      <c r="I940" t="str">
        <f>_xlfn.XLOOKUP(Table1[[#This Row],[city]],Table4[city],Table4[id_city])</f>
        <v>KOA0103</v>
      </c>
      <c r="J940" t="s">
        <v>1219</v>
      </c>
      <c r="K940" t="str">
        <f>_xlfn.XLOOKUP(Table1[[#This Row],[menu_name]],Table5[menu_name],Table5[id_menu])</f>
        <v>MENU002</v>
      </c>
      <c r="L940" t="s">
        <v>1224</v>
      </c>
      <c r="M940" t="str">
        <f>_xlfn.XLOOKUP(Table1[[#This Row],[category]],Table6[category],Table6[id_category])</f>
        <v>KTG0206</v>
      </c>
      <c r="N940" t="s">
        <v>1234</v>
      </c>
      <c r="O940">
        <v>5</v>
      </c>
      <c r="P940">
        <v>30000</v>
      </c>
      <c r="Q940">
        <v>20</v>
      </c>
      <c r="R940">
        <v>2.4</v>
      </c>
      <c r="S940" t="str">
        <f>_xlfn.XLOOKUP(Table1[[#This Row],[method]],Table7[method],Table7[id_method])</f>
        <v>PAY0710</v>
      </c>
      <c r="T940" t="s">
        <v>1237</v>
      </c>
      <c r="U940">
        <v>120000</v>
      </c>
    </row>
    <row r="941" spans="1:21" x14ac:dyDescent="0.25">
      <c r="A941" t="s">
        <v>953</v>
      </c>
      <c r="B941" t="str">
        <f>_xlfn.XLOOKUP(Table1[[#This Row],[date]],Table8[date],Table8[id_date])</f>
        <v>TGL1008</v>
      </c>
      <c r="C941" s="1">
        <v>45969</v>
      </c>
      <c r="D941" s="1" t="str">
        <f>_xlfn.XLOOKUP(Table1[[#This Row],[customer_name]],Table11[customer_name],Table11[id_cust])</f>
        <v>CNA0145</v>
      </c>
      <c r="E941" t="s">
        <v>1054</v>
      </c>
      <c r="F941">
        <v>19</v>
      </c>
      <c r="G941" t="str">
        <f>_xlfn.XLOOKUP(Table1[[#This Row],[branch_name]],Table3[branch_name],Table3[id_branch])</f>
        <v>BRCH001</v>
      </c>
      <c r="H941" t="s">
        <v>1213</v>
      </c>
      <c r="I941" t="str">
        <f>_xlfn.XLOOKUP(Table1[[#This Row],[city]],Table4[city],Table4[id_city])</f>
        <v>KOA0102</v>
      </c>
      <c r="J941" t="s">
        <v>1218</v>
      </c>
      <c r="K941" t="str">
        <f>_xlfn.XLOOKUP(Table1[[#This Row],[menu_name]],Table5[menu_name],Table5[id_menu])</f>
        <v>MENU001</v>
      </c>
      <c r="L941" t="s">
        <v>1223</v>
      </c>
      <c r="M941" t="str">
        <f>_xlfn.XLOOKUP(Table1[[#This Row],[category]],Table6[category],Table6[id_category])</f>
        <v>KTG0205</v>
      </c>
      <c r="N941" t="s">
        <v>1233</v>
      </c>
      <c r="O941">
        <v>3</v>
      </c>
      <c r="P941">
        <v>25000</v>
      </c>
      <c r="Q941">
        <v>15</v>
      </c>
      <c r="R941">
        <v>1.4</v>
      </c>
      <c r="S941" t="str">
        <f>_xlfn.XLOOKUP(Table1[[#This Row],[method]],Table7[method],Table7[id_method])</f>
        <v>PAY0710</v>
      </c>
      <c r="T941" t="s">
        <v>1237</v>
      </c>
      <c r="U941">
        <v>63750</v>
      </c>
    </row>
    <row r="942" spans="1:21" x14ac:dyDescent="0.25">
      <c r="A942" t="s">
        <v>954</v>
      </c>
      <c r="B942" t="str">
        <f>_xlfn.XLOOKUP(Table1[[#This Row],[date]],Table8[date],Table8[id_date])</f>
        <v>TGL1009</v>
      </c>
      <c r="C942" s="1">
        <v>45972</v>
      </c>
      <c r="D942" s="1" t="str">
        <f>_xlfn.XLOOKUP(Table1[[#This Row],[customer_name]],Table11[customer_name],Table11[id_cust])</f>
        <v>CNA0262</v>
      </c>
      <c r="E942" t="s">
        <v>1130</v>
      </c>
      <c r="F942">
        <v>30</v>
      </c>
      <c r="G942" t="str">
        <f>_xlfn.XLOOKUP(Table1[[#This Row],[branch_name]],Table3[branch_name],Table3[id_branch])</f>
        <v>BRCH003</v>
      </c>
      <c r="H942" t="s">
        <v>1215</v>
      </c>
      <c r="I942" t="str">
        <f>_xlfn.XLOOKUP(Table1[[#This Row],[city]],Table4[city],Table4[id_city])</f>
        <v>KOA0104</v>
      </c>
      <c r="J942" t="s">
        <v>1220</v>
      </c>
      <c r="K942" t="str">
        <f>_xlfn.XLOOKUP(Table1[[#This Row],[menu_name]],Table5[menu_name],Table5[id_menu])</f>
        <v>MENU003</v>
      </c>
      <c r="L942" t="s">
        <v>1225</v>
      </c>
      <c r="M942" t="str">
        <f>_xlfn.XLOOKUP(Table1[[#This Row],[category]],Table6[category],Table6[id_category])</f>
        <v>KTG0205</v>
      </c>
      <c r="N942" t="s">
        <v>1233</v>
      </c>
      <c r="O942">
        <v>4</v>
      </c>
      <c r="P942">
        <v>22000</v>
      </c>
      <c r="Q942">
        <v>15</v>
      </c>
      <c r="R942">
        <v>4.7</v>
      </c>
      <c r="S942" t="str">
        <f>_xlfn.XLOOKUP(Table1[[#This Row],[method]],Table7[method],Table7[id_method])</f>
        <v>PAY0710</v>
      </c>
      <c r="T942" t="s">
        <v>1237</v>
      </c>
      <c r="U942">
        <v>74800</v>
      </c>
    </row>
    <row r="943" spans="1:21" x14ac:dyDescent="0.25">
      <c r="A943" t="s">
        <v>955</v>
      </c>
      <c r="B943" t="str">
        <f>_xlfn.XLOOKUP(Table1[[#This Row],[date]],Table8[date],Table8[id_date])</f>
        <v>TGL1010</v>
      </c>
      <c r="C943" s="1">
        <v>45973</v>
      </c>
      <c r="D943" s="1" t="str">
        <f>_xlfn.XLOOKUP(Table1[[#This Row],[customer_name]],Table11[customer_name],Table11[id_cust])</f>
        <v>CNA0239</v>
      </c>
      <c r="E943" t="s">
        <v>1121</v>
      </c>
      <c r="F943">
        <v>23</v>
      </c>
      <c r="G943" t="str">
        <f>_xlfn.XLOOKUP(Table1[[#This Row],[branch_name]],Table3[branch_name],Table3[id_branch])</f>
        <v>BRCH004</v>
      </c>
      <c r="H943" t="s">
        <v>1216</v>
      </c>
      <c r="I943" t="str">
        <f>_xlfn.XLOOKUP(Table1[[#This Row],[city]],Table4[city],Table4[id_city])</f>
        <v>KOA0105</v>
      </c>
      <c r="J943" t="s">
        <v>1221</v>
      </c>
      <c r="K943" t="str">
        <f>_xlfn.XLOOKUP(Table1[[#This Row],[menu_name]],Table5[menu_name],Table5[id_menu])</f>
        <v>MENU006</v>
      </c>
      <c r="L943" t="s">
        <v>1228</v>
      </c>
      <c r="M943" t="str">
        <f>_xlfn.XLOOKUP(Table1[[#This Row],[category]],Table6[category],Table6[id_category])</f>
        <v>KTG0206</v>
      </c>
      <c r="N943" t="s">
        <v>1234</v>
      </c>
      <c r="O943">
        <v>5</v>
      </c>
      <c r="P943">
        <v>32000</v>
      </c>
      <c r="Q943">
        <v>0</v>
      </c>
      <c r="R943">
        <v>3.5</v>
      </c>
      <c r="S943" t="str">
        <f>_xlfn.XLOOKUP(Table1[[#This Row],[method]],Table7[method],Table7[id_method])</f>
        <v>PAY0710</v>
      </c>
      <c r="T943" t="s">
        <v>1237</v>
      </c>
      <c r="U943">
        <v>160000</v>
      </c>
    </row>
    <row r="944" spans="1:21" x14ac:dyDescent="0.25">
      <c r="A944" t="s">
        <v>956</v>
      </c>
      <c r="B944" t="str">
        <f>_xlfn.XLOOKUP(Table1[[#This Row],[date]],Table8[date],Table8[id_date])</f>
        <v>TGL1010</v>
      </c>
      <c r="C944" s="1">
        <v>45973</v>
      </c>
      <c r="D944" s="1" t="str">
        <f>_xlfn.XLOOKUP(Table1[[#This Row],[customer_name]],Table11[customer_name],Table11[id_cust])</f>
        <v>CNA0236</v>
      </c>
      <c r="E944" t="s">
        <v>1120</v>
      </c>
      <c r="F944">
        <v>20</v>
      </c>
      <c r="G944" t="str">
        <f>_xlfn.XLOOKUP(Table1[[#This Row],[branch_name]],Table3[branch_name],Table3[id_branch])</f>
        <v>BRCH004</v>
      </c>
      <c r="H944" t="s">
        <v>1216</v>
      </c>
      <c r="I944" t="str">
        <f>_xlfn.XLOOKUP(Table1[[#This Row],[city]],Table4[city],Table4[id_city])</f>
        <v>KOA0105</v>
      </c>
      <c r="J944" t="s">
        <v>1221</v>
      </c>
      <c r="K944" t="str">
        <f>_xlfn.XLOOKUP(Table1[[#This Row],[menu_name]],Table5[menu_name],Table5[id_menu])</f>
        <v>MENU001</v>
      </c>
      <c r="L944" t="s">
        <v>1223</v>
      </c>
      <c r="M944" t="str">
        <f>_xlfn.XLOOKUP(Table1[[#This Row],[category]],Table6[category],Table6[id_category])</f>
        <v>KTG0205</v>
      </c>
      <c r="N944" t="s">
        <v>1233</v>
      </c>
      <c r="O944">
        <v>3</v>
      </c>
      <c r="P944">
        <v>25000</v>
      </c>
      <c r="Q944">
        <v>5</v>
      </c>
      <c r="R944">
        <v>4</v>
      </c>
      <c r="S944" t="str">
        <f>_xlfn.XLOOKUP(Table1[[#This Row],[method]],Table7[method],Table7[id_method])</f>
        <v>PAY0709</v>
      </c>
      <c r="T944" t="s">
        <v>1236</v>
      </c>
      <c r="U944">
        <v>71250</v>
      </c>
    </row>
    <row r="945" spans="1:21" x14ac:dyDescent="0.25">
      <c r="A945" t="s">
        <v>957</v>
      </c>
      <c r="B945" t="str">
        <f>_xlfn.XLOOKUP(Table1[[#This Row],[date]],Table8[date],Table8[id_date])</f>
        <v>TGL1010</v>
      </c>
      <c r="C945" s="1">
        <v>45973</v>
      </c>
      <c r="D945" s="1" t="str">
        <f>_xlfn.XLOOKUP(Table1[[#This Row],[customer_name]],Table11[customer_name],Table11[id_cust])</f>
        <v>CNA0558</v>
      </c>
      <c r="E945" t="s">
        <v>1191</v>
      </c>
      <c r="F945">
        <v>27</v>
      </c>
      <c r="G945" t="str">
        <f>_xlfn.XLOOKUP(Table1[[#This Row],[branch_name]],Table3[branch_name],Table3[id_branch])</f>
        <v>BRCH004</v>
      </c>
      <c r="H945" t="s">
        <v>1216</v>
      </c>
      <c r="I945" t="str">
        <f>_xlfn.XLOOKUP(Table1[[#This Row],[city]],Table4[city],Table4[id_city])</f>
        <v>KOA0105</v>
      </c>
      <c r="J945" t="s">
        <v>1221</v>
      </c>
      <c r="K945" t="str">
        <f>_xlfn.XLOOKUP(Table1[[#This Row],[menu_name]],Table5[menu_name],Table5[id_menu])</f>
        <v>MENU003</v>
      </c>
      <c r="L945" t="s">
        <v>1225</v>
      </c>
      <c r="M945" t="str">
        <f>_xlfn.XLOOKUP(Table1[[#This Row],[category]],Table6[category],Table6[id_category])</f>
        <v>KTG0205</v>
      </c>
      <c r="N945" t="s">
        <v>1233</v>
      </c>
      <c r="O945">
        <v>3</v>
      </c>
      <c r="P945">
        <v>22000</v>
      </c>
      <c r="Q945">
        <v>20</v>
      </c>
      <c r="R945">
        <v>4.3</v>
      </c>
      <c r="S945" t="str">
        <f>_xlfn.XLOOKUP(Table1[[#This Row],[method]],Table7[method],Table7[id_method])</f>
        <v>PAY0711</v>
      </c>
      <c r="T945" t="s">
        <v>1238</v>
      </c>
      <c r="U945">
        <v>52800</v>
      </c>
    </row>
    <row r="946" spans="1:21" x14ac:dyDescent="0.25">
      <c r="A946" t="s">
        <v>958</v>
      </c>
      <c r="B946" t="str">
        <f>_xlfn.XLOOKUP(Table1[[#This Row],[date]],Table8[date],Table8[id_date])</f>
        <v>TGL1011</v>
      </c>
      <c r="C946" s="1">
        <v>45974</v>
      </c>
      <c r="D946" s="1" t="str">
        <f>_xlfn.XLOOKUP(Table1[[#This Row],[customer_name]],Table11[customer_name],Table11[id_cust])</f>
        <v>CNA0654</v>
      </c>
      <c r="E946" t="s">
        <v>1196</v>
      </c>
      <c r="F946">
        <v>35</v>
      </c>
      <c r="G946" t="str">
        <f>_xlfn.XLOOKUP(Table1[[#This Row],[branch_name]],Table3[branch_name],Table3[id_branch])</f>
        <v>BRCH001</v>
      </c>
      <c r="H946" t="s">
        <v>1213</v>
      </c>
      <c r="I946" t="str">
        <f>_xlfn.XLOOKUP(Table1[[#This Row],[city]],Table4[city],Table4[id_city])</f>
        <v>KOA0102</v>
      </c>
      <c r="J946" t="s">
        <v>1218</v>
      </c>
      <c r="K946" t="str">
        <f>_xlfn.XLOOKUP(Table1[[#This Row],[menu_name]],Table5[menu_name],Table5[id_menu])</f>
        <v>MENU006</v>
      </c>
      <c r="L946" t="s">
        <v>1228</v>
      </c>
      <c r="M946" t="str">
        <f>_xlfn.XLOOKUP(Table1[[#This Row],[category]],Table6[category],Table6[id_category])</f>
        <v>KTG0206</v>
      </c>
      <c r="N946" t="s">
        <v>1234</v>
      </c>
      <c r="O946">
        <v>5</v>
      </c>
      <c r="P946">
        <v>32000</v>
      </c>
      <c r="Q946">
        <v>0</v>
      </c>
      <c r="R946">
        <v>3.5</v>
      </c>
      <c r="S946" t="str">
        <f>_xlfn.XLOOKUP(Table1[[#This Row],[method]],Table7[method],Table7[id_method])</f>
        <v>PAY0712</v>
      </c>
      <c r="T946" t="s">
        <v>1239</v>
      </c>
      <c r="U946">
        <v>160000</v>
      </c>
    </row>
    <row r="947" spans="1:21" x14ac:dyDescent="0.25">
      <c r="A947" t="s">
        <v>959</v>
      </c>
      <c r="B947" t="str">
        <f>_xlfn.XLOOKUP(Table1[[#This Row],[date]],Table8[date],Table8[id_date])</f>
        <v>TGL1012</v>
      </c>
      <c r="C947" s="1">
        <v>45976</v>
      </c>
      <c r="D947" s="1" t="str">
        <f>_xlfn.XLOOKUP(Table1[[#This Row],[customer_name]],Table11[customer_name],Table11[id_cust])</f>
        <v>CNA0113</v>
      </c>
      <c r="E947" t="s">
        <v>1026</v>
      </c>
      <c r="F947">
        <v>33</v>
      </c>
      <c r="G947" t="str">
        <f>_xlfn.XLOOKUP(Table1[[#This Row],[branch_name]],Table3[branch_name],Table3[id_branch])</f>
        <v>BRCH004</v>
      </c>
      <c r="H947" t="s">
        <v>1216</v>
      </c>
      <c r="I947" t="str">
        <f>_xlfn.XLOOKUP(Table1[[#This Row],[city]],Table4[city],Table4[id_city])</f>
        <v>KOA0105</v>
      </c>
      <c r="J947" t="s">
        <v>1221</v>
      </c>
      <c r="K947" t="str">
        <f>_xlfn.XLOOKUP(Table1[[#This Row],[menu_name]],Table5[menu_name],Table5[id_menu])</f>
        <v>MENU010</v>
      </c>
      <c r="L947" t="s">
        <v>1232</v>
      </c>
      <c r="M947" t="str">
        <f>_xlfn.XLOOKUP(Table1[[#This Row],[category]],Table6[category],Table6[id_category])</f>
        <v>KTG0205</v>
      </c>
      <c r="N947" t="s">
        <v>1233</v>
      </c>
      <c r="O947">
        <v>2</v>
      </c>
      <c r="P947">
        <v>18000</v>
      </c>
      <c r="Q947">
        <v>0</v>
      </c>
      <c r="R947">
        <v>2.4</v>
      </c>
      <c r="S947" t="str">
        <f>_xlfn.XLOOKUP(Table1[[#This Row],[method]],Table7[method],Table7[id_method])</f>
        <v>PAY0709</v>
      </c>
      <c r="T947" t="s">
        <v>1236</v>
      </c>
      <c r="U947">
        <v>36000</v>
      </c>
    </row>
    <row r="948" spans="1:21" x14ac:dyDescent="0.25">
      <c r="A948" t="s">
        <v>960</v>
      </c>
      <c r="B948" t="str">
        <f>_xlfn.XLOOKUP(Table1[[#This Row],[date]],Table8[date],Table8[id_date])</f>
        <v>TGL1012</v>
      </c>
      <c r="C948" s="1">
        <v>45976</v>
      </c>
      <c r="D948" s="1" t="str">
        <f>_xlfn.XLOOKUP(Table1[[#This Row],[customer_name]],Table11[customer_name],Table11[id_cust])</f>
        <v>CNA0109</v>
      </c>
      <c r="E948" t="s">
        <v>1022</v>
      </c>
      <c r="F948">
        <v>45</v>
      </c>
      <c r="G948" t="str">
        <f>_xlfn.XLOOKUP(Table1[[#This Row],[branch_name]],Table3[branch_name],Table3[id_branch])</f>
        <v>BRCH001</v>
      </c>
      <c r="H948" t="s">
        <v>1213</v>
      </c>
      <c r="I948" t="str">
        <f>_xlfn.XLOOKUP(Table1[[#This Row],[city]],Table4[city],Table4[id_city])</f>
        <v>KOA0102</v>
      </c>
      <c r="J948" t="s">
        <v>1218</v>
      </c>
      <c r="K948" t="str">
        <f>_xlfn.XLOOKUP(Table1[[#This Row],[menu_name]],Table5[menu_name],Table5[id_menu])</f>
        <v>MENU008</v>
      </c>
      <c r="L948" t="s">
        <v>1230</v>
      </c>
      <c r="M948" t="str">
        <f>_xlfn.XLOOKUP(Table1[[#This Row],[category]],Table6[category],Table6[id_category])</f>
        <v>KTG0205</v>
      </c>
      <c r="N948" t="s">
        <v>1233</v>
      </c>
      <c r="O948">
        <v>2</v>
      </c>
      <c r="P948">
        <v>20000</v>
      </c>
      <c r="Q948">
        <v>0</v>
      </c>
      <c r="R948">
        <v>5</v>
      </c>
      <c r="S948" t="str">
        <f>_xlfn.XLOOKUP(Table1[[#This Row],[method]],Table7[method],Table7[id_method])</f>
        <v>PAY0710</v>
      </c>
      <c r="T948" t="s">
        <v>1237</v>
      </c>
      <c r="U948">
        <v>40000</v>
      </c>
    </row>
    <row r="949" spans="1:21" x14ac:dyDescent="0.25">
      <c r="A949" t="s">
        <v>961</v>
      </c>
      <c r="B949" t="str">
        <f>_xlfn.XLOOKUP(Table1[[#This Row],[date]],Table8[date],Table8[id_date])</f>
        <v>TGL1012</v>
      </c>
      <c r="C949" s="1">
        <v>45976</v>
      </c>
      <c r="D949" s="1" t="str">
        <f>_xlfn.XLOOKUP(Table1[[#This Row],[customer_name]],Table11[customer_name],Table11[id_cust])</f>
        <v>CNA0312</v>
      </c>
      <c r="E949" t="s">
        <v>1154</v>
      </c>
      <c r="F949">
        <v>49</v>
      </c>
      <c r="G949" t="str">
        <f>_xlfn.XLOOKUP(Table1[[#This Row],[branch_name]],Table3[branch_name],Table3[id_branch])</f>
        <v>BRCH003</v>
      </c>
      <c r="H949" t="s">
        <v>1215</v>
      </c>
      <c r="I949" t="str">
        <f>_xlfn.XLOOKUP(Table1[[#This Row],[city]],Table4[city],Table4[id_city])</f>
        <v>KOA0104</v>
      </c>
      <c r="J949" t="s">
        <v>1220</v>
      </c>
      <c r="K949" t="str">
        <f>_xlfn.XLOOKUP(Table1[[#This Row],[menu_name]],Table5[menu_name],Table5[id_menu])</f>
        <v>MENU009</v>
      </c>
      <c r="L949" t="s">
        <v>1231</v>
      </c>
      <c r="M949" t="str">
        <f>_xlfn.XLOOKUP(Table1[[#This Row],[category]],Table6[category],Table6[id_category])</f>
        <v>KTG0206</v>
      </c>
      <c r="N949" t="s">
        <v>1234</v>
      </c>
      <c r="O949">
        <v>1</v>
      </c>
      <c r="P949">
        <v>18000</v>
      </c>
      <c r="Q949">
        <v>0</v>
      </c>
      <c r="R949">
        <v>2.6</v>
      </c>
      <c r="S949" t="str">
        <f>_xlfn.XLOOKUP(Table1[[#This Row],[method]],Table7[method],Table7[id_method])</f>
        <v>PAY0709</v>
      </c>
      <c r="T949" t="s">
        <v>1236</v>
      </c>
      <c r="U949">
        <v>18000</v>
      </c>
    </row>
    <row r="950" spans="1:21" x14ac:dyDescent="0.25">
      <c r="A950" t="s">
        <v>962</v>
      </c>
      <c r="B950" t="str">
        <f>_xlfn.XLOOKUP(Table1[[#This Row],[date]],Table8[date],Table8[id_date])</f>
        <v>TGL1012</v>
      </c>
      <c r="C950" s="1">
        <v>45976</v>
      </c>
      <c r="D950" s="1" t="str">
        <f>_xlfn.XLOOKUP(Table1[[#This Row],[customer_name]],Table11[customer_name],Table11[id_cust])</f>
        <v>CNA0203</v>
      </c>
      <c r="E950" t="s">
        <v>1098</v>
      </c>
      <c r="F950">
        <v>22</v>
      </c>
      <c r="G950" t="str">
        <f>_xlfn.XLOOKUP(Table1[[#This Row],[branch_name]],Table3[branch_name],Table3[id_branch])</f>
        <v>BRCH003</v>
      </c>
      <c r="H950" t="s">
        <v>1215</v>
      </c>
      <c r="I950" t="str">
        <f>_xlfn.XLOOKUP(Table1[[#This Row],[city]],Table4[city],Table4[id_city])</f>
        <v>KOA0104</v>
      </c>
      <c r="J950" t="s">
        <v>1220</v>
      </c>
      <c r="K950" t="str">
        <f>_xlfn.XLOOKUP(Table1[[#This Row],[menu_name]],Table5[menu_name],Table5[id_menu])</f>
        <v>MENU007</v>
      </c>
      <c r="L950" t="s">
        <v>1229</v>
      </c>
      <c r="M950" t="str">
        <f>_xlfn.XLOOKUP(Table1[[#This Row],[category]],Table6[category],Table6[id_category])</f>
        <v>KTG0207</v>
      </c>
      <c r="N950" t="s">
        <v>1235</v>
      </c>
      <c r="O950">
        <v>1</v>
      </c>
      <c r="P950">
        <v>27000</v>
      </c>
      <c r="Q950">
        <v>0</v>
      </c>
      <c r="R950">
        <v>4.5</v>
      </c>
      <c r="S950" t="str">
        <f>_xlfn.XLOOKUP(Table1[[#This Row],[method]],Table7[method],Table7[id_method])</f>
        <v>PAY0711</v>
      </c>
      <c r="T950" t="s">
        <v>1238</v>
      </c>
      <c r="U950">
        <v>27000</v>
      </c>
    </row>
    <row r="951" spans="1:21" x14ac:dyDescent="0.25">
      <c r="A951" t="s">
        <v>963</v>
      </c>
      <c r="B951" t="str">
        <f>_xlfn.XLOOKUP(Table1[[#This Row],[date]],Table8[date],Table8[id_date])</f>
        <v>TGL1013</v>
      </c>
      <c r="C951" s="1">
        <v>45977</v>
      </c>
      <c r="D951" s="1" t="str">
        <f>_xlfn.XLOOKUP(Table1[[#This Row],[customer_name]],Table11[customer_name],Table11[id_cust])</f>
        <v>CNA0255</v>
      </c>
      <c r="E951" t="s">
        <v>1128</v>
      </c>
      <c r="F951">
        <v>30</v>
      </c>
      <c r="G951" t="str">
        <f>_xlfn.XLOOKUP(Table1[[#This Row],[branch_name]],Table3[branch_name],Table3[id_branch])</f>
        <v>BRCH004</v>
      </c>
      <c r="H951" t="s">
        <v>1216</v>
      </c>
      <c r="I951" t="str">
        <f>_xlfn.XLOOKUP(Table1[[#This Row],[city]],Table4[city],Table4[id_city])</f>
        <v>KOA0105</v>
      </c>
      <c r="J951" t="s">
        <v>1221</v>
      </c>
      <c r="K951" t="str">
        <f>_xlfn.XLOOKUP(Table1[[#This Row],[menu_name]],Table5[menu_name],Table5[id_menu])</f>
        <v>MENU001</v>
      </c>
      <c r="L951" t="s">
        <v>1223</v>
      </c>
      <c r="M951" t="str">
        <f>_xlfn.XLOOKUP(Table1[[#This Row],[category]],Table6[category],Table6[id_category])</f>
        <v>KTG0205</v>
      </c>
      <c r="N951" t="s">
        <v>1233</v>
      </c>
      <c r="O951">
        <v>2</v>
      </c>
      <c r="P951">
        <v>25000</v>
      </c>
      <c r="Q951">
        <v>5</v>
      </c>
      <c r="R951">
        <v>4.3</v>
      </c>
      <c r="S951" t="str">
        <f>_xlfn.XLOOKUP(Table1[[#This Row],[method]],Table7[method],Table7[id_method])</f>
        <v>PAY0712</v>
      </c>
      <c r="T951" t="s">
        <v>1239</v>
      </c>
      <c r="U951">
        <v>47500</v>
      </c>
    </row>
    <row r="952" spans="1:21" x14ac:dyDescent="0.25">
      <c r="A952" t="s">
        <v>964</v>
      </c>
      <c r="B952" t="str">
        <f>_xlfn.XLOOKUP(Table1[[#This Row],[date]],Table8[date],Table8[id_date])</f>
        <v>TGL1014</v>
      </c>
      <c r="C952" s="1">
        <v>45979</v>
      </c>
      <c r="D952" s="1" t="str">
        <f>_xlfn.XLOOKUP(Table1[[#This Row],[customer_name]],Table11[customer_name],Table11[id_cust])</f>
        <v>CNA0122</v>
      </c>
      <c r="E952" t="s">
        <v>1035</v>
      </c>
      <c r="F952">
        <v>20</v>
      </c>
      <c r="G952" t="str">
        <f>_xlfn.XLOOKUP(Table1[[#This Row],[branch_name]],Table3[branch_name],Table3[id_branch])</f>
        <v>BRCH005</v>
      </c>
      <c r="H952" t="s">
        <v>1217</v>
      </c>
      <c r="I952" t="str">
        <f>_xlfn.XLOOKUP(Table1[[#This Row],[city]],Table4[city],Table4[id_city])</f>
        <v>KOA0106</v>
      </c>
      <c r="J952" t="s">
        <v>1222</v>
      </c>
      <c r="K952" t="str">
        <f>_xlfn.XLOOKUP(Table1[[#This Row],[menu_name]],Table5[menu_name],Table5[id_menu])</f>
        <v>MENU009</v>
      </c>
      <c r="L952" t="s">
        <v>1231</v>
      </c>
      <c r="M952" t="str">
        <f>_xlfn.XLOOKUP(Table1[[#This Row],[category]],Table6[category],Table6[id_category])</f>
        <v>KTG0206</v>
      </c>
      <c r="N952" t="s">
        <v>1234</v>
      </c>
      <c r="O952">
        <v>3</v>
      </c>
      <c r="P952">
        <v>18000</v>
      </c>
      <c r="Q952">
        <v>20</v>
      </c>
      <c r="R952">
        <v>2.9</v>
      </c>
      <c r="S952" t="str">
        <f>_xlfn.XLOOKUP(Table1[[#This Row],[method]],Table7[method],Table7[id_method])</f>
        <v>PAY0709</v>
      </c>
      <c r="T952" t="s">
        <v>1236</v>
      </c>
      <c r="U952">
        <v>43200</v>
      </c>
    </row>
    <row r="953" spans="1:21" x14ac:dyDescent="0.25">
      <c r="A953" t="s">
        <v>965</v>
      </c>
      <c r="B953" t="str">
        <f>_xlfn.XLOOKUP(Table1[[#This Row],[date]],Table8[date],Table8[id_date])</f>
        <v>TGL1015</v>
      </c>
      <c r="C953" s="1">
        <v>45980</v>
      </c>
      <c r="D953" s="1" t="str">
        <f>_xlfn.XLOOKUP(Table1[[#This Row],[customer_name]],Table11[customer_name],Table11[id_cust])</f>
        <v>CNA0434</v>
      </c>
      <c r="E953" t="s">
        <v>1179</v>
      </c>
      <c r="F953">
        <v>37</v>
      </c>
      <c r="G953" t="str">
        <f>_xlfn.XLOOKUP(Table1[[#This Row],[branch_name]],Table3[branch_name],Table3[id_branch])</f>
        <v>BRCH003</v>
      </c>
      <c r="H953" t="s">
        <v>1215</v>
      </c>
      <c r="I953" t="str">
        <f>_xlfn.XLOOKUP(Table1[[#This Row],[city]],Table4[city],Table4[id_city])</f>
        <v>KOA0104</v>
      </c>
      <c r="J953" t="s">
        <v>1220</v>
      </c>
      <c r="K953" t="str">
        <f>_xlfn.XLOOKUP(Table1[[#This Row],[menu_name]],Table5[menu_name],Table5[id_menu])</f>
        <v>MENU004</v>
      </c>
      <c r="L953" t="s">
        <v>1226</v>
      </c>
      <c r="M953" t="str">
        <f>_xlfn.XLOOKUP(Table1[[#This Row],[category]],Table6[category],Table6[id_category])</f>
        <v>KTG0207</v>
      </c>
      <c r="N953" t="s">
        <v>1235</v>
      </c>
      <c r="O953">
        <v>1</v>
      </c>
      <c r="P953">
        <v>28000</v>
      </c>
      <c r="Q953">
        <v>0</v>
      </c>
      <c r="R953">
        <v>2.7</v>
      </c>
      <c r="S953" t="str">
        <f>_xlfn.XLOOKUP(Table1[[#This Row],[method]],Table7[method],Table7[id_method])</f>
        <v>PAY0712</v>
      </c>
      <c r="T953" t="s">
        <v>1239</v>
      </c>
      <c r="U953">
        <v>28000</v>
      </c>
    </row>
    <row r="954" spans="1:21" x14ac:dyDescent="0.25">
      <c r="A954" t="s">
        <v>966</v>
      </c>
      <c r="B954" t="str">
        <f>_xlfn.XLOOKUP(Table1[[#This Row],[date]],Table8[date],Table8[id_date])</f>
        <v>TGL1015</v>
      </c>
      <c r="C954" s="1">
        <v>45980</v>
      </c>
      <c r="D954" s="1" t="str">
        <f>_xlfn.XLOOKUP(Table1[[#This Row],[customer_name]],Table11[customer_name],Table11[id_cust])</f>
        <v>CNA0169</v>
      </c>
      <c r="E954" t="s">
        <v>1074</v>
      </c>
      <c r="F954">
        <v>53</v>
      </c>
      <c r="G954" t="str">
        <f>_xlfn.XLOOKUP(Table1[[#This Row],[branch_name]],Table3[branch_name],Table3[id_branch])</f>
        <v>BRCH001</v>
      </c>
      <c r="H954" t="s">
        <v>1213</v>
      </c>
      <c r="I954" t="str">
        <f>_xlfn.XLOOKUP(Table1[[#This Row],[city]],Table4[city],Table4[id_city])</f>
        <v>KOA0102</v>
      </c>
      <c r="J954" t="s">
        <v>1218</v>
      </c>
      <c r="K954" t="str">
        <f>_xlfn.XLOOKUP(Table1[[#This Row],[menu_name]],Table5[menu_name],Table5[id_menu])</f>
        <v>MENU008</v>
      </c>
      <c r="L954" t="s">
        <v>1230</v>
      </c>
      <c r="M954" t="str">
        <f>_xlfn.XLOOKUP(Table1[[#This Row],[category]],Table6[category],Table6[id_category])</f>
        <v>KTG0205</v>
      </c>
      <c r="N954" t="s">
        <v>1233</v>
      </c>
      <c r="O954">
        <v>4</v>
      </c>
      <c r="P954">
        <v>20000</v>
      </c>
      <c r="Q954">
        <v>5</v>
      </c>
      <c r="R954">
        <v>4.5</v>
      </c>
      <c r="S954" t="str">
        <f>_xlfn.XLOOKUP(Table1[[#This Row],[method]],Table7[method],Table7[id_method])</f>
        <v>PAY0712</v>
      </c>
      <c r="T954" t="s">
        <v>1239</v>
      </c>
      <c r="U954">
        <v>76000</v>
      </c>
    </row>
    <row r="955" spans="1:21" x14ac:dyDescent="0.25">
      <c r="A955" t="s">
        <v>967</v>
      </c>
      <c r="B955" t="str">
        <f>_xlfn.XLOOKUP(Table1[[#This Row],[date]],Table8[date],Table8[id_date])</f>
        <v>TGL1015</v>
      </c>
      <c r="C955" s="1">
        <v>45980</v>
      </c>
      <c r="D955" s="1" t="str">
        <f>_xlfn.XLOOKUP(Table1[[#This Row],[customer_name]],Table11[customer_name],Table11[id_cust])</f>
        <v>CNA0192</v>
      </c>
      <c r="E955" t="s">
        <v>1092</v>
      </c>
      <c r="F955">
        <v>20</v>
      </c>
      <c r="G955" t="str">
        <f>_xlfn.XLOOKUP(Table1[[#This Row],[branch_name]],Table3[branch_name],Table3[id_branch])</f>
        <v>BRCH003</v>
      </c>
      <c r="H955" t="s">
        <v>1215</v>
      </c>
      <c r="I955" t="str">
        <f>_xlfn.XLOOKUP(Table1[[#This Row],[city]],Table4[city],Table4[id_city])</f>
        <v>KOA0104</v>
      </c>
      <c r="J955" t="s">
        <v>1220</v>
      </c>
      <c r="K955" t="str">
        <f>_xlfn.XLOOKUP(Table1[[#This Row],[menu_name]],Table5[menu_name],Table5[id_menu])</f>
        <v>MENU005</v>
      </c>
      <c r="L955" t="s">
        <v>1227</v>
      </c>
      <c r="M955" t="str">
        <f>_xlfn.XLOOKUP(Table1[[#This Row],[category]],Table6[category],Table6[id_category])</f>
        <v>KTG0206</v>
      </c>
      <c r="N955" t="s">
        <v>1234</v>
      </c>
      <c r="O955">
        <v>5</v>
      </c>
      <c r="P955">
        <v>23000</v>
      </c>
      <c r="Q955">
        <v>0</v>
      </c>
      <c r="R955">
        <v>2</v>
      </c>
      <c r="S955" t="str">
        <f>_xlfn.XLOOKUP(Table1[[#This Row],[method]],Table7[method],Table7[id_method])</f>
        <v>PAY0712</v>
      </c>
      <c r="T955" t="s">
        <v>1239</v>
      </c>
      <c r="U955">
        <v>115000</v>
      </c>
    </row>
    <row r="956" spans="1:21" x14ac:dyDescent="0.25">
      <c r="A956" t="s">
        <v>968</v>
      </c>
      <c r="B956" t="str">
        <f>_xlfn.XLOOKUP(Table1[[#This Row],[date]],Table8[date],Table8[id_date])</f>
        <v>TGL1016</v>
      </c>
      <c r="C956" s="1">
        <v>45981</v>
      </c>
      <c r="D956" s="1" t="str">
        <f>_xlfn.XLOOKUP(Table1[[#This Row],[customer_name]],Table11[customer_name],Table11[id_cust])</f>
        <v>CNA0148</v>
      </c>
      <c r="E956" t="s">
        <v>1057</v>
      </c>
      <c r="F956">
        <v>53</v>
      </c>
      <c r="G956" t="str">
        <f>_xlfn.XLOOKUP(Table1[[#This Row],[branch_name]],Table3[branch_name],Table3[id_branch])</f>
        <v>BRCH003</v>
      </c>
      <c r="H956" t="s">
        <v>1215</v>
      </c>
      <c r="I956" t="str">
        <f>_xlfn.XLOOKUP(Table1[[#This Row],[city]],Table4[city],Table4[id_city])</f>
        <v>KOA0104</v>
      </c>
      <c r="J956" t="s">
        <v>1220</v>
      </c>
      <c r="K956" t="str">
        <f>_xlfn.XLOOKUP(Table1[[#This Row],[menu_name]],Table5[menu_name],Table5[id_menu])</f>
        <v>MENU009</v>
      </c>
      <c r="L956" t="s">
        <v>1231</v>
      </c>
      <c r="M956" t="str">
        <f>_xlfn.XLOOKUP(Table1[[#This Row],[category]],Table6[category],Table6[id_category])</f>
        <v>KTG0206</v>
      </c>
      <c r="N956" t="s">
        <v>1234</v>
      </c>
      <c r="O956">
        <v>5</v>
      </c>
      <c r="P956">
        <v>18000</v>
      </c>
      <c r="Q956">
        <v>15</v>
      </c>
      <c r="R956">
        <v>3.4</v>
      </c>
      <c r="S956" t="str">
        <f>_xlfn.XLOOKUP(Table1[[#This Row],[method]],Table7[method],Table7[id_method])</f>
        <v>PAY0709</v>
      </c>
      <c r="T956" t="s">
        <v>1236</v>
      </c>
      <c r="U956">
        <v>76500</v>
      </c>
    </row>
    <row r="957" spans="1:21" x14ac:dyDescent="0.25">
      <c r="A957" t="s">
        <v>969</v>
      </c>
      <c r="B957" t="str">
        <f>_xlfn.XLOOKUP(Table1[[#This Row],[date]],Table8[date],Table8[id_date])</f>
        <v>TGL1016</v>
      </c>
      <c r="C957" s="1">
        <v>45981</v>
      </c>
      <c r="D957" s="1" t="str">
        <f>_xlfn.XLOOKUP(Table1[[#This Row],[customer_name]],Table11[customer_name],Table11[id_cust])</f>
        <v>CNA0152</v>
      </c>
      <c r="E957" t="s">
        <v>1061</v>
      </c>
      <c r="F957">
        <v>49</v>
      </c>
      <c r="G957" t="str">
        <f>_xlfn.XLOOKUP(Table1[[#This Row],[branch_name]],Table3[branch_name],Table3[id_branch])</f>
        <v>BRCH001</v>
      </c>
      <c r="H957" t="s">
        <v>1213</v>
      </c>
      <c r="I957" t="str">
        <f>_xlfn.XLOOKUP(Table1[[#This Row],[city]],Table4[city],Table4[id_city])</f>
        <v>KOA0102</v>
      </c>
      <c r="J957" t="s">
        <v>1218</v>
      </c>
      <c r="K957" t="str">
        <f>_xlfn.XLOOKUP(Table1[[#This Row],[menu_name]],Table5[menu_name],Table5[id_menu])</f>
        <v>MENU006</v>
      </c>
      <c r="L957" t="s">
        <v>1228</v>
      </c>
      <c r="M957" t="str">
        <f>_xlfn.XLOOKUP(Table1[[#This Row],[category]],Table6[category],Table6[id_category])</f>
        <v>KTG0206</v>
      </c>
      <c r="N957" t="s">
        <v>1234</v>
      </c>
      <c r="O957">
        <v>4</v>
      </c>
      <c r="P957">
        <v>32000</v>
      </c>
      <c r="Q957">
        <v>5</v>
      </c>
      <c r="R957">
        <v>2</v>
      </c>
      <c r="S957" t="str">
        <f>_xlfn.XLOOKUP(Table1[[#This Row],[method]],Table7[method],Table7[id_method])</f>
        <v>PAY0709</v>
      </c>
      <c r="T957" t="s">
        <v>1236</v>
      </c>
      <c r="U957">
        <v>121600</v>
      </c>
    </row>
    <row r="958" spans="1:21" x14ac:dyDescent="0.25">
      <c r="A958" t="s">
        <v>970</v>
      </c>
      <c r="B958" t="str">
        <f>_xlfn.XLOOKUP(Table1[[#This Row],[date]],Table8[date],Table8[id_date])</f>
        <v>TGL1017</v>
      </c>
      <c r="C958" s="1">
        <v>45982</v>
      </c>
      <c r="D958" s="1" t="str">
        <f>_xlfn.XLOOKUP(Table1[[#This Row],[customer_name]],Table11[customer_name],Table11[id_cust])</f>
        <v>CNA0760</v>
      </c>
      <c r="E958" t="s">
        <v>1203</v>
      </c>
      <c r="F958">
        <v>48</v>
      </c>
      <c r="G958" t="str">
        <f>_xlfn.XLOOKUP(Table1[[#This Row],[branch_name]],Table3[branch_name],Table3[id_branch])</f>
        <v>BRCH004</v>
      </c>
      <c r="H958" t="s">
        <v>1216</v>
      </c>
      <c r="I958" t="str">
        <f>_xlfn.XLOOKUP(Table1[[#This Row],[city]],Table4[city],Table4[id_city])</f>
        <v>KOA0105</v>
      </c>
      <c r="J958" t="s">
        <v>1221</v>
      </c>
      <c r="K958" t="str">
        <f>_xlfn.XLOOKUP(Table1[[#This Row],[menu_name]],Table5[menu_name],Table5[id_menu])</f>
        <v>MENU001</v>
      </c>
      <c r="L958" t="s">
        <v>1223</v>
      </c>
      <c r="M958" t="str">
        <f>_xlfn.XLOOKUP(Table1[[#This Row],[category]],Table6[category],Table6[id_category])</f>
        <v>KTG0205</v>
      </c>
      <c r="N958" t="s">
        <v>1233</v>
      </c>
      <c r="O958">
        <v>1</v>
      </c>
      <c r="P958">
        <v>25000</v>
      </c>
      <c r="Q958">
        <v>0</v>
      </c>
      <c r="R958">
        <v>5</v>
      </c>
      <c r="S958" t="str">
        <f>_xlfn.XLOOKUP(Table1[[#This Row],[method]],Table7[method],Table7[id_method])</f>
        <v>PAY0712</v>
      </c>
      <c r="T958" t="s">
        <v>1239</v>
      </c>
      <c r="U958">
        <v>25000</v>
      </c>
    </row>
    <row r="959" spans="1:21" x14ac:dyDescent="0.25">
      <c r="A959" t="s">
        <v>971</v>
      </c>
      <c r="B959" t="str">
        <f>_xlfn.XLOOKUP(Table1[[#This Row],[date]],Table8[date],Table8[id_date])</f>
        <v>TGL1017</v>
      </c>
      <c r="C959" s="1">
        <v>45982</v>
      </c>
      <c r="D959" s="1" t="str">
        <f>_xlfn.XLOOKUP(Table1[[#This Row],[customer_name]],Table11[customer_name],Table11[id_cust])</f>
        <v>CNA0134</v>
      </c>
      <c r="E959" t="s">
        <v>1046</v>
      </c>
      <c r="F959">
        <v>54</v>
      </c>
      <c r="G959" t="str">
        <f>_xlfn.XLOOKUP(Table1[[#This Row],[branch_name]],Table3[branch_name],Table3[id_branch])</f>
        <v>BRCH002</v>
      </c>
      <c r="H959" t="s">
        <v>1214</v>
      </c>
      <c r="I959" t="str">
        <f>_xlfn.XLOOKUP(Table1[[#This Row],[city]],Table4[city],Table4[id_city])</f>
        <v>KOA0103</v>
      </c>
      <c r="J959" t="s">
        <v>1219</v>
      </c>
      <c r="K959" t="str">
        <f>_xlfn.XLOOKUP(Table1[[#This Row],[menu_name]],Table5[menu_name],Table5[id_menu])</f>
        <v>MENU008</v>
      </c>
      <c r="L959" t="s">
        <v>1230</v>
      </c>
      <c r="M959" t="str">
        <f>_xlfn.XLOOKUP(Table1[[#This Row],[category]],Table6[category],Table6[id_category])</f>
        <v>KTG0205</v>
      </c>
      <c r="N959" t="s">
        <v>1233</v>
      </c>
      <c r="O959">
        <v>5</v>
      </c>
      <c r="P959">
        <v>20000</v>
      </c>
      <c r="Q959">
        <v>20</v>
      </c>
      <c r="R959">
        <v>2.2000000000000002</v>
      </c>
      <c r="S959" t="str">
        <f>_xlfn.XLOOKUP(Table1[[#This Row],[method]],Table7[method],Table7[id_method])</f>
        <v>PAY0710</v>
      </c>
      <c r="T959" t="s">
        <v>1237</v>
      </c>
      <c r="U959">
        <v>80000</v>
      </c>
    </row>
    <row r="960" spans="1:21" x14ac:dyDescent="0.25">
      <c r="A960" t="s">
        <v>972</v>
      </c>
      <c r="B960" t="str">
        <f>_xlfn.XLOOKUP(Table1[[#This Row],[date]],Table8[date],Table8[id_date])</f>
        <v>TGL1018</v>
      </c>
      <c r="C960" s="1">
        <v>45983</v>
      </c>
      <c r="D960" s="1" t="str">
        <f>_xlfn.XLOOKUP(Table1[[#This Row],[customer_name]],Table11[customer_name],Table11[id_cust])</f>
        <v>CNA0149</v>
      </c>
      <c r="E960" t="s">
        <v>1058</v>
      </c>
      <c r="F960">
        <v>33</v>
      </c>
      <c r="G960" t="str">
        <f>_xlfn.XLOOKUP(Table1[[#This Row],[branch_name]],Table3[branch_name],Table3[id_branch])</f>
        <v>BRCH003</v>
      </c>
      <c r="H960" t="s">
        <v>1215</v>
      </c>
      <c r="I960" t="str">
        <f>_xlfn.XLOOKUP(Table1[[#This Row],[city]],Table4[city],Table4[id_city])</f>
        <v>KOA0104</v>
      </c>
      <c r="J960" t="s">
        <v>1220</v>
      </c>
      <c r="K960" t="str">
        <f>_xlfn.XLOOKUP(Table1[[#This Row],[menu_name]],Table5[menu_name],Table5[id_menu])</f>
        <v>MENU001</v>
      </c>
      <c r="L960" t="s">
        <v>1223</v>
      </c>
      <c r="M960" t="str">
        <f>_xlfn.XLOOKUP(Table1[[#This Row],[category]],Table6[category],Table6[id_category])</f>
        <v>KTG0205</v>
      </c>
      <c r="N960" t="s">
        <v>1233</v>
      </c>
      <c r="O960">
        <v>4</v>
      </c>
      <c r="P960">
        <v>25000</v>
      </c>
      <c r="Q960">
        <v>0</v>
      </c>
      <c r="R960">
        <v>2.2999999999999998</v>
      </c>
      <c r="S960" t="str">
        <f>_xlfn.XLOOKUP(Table1[[#This Row],[method]],Table7[method],Table7[id_method])</f>
        <v>PAY0711</v>
      </c>
      <c r="T960" t="s">
        <v>1238</v>
      </c>
      <c r="U960">
        <v>100000</v>
      </c>
    </row>
    <row r="961" spans="1:21" x14ac:dyDescent="0.25">
      <c r="A961" t="s">
        <v>973</v>
      </c>
      <c r="B961" t="str">
        <f>_xlfn.XLOOKUP(Table1[[#This Row],[date]],Table8[date],Table8[id_date])</f>
        <v>TGL1018</v>
      </c>
      <c r="C961" s="1">
        <v>45983</v>
      </c>
      <c r="D961" s="1" t="str">
        <f>_xlfn.XLOOKUP(Table1[[#This Row],[customer_name]],Table11[customer_name],Table11[id_cust])</f>
        <v>CNA0885</v>
      </c>
      <c r="E961" t="s">
        <v>1209</v>
      </c>
      <c r="F961">
        <v>26</v>
      </c>
      <c r="G961" t="str">
        <f>_xlfn.XLOOKUP(Table1[[#This Row],[branch_name]],Table3[branch_name],Table3[id_branch])</f>
        <v>BRCH005</v>
      </c>
      <c r="H961" t="s">
        <v>1217</v>
      </c>
      <c r="I961" t="str">
        <f>_xlfn.XLOOKUP(Table1[[#This Row],[city]],Table4[city],Table4[id_city])</f>
        <v>KOA0106</v>
      </c>
      <c r="J961" t="s">
        <v>1222</v>
      </c>
      <c r="K961" t="str">
        <f>_xlfn.XLOOKUP(Table1[[#This Row],[menu_name]],Table5[menu_name],Table5[id_menu])</f>
        <v>MENU001</v>
      </c>
      <c r="L961" t="s">
        <v>1223</v>
      </c>
      <c r="M961" t="str">
        <f>_xlfn.XLOOKUP(Table1[[#This Row],[category]],Table6[category],Table6[id_category])</f>
        <v>KTG0205</v>
      </c>
      <c r="N961" t="s">
        <v>1233</v>
      </c>
      <c r="O961">
        <v>1</v>
      </c>
      <c r="P961">
        <v>25000</v>
      </c>
      <c r="Q961">
        <v>5</v>
      </c>
      <c r="R961">
        <v>1.8</v>
      </c>
      <c r="S961" t="str">
        <f>_xlfn.XLOOKUP(Table1[[#This Row],[method]],Table7[method],Table7[id_method])</f>
        <v>PAY0709</v>
      </c>
      <c r="T961" t="s">
        <v>1236</v>
      </c>
      <c r="U961">
        <v>23750</v>
      </c>
    </row>
    <row r="962" spans="1:21" x14ac:dyDescent="0.25">
      <c r="A962" t="s">
        <v>974</v>
      </c>
      <c r="B962" t="str">
        <f>_xlfn.XLOOKUP(Table1[[#This Row],[date]],Table8[date],Table8[id_date])</f>
        <v>TGL1018</v>
      </c>
      <c r="C962" s="1">
        <v>45983</v>
      </c>
      <c r="D962" s="1" t="str">
        <f>_xlfn.XLOOKUP(Table1[[#This Row],[customer_name]],Table11[customer_name],Table11[id_cust])</f>
        <v>CNA0674</v>
      </c>
      <c r="E962" t="s">
        <v>1198</v>
      </c>
      <c r="F962">
        <v>30</v>
      </c>
      <c r="G962" t="str">
        <f>_xlfn.XLOOKUP(Table1[[#This Row],[branch_name]],Table3[branch_name],Table3[id_branch])</f>
        <v>BRCH002</v>
      </c>
      <c r="H962" t="s">
        <v>1214</v>
      </c>
      <c r="I962" t="str">
        <f>_xlfn.XLOOKUP(Table1[[#This Row],[city]],Table4[city],Table4[id_city])</f>
        <v>KOA0103</v>
      </c>
      <c r="J962" t="s">
        <v>1219</v>
      </c>
      <c r="K962" t="str">
        <f>_xlfn.XLOOKUP(Table1[[#This Row],[menu_name]],Table5[menu_name],Table5[id_menu])</f>
        <v>MENU008</v>
      </c>
      <c r="L962" t="s">
        <v>1230</v>
      </c>
      <c r="M962" t="str">
        <f>_xlfn.XLOOKUP(Table1[[#This Row],[category]],Table6[category],Table6[id_category])</f>
        <v>KTG0205</v>
      </c>
      <c r="N962" t="s">
        <v>1233</v>
      </c>
      <c r="O962">
        <v>3</v>
      </c>
      <c r="P962">
        <v>20000</v>
      </c>
      <c r="Q962">
        <v>10</v>
      </c>
      <c r="R962">
        <v>1.4</v>
      </c>
      <c r="S962" t="str">
        <f>_xlfn.XLOOKUP(Table1[[#This Row],[method]],Table7[method],Table7[id_method])</f>
        <v>PAY0712</v>
      </c>
      <c r="T962" t="s">
        <v>1239</v>
      </c>
      <c r="U962">
        <v>54000</v>
      </c>
    </row>
    <row r="963" spans="1:21" x14ac:dyDescent="0.25">
      <c r="A963" t="s">
        <v>975</v>
      </c>
      <c r="B963" t="str">
        <f>_xlfn.XLOOKUP(Table1[[#This Row],[date]],Table8[date],Table8[id_date])</f>
        <v>TGL1019</v>
      </c>
      <c r="C963" s="1">
        <v>45984</v>
      </c>
      <c r="D963" s="1" t="str">
        <f>_xlfn.XLOOKUP(Table1[[#This Row],[customer_name]],Table11[customer_name],Table11[id_cust])</f>
        <v>CNA0131</v>
      </c>
      <c r="E963" t="s">
        <v>1043</v>
      </c>
      <c r="F963">
        <v>45</v>
      </c>
      <c r="G963" t="str">
        <f>_xlfn.XLOOKUP(Table1[[#This Row],[branch_name]],Table3[branch_name],Table3[id_branch])</f>
        <v>BRCH003</v>
      </c>
      <c r="H963" t="s">
        <v>1215</v>
      </c>
      <c r="I963" t="str">
        <f>_xlfn.XLOOKUP(Table1[[#This Row],[city]],Table4[city],Table4[id_city])</f>
        <v>KOA0104</v>
      </c>
      <c r="J963" t="s">
        <v>1220</v>
      </c>
      <c r="K963" t="str">
        <f>_xlfn.XLOOKUP(Table1[[#This Row],[menu_name]],Table5[menu_name],Table5[id_menu])</f>
        <v>MENU006</v>
      </c>
      <c r="L963" t="s">
        <v>1228</v>
      </c>
      <c r="M963" t="str">
        <f>_xlfn.XLOOKUP(Table1[[#This Row],[category]],Table6[category],Table6[id_category])</f>
        <v>KTG0206</v>
      </c>
      <c r="N963" t="s">
        <v>1234</v>
      </c>
      <c r="O963">
        <v>3</v>
      </c>
      <c r="P963">
        <v>32000</v>
      </c>
      <c r="Q963">
        <v>10</v>
      </c>
      <c r="R963">
        <v>3.4</v>
      </c>
      <c r="S963" t="str">
        <f>_xlfn.XLOOKUP(Table1[[#This Row],[method]],Table7[method],Table7[id_method])</f>
        <v>PAY0709</v>
      </c>
      <c r="T963" t="s">
        <v>1236</v>
      </c>
      <c r="U963">
        <v>86400</v>
      </c>
    </row>
    <row r="964" spans="1:21" x14ac:dyDescent="0.25">
      <c r="A964" t="s">
        <v>976</v>
      </c>
      <c r="B964" t="str">
        <f>_xlfn.XLOOKUP(Table1[[#This Row],[date]],Table8[date],Table8[id_date])</f>
        <v>TGL1020</v>
      </c>
      <c r="C964" s="1">
        <v>45986</v>
      </c>
      <c r="D964" s="1" t="str">
        <f>_xlfn.XLOOKUP(Table1[[#This Row],[customer_name]],Table11[customer_name],Table11[id_cust])</f>
        <v>CNA0230</v>
      </c>
      <c r="E964" t="s">
        <v>1115</v>
      </c>
      <c r="F964">
        <v>23</v>
      </c>
      <c r="G964" t="str">
        <f>_xlfn.XLOOKUP(Table1[[#This Row],[branch_name]],Table3[branch_name],Table3[id_branch])</f>
        <v>BRCH005</v>
      </c>
      <c r="H964" t="s">
        <v>1217</v>
      </c>
      <c r="I964" t="str">
        <f>_xlfn.XLOOKUP(Table1[[#This Row],[city]],Table4[city],Table4[id_city])</f>
        <v>KOA0106</v>
      </c>
      <c r="J964" t="s">
        <v>1222</v>
      </c>
      <c r="K964" t="str">
        <f>_xlfn.XLOOKUP(Table1[[#This Row],[menu_name]],Table5[menu_name],Table5[id_menu])</f>
        <v>MENU008</v>
      </c>
      <c r="L964" t="s">
        <v>1230</v>
      </c>
      <c r="M964" t="str">
        <f>_xlfn.XLOOKUP(Table1[[#This Row],[category]],Table6[category],Table6[id_category])</f>
        <v>KTG0205</v>
      </c>
      <c r="N964" t="s">
        <v>1233</v>
      </c>
      <c r="O964">
        <v>3</v>
      </c>
      <c r="P964">
        <v>20000</v>
      </c>
      <c r="Q964">
        <v>10</v>
      </c>
      <c r="R964">
        <v>2.2000000000000002</v>
      </c>
      <c r="S964" t="str">
        <f>_xlfn.XLOOKUP(Table1[[#This Row],[method]],Table7[method],Table7[id_method])</f>
        <v>PAY0709</v>
      </c>
      <c r="T964" t="s">
        <v>1236</v>
      </c>
      <c r="U964">
        <v>54000</v>
      </c>
    </row>
    <row r="965" spans="1:21" x14ac:dyDescent="0.25">
      <c r="A965" t="s">
        <v>977</v>
      </c>
      <c r="B965" t="str">
        <f>_xlfn.XLOOKUP(Table1[[#This Row],[date]],Table8[date],Table8[id_date])</f>
        <v>TGL1021</v>
      </c>
      <c r="C965" s="1">
        <v>45987</v>
      </c>
      <c r="D965" s="1" t="str">
        <f>_xlfn.XLOOKUP(Table1[[#This Row],[customer_name]],Table11[customer_name],Table11[id_cust])</f>
        <v>CNA0126</v>
      </c>
      <c r="E965" t="s">
        <v>1038</v>
      </c>
      <c r="F965">
        <v>30</v>
      </c>
      <c r="G965" t="str">
        <f>_xlfn.XLOOKUP(Table1[[#This Row],[branch_name]],Table3[branch_name],Table3[id_branch])</f>
        <v>BRCH004</v>
      </c>
      <c r="H965" t="s">
        <v>1216</v>
      </c>
      <c r="I965" t="str">
        <f>_xlfn.XLOOKUP(Table1[[#This Row],[city]],Table4[city],Table4[id_city])</f>
        <v>KOA0105</v>
      </c>
      <c r="J965" t="s">
        <v>1221</v>
      </c>
      <c r="K965" t="str">
        <f>_xlfn.XLOOKUP(Table1[[#This Row],[menu_name]],Table5[menu_name],Table5[id_menu])</f>
        <v>MENU004</v>
      </c>
      <c r="L965" t="s">
        <v>1226</v>
      </c>
      <c r="M965" t="str">
        <f>_xlfn.XLOOKUP(Table1[[#This Row],[category]],Table6[category],Table6[id_category])</f>
        <v>KTG0207</v>
      </c>
      <c r="N965" t="s">
        <v>1235</v>
      </c>
      <c r="O965">
        <v>3</v>
      </c>
      <c r="P965">
        <v>28000</v>
      </c>
      <c r="Q965">
        <v>0</v>
      </c>
      <c r="R965">
        <v>3.7</v>
      </c>
      <c r="S965" t="str">
        <f>_xlfn.XLOOKUP(Table1[[#This Row],[method]],Table7[method],Table7[id_method])</f>
        <v>PAY0710</v>
      </c>
      <c r="T965" t="s">
        <v>1237</v>
      </c>
      <c r="U965">
        <v>84000</v>
      </c>
    </row>
    <row r="966" spans="1:21" x14ac:dyDescent="0.25">
      <c r="A966" t="s">
        <v>978</v>
      </c>
      <c r="B966" t="str">
        <f>_xlfn.XLOOKUP(Table1[[#This Row],[date]],Table8[date],Table8[id_date])</f>
        <v>TGL1021</v>
      </c>
      <c r="C966" s="1">
        <v>45987</v>
      </c>
      <c r="D966" s="1" t="str">
        <f>_xlfn.XLOOKUP(Table1[[#This Row],[customer_name]],Table11[customer_name],Table11[id_cust])</f>
        <v>CNA0166</v>
      </c>
      <c r="E966" t="s">
        <v>1071</v>
      </c>
      <c r="F966">
        <v>48</v>
      </c>
      <c r="G966" t="str">
        <f>_xlfn.XLOOKUP(Table1[[#This Row],[branch_name]],Table3[branch_name],Table3[id_branch])</f>
        <v>BRCH001</v>
      </c>
      <c r="H966" t="s">
        <v>1213</v>
      </c>
      <c r="I966" t="str">
        <f>_xlfn.XLOOKUP(Table1[[#This Row],[city]],Table4[city],Table4[id_city])</f>
        <v>KOA0102</v>
      </c>
      <c r="J966" t="s">
        <v>1218</v>
      </c>
      <c r="K966" t="str">
        <f>_xlfn.XLOOKUP(Table1[[#This Row],[menu_name]],Table5[menu_name],Table5[id_menu])</f>
        <v>MENU005</v>
      </c>
      <c r="L966" t="s">
        <v>1227</v>
      </c>
      <c r="M966" t="str">
        <f>_xlfn.XLOOKUP(Table1[[#This Row],[category]],Table6[category],Table6[id_category])</f>
        <v>KTG0206</v>
      </c>
      <c r="N966" t="s">
        <v>1234</v>
      </c>
      <c r="O966">
        <v>5</v>
      </c>
      <c r="P966">
        <v>23000</v>
      </c>
      <c r="Q966">
        <v>15</v>
      </c>
      <c r="R966">
        <v>1.2</v>
      </c>
      <c r="S966" t="str">
        <f>_xlfn.XLOOKUP(Table1[[#This Row],[method]],Table7[method],Table7[id_method])</f>
        <v>PAY0709</v>
      </c>
      <c r="T966" t="s">
        <v>1236</v>
      </c>
      <c r="U966">
        <v>97750</v>
      </c>
    </row>
    <row r="967" spans="1:21" x14ac:dyDescent="0.25">
      <c r="A967" t="s">
        <v>979</v>
      </c>
      <c r="B967" t="str">
        <f>_xlfn.XLOOKUP(Table1[[#This Row],[date]],Table8[date],Table8[id_date])</f>
        <v>TGL1022</v>
      </c>
      <c r="C967" s="1">
        <v>45988</v>
      </c>
      <c r="D967" s="1" t="str">
        <f>_xlfn.XLOOKUP(Table1[[#This Row],[customer_name]],Table11[customer_name],Table11[id_cust])</f>
        <v>CNA0204</v>
      </c>
      <c r="E967" t="s">
        <v>1099</v>
      </c>
      <c r="F967">
        <v>40</v>
      </c>
      <c r="G967" t="str">
        <f>_xlfn.XLOOKUP(Table1[[#This Row],[branch_name]],Table3[branch_name],Table3[id_branch])</f>
        <v>BRCH001</v>
      </c>
      <c r="H967" t="s">
        <v>1213</v>
      </c>
      <c r="I967" t="str">
        <f>_xlfn.XLOOKUP(Table1[[#This Row],[city]],Table4[city],Table4[id_city])</f>
        <v>KOA0102</v>
      </c>
      <c r="J967" t="s">
        <v>1218</v>
      </c>
      <c r="K967" t="str">
        <f>_xlfn.XLOOKUP(Table1[[#This Row],[menu_name]],Table5[menu_name],Table5[id_menu])</f>
        <v>MENU003</v>
      </c>
      <c r="L967" t="s">
        <v>1225</v>
      </c>
      <c r="M967" t="str">
        <f>_xlfn.XLOOKUP(Table1[[#This Row],[category]],Table6[category],Table6[id_category])</f>
        <v>KTG0205</v>
      </c>
      <c r="N967" t="s">
        <v>1233</v>
      </c>
      <c r="O967">
        <v>4</v>
      </c>
      <c r="P967">
        <v>22000</v>
      </c>
      <c r="Q967">
        <v>0</v>
      </c>
      <c r="R967">
        <v>3.5</v>
      </c>
      <c r="S967" t="str">
        <f>_xlfn.XLOOKUP(Table1[[#This Row],[method]],Table7[method],Table7[id_method])</f>
        <v>PAY0710</v>
      </c>
      <c r="T967" t="s">
        <v>1237</v>
      </c>
      <c r="U967">
        <v>88000</v>
      </c>
    </row>
    <row r="968" spans="1:21" x14ac:dyDescent="0.25">
      <c r="A968" t="s">
        <v>980</v>
      </c>
      <c r="B968" t="str">
        <f>_xlfn.XLOOKUP(Table1[[#This Row],[date]],Table8[date],Table8[id_date])</f>
        <v>TGL1023</v>
      </c>
      <c r="C968" s="1">
        <v>45989</v>
      </c>
      <c r="D968" s="1" t="str">
        <f>_xlfn.XLOOKUP(Table1[[#This Row],[customer_name]],Table11[customer_name],Table11[id_cust])</f>
        <v>CNA0513</v>
      </c>
      <c r="E968" t="s">
        <v>1187</v>
      </c>
      <c r="F968">
        <v>52</v>
      </c>
      <c r="G968" t="str">
        <f>_xlfn.XLOOKUP(Table1[[#This Row],[branch_name]],Table3[branch_name],Table3[id_branch])</f>
        <v>BRCH005</v>
      </c>
      <c r="H968" t="s">
        <v>1217</v>
      </c>
      <c r="I968" t="str">
        <f>_xlfn.XLOOKUP(Table1[[#This Row],[city]],Table4[city],Table4[id_city])</f>
        <v>KOA0106</v>
      </c>
      <c r="J968" t="s">
        <v>1222</v>
      </c>
      <c r="K968" t="str">
        <f>_xlfn.XLOOKUP(Table1[[#This Row],[menu_name]],Table5[menu_name],Table5[id_menu])</f>
        <v>MENU005</v>
      </c>
      <c r="L968" t="s">
        <v>1227</v>
      </c>
      <c r="M968" t="str">
        <f>_xlfn.XLOOKUP(Table1[[#This Row],[category]],Table6[category],Table6[id_category])</f>
        <v>KTG0206</v>
      </c>
      <c r="N968" t="s">
        <v>1234</v>
      </c>
      <c r="O968">
        <v>5</v>
      </c>
      <c r="P968">
        <v>23000</v>
      </c>
      <c r="Q968">
        <v>0</v>
      </c>
      <c r="R968">
        <v>2.1</v>
      </c>
      <c r="S968" t="str">
        <f>_xlfn.XLOOKUP(Table1[[#This Row],[method]],Table7[method],Table7[id_method])</f>
        <v>PAY0709</v>
      </c>
      <c r="T968" t="s">
        <v>1236</v>
      </c>
      <c r="U968">
        <v>115000</v>
      </c>
    </row>
    <row r="969" spans="1:21" x14ac:dyDescent="0.25">
      <c r="A969" t="s">
        <v>981</v>
      </c>
      <c r="B969" t="str">
        <f>_xlfn.XLOOKUP(Table1[[#This Row],[date]],Table8[date],Table8[id_date])</f>
        <v>TGL1023</v>
      </c>
      <c r="C969" s="1">
        <v>45989</v>
      </c>
      <c r="D969" s="1" t="str">
        <f>_xlfn.XLOOKUP(Table1[[#This Row],[customer_name]],Table11[customer_name],Table11[id_cust])</f>
        <v>CNA0184</v>
      </c>
      <c r="E969" t="s">
        <v>1086</v>
      </c>
      <c r="F969">
        <v>24</v>
      </c>
      <c r="G969" t="str">
        <f>_xlfn.XLOOKUP(Table1[[#This Row],[branch_name]],Table3[branch_name],Table3[id_branch])</f>
        <v>BRCH004</v>
      </c>
      <c r="H969" t="s">
        <v>1216</v>
      </c>
      <c r="I969" t="str">
        <f>_xlfn.XLOOKUP(Table1[[#This Row],[city]],Table4[city],Table4[id_city])</f>
        <v>KOA0105</v>
      </c>
      <c r="J969" t="s">
        <v>1221</v>
      </c>
      <c r="K969" t="str">
        <f>_xlfn.XLOOKUP(Table1[[#This Row],[menu_name]],Table5[menu_name],Table5[id_menu])</f>
        <v>MENU004</v>
      </c>
      <c r="L969" t="s">
        <v>1226</v>
      </c>
      <c r="M969" t="str">
        <f>_xlfn.XLOOKUP(Table1[[#This Row],[category]],Table6[category],Table6[id_category])</f>
        <v>KTG0207</v>
      </c>
      <c r="N969" t="s">
        <v>1235</v>
      </c>
      <c r="O969">
        <v>3</v>
      </c>
      <c r="P969">
        <v>28000</v>
      </c>
      <c r="Q969">
        <v>20</v>
      </c>
      <c r="R969">
        <v>1.6</v>
      </c>
      <c r="S969" t="str">
        <f>_xlfn.XLOOKUP(Table1[[#This Row],[method]],Table7[method],Table7[id_method])</f>
        <v>PAY0709</v>
      </c>
      <c r="T969" t="s">
        <v>1236</v>
      </c>
      <c r="U969">
        <v>67200</v>
      </c>
    </row>
    <row r="970" spans="1:21" x14ac:dyDescent="0.25">
      <c r="A970" t="s">
        <v>982</v>
      </c>
      <c r="B970" t="str">
        <f>_xlfn.XLOOKUP(Table1[[#This Row],[date]],Table8[date],Table8[id_date])</f>
        <v>TGL1024</v>
      </c>
      <c r="C970" s="1">
        <v>45990</v>
      </c>
      <c r="D970" s="1" t="str">
        <f>_xlfn.XLOOKUP(Table1[[#This Row],[customer_name]],Table11[customer_name],Table11[id_cust])</f>
        <v>CNA0385</v>
      </c>
      <c r="E970" t="s">
        <v>1169</v>
      </c>
      <c r="F970">
        <v>50</v>
      </c>
      <c r="G970" t="str">
        <f>_xlfn.XLOOKUP(Table1[[#This Row],[branch_name]],Table3[branch_name],Table3[id_branch])</f>
        <v>BRCH004</v>
      </c>
      <c r="H970" t="s">
        <v>1216</v>
      </c>
      <c r="I970" t="str">
        <f>_xlfn.XLOOKUP(Table1[[#This Row],[city]],Table4[city],Table4[id_city])</f>
        <v>KOA0105</v>
      </c>
      <c r="J970" t="s">
        <v>1221</v>
      </c>
      <c r="K970" t="str">
        <f>_xlfn.XLOOKUP(Table1[[#This Row],[menu_name]],Table5[menu_name],Table5[id_menu])</f>
        <v>MENU004</v>
      </c>
      <c r="L970" t="s">
        <v>1226</v>
      </c>
      <c r="M970" t="str">
        <f>_xlfn.XLOOKUP(Table1[[#This Row],[category]],Table6[category],Table6[id_category])</f>
        <v>KTG0207</v>
      </c>
      <c r="N970" t="s">
        <v>1235</v>
      </c>
      <c r="O970">
        <v>4</v>
      </c>
      <c r="P970">
        <v>28000</v>
      </c>
      <c r="Q970">
        <v>0</v>
      </c>
      <c r="R970">
        <v>4.3</v>
      </c>
      <c r="S970" t="str">
        <f>_xlfn.XLOOKUP(Table1[[#This Row],[method]],Table7[method],Table7[id_method])</f>
        <v>PAY0711</v>
      </c>
      <c r="T970" t="s">
        <v>1238</v>
      </c>
      <c r="U970">
        <v>112000</v>
      </c>
    </row>
    <row r="971" spans="1:21" x14ac:dyDescent="0.25">
      <c r="A971" t="s">
        <v>983</v>
      </c>
      <c r="B971" t="str">
        <f>_xlfn.XLOOKUP(Table1[[#This Row],[date]],Table8[date],Table8[id_date])</f>
        <v>TGL1024</v>
      </c>
      <c r="C971" s="1">
        <v>45990</v>
      </c>
      <c r="D971" s="1" t="str">
        <f>_xlfn.XLOOKUP(Table1[[#This Row],[customer_name]],Table11[customer_name],Table11[id_cust])</f>
        <v>CNA0277</v>
      </c>
      <c r="E971" t="s">
        <v>1138</v>
      </c>
      <c r="F971">
        <v>52</v>
      </c>
      <c r="G971" t="str">
        <f>_xlfn.XLOOKUP(Table1[[#This Row],[branch_name]],Table3[branch_name],Table3[id_branch])</f>
        <v>BRCH001</v>
      </c>
      <c r="H971" t="s">
        <v>1213</v>
      </c>
      <c r="I971" t="str">
        <f>_xlfn.XLOOKUP(Table1[[#This Row],[city]],Table4[city],Table4[id_city])</f>
        <v>KOA0102</v>
      </c>
      <c r="J971" t="s">
        <v>1218</v>
      </c>
      <c r="K971" t="str">
        <f>_xlfn.XLOOKUP(Table1[[#This Row],[menu_name]],Table5[menu_name],Table5[id_menu])</f>
        <v>MENU009</v>
      </c>
      <c r="L971" t="s">
        <v>1231</v>
      </c>
      <c r="M971" t="str">
        <f>_xlfn.XLOOKUP(Table1[[#This Row],[category]],Table6[category],Table6[id_category])</f>
        <v>KTG0206</v>
      </c>
      <c r="N971" t="s">
        <v>1234</v>
      </c>
      <c r="O971">
        <v>2</v>
      </c>
      <c r="P971">
        <v>18000</v>
      </c>
      <c r="Q971">
        <v>10</v>
      </c>
      <c r="R971">
        <v>1.8</v>
      </c>
      <c r="S971" t="str">
        <f>_xlfn.XLOOKUP(Table1[[#This Row],[method]],Table7[method],Table7[id_method])</f>
        <v>PAY0712</v>
      </c>
      <c r="T971" t="s">
        <v>1239</v>
      </c>
      <c r="U971">
        <v>32400</v>
      </c>
    </row>
    <row r="972" spans="1:21" x14ac:dyDescent="0.25">
      <c r="A972" t="s">
        <v>984</v>
      </c>
      <c r="B972" t="str">
        <f>_xlfn.XLOOKUP(Table1[[#This Row],[date]],Table8[date],Table8[id_date])</f>
        <v>TGL1025</v>
      </c>
      <c r="C972" s="1">
        <v>45991</v>
      </c>
      <c r="D972" s="1" t="str">
        <f>_xlfn.XLOOKUP(Table1[[#This Row],[customer_name]],Table11[customer_name],Table11[id_cust])</f>
        <v>CNA0319</v>
      </c>
      <c r="E972" t="s">
        <v>1158</v>
      </c>
      <c r="F972">
        <v>31</v>
      </c>
      <c r="G972" t="str">
        <f>_xlfn.XLOOKUP(Table1[[#This Row],[branch_name]],Table3[branch_name],Table3[id_branch])</f>
        <v>BRCH002</v>
      </c>
      <c r="H972" t="s">
        <v>1214</v>
      </c>
      <c r="I972" t="str">
        <f>_xlfn.XLOOKUP(Table1[[#This Row],[city]],Table4[city],Table4[id_city])</f>
        <v>KOA0103</v>
      </c>
      <c r="J972" t="s">
        <v>1219</v>
      </c>
      <c r="K972" t="str">
        <f>_xlfn.XLOOKUP(Table1[[#This Row],[menu_name]],Table5[menu_name],Table5[id_menu])</f>
        <v>MENU003</v>
      </c>
      <c r="L972" t="s">
        <v>1225</v>
      </c>
      <c r="M972" t="str">
        <f>_xlfn.XLOOKUP(Table1[[#This Row],[category]],Table6[category],Table6[id_category])</f>
        <v>KTG0205</v>
      </c>
      <c r="N972" t="s">
        <v>1233</v>
      </c>
      <c r="O972">
        <v>1</v>
      </c>
      <c r="P972">
        <v>22000</v>
      </c>
      <c r="Q972">
        <v>0</v>
      </c>
      <c r="R972">
        <v>3.7</v>
      </c>
      <c r="S972" t="str">
        <f>_xlfn.XLOOKUP(Table1[[#This Row],[method]],Table7[method],Table7[id_method])</f>
        <v>PAY0710</v>
      </c>
      <c r="T972" t="s">
        <v>1237</v>
      </c>
      <c r="U972">
        <v>22000</v>
      </c>
    </row>
    <row r="973" spans="1:21" x14ac:dyDescent="0.25">
      <c r="A973" t="s">
        <v>985</v>
      </c>
      <c r="B973" t="str">
        <f>_xlfn.XLOOKUP(Table1[[#This Row],[date]],Table8[date],Table8[id_date])</f>
        <v>TGL1026</v>
      </c>
      <c r="C973" s="1">
        <v>45992</v>
      </c>
      <c r="D973" s="1" t="str">
        <f>_xlfn.XLOOKUP(Table1[[#This Row],[customer_name]],Table11[customer_name],Table11[id_cust])</f>
        <v>CNA0151</v>
      </c>
      <c r="E973" t="s">
        <v>1060</v>
      </c>
      <c r="F973">
        <v>20</v>
      </c>
      <c r="G973" t="str">
        <f>_xlfn.XLOOKUP(Table1[[#This Row],[branch_name]],Table3[branch_name],Table3[id_branch])</f>
        <v>BRCH002</v>
      </c>
      <c r="H973" t="s">
        <v>1214</v>
      </c>
      <c r="I973" t="str">
        <f>_xlfn.XLOOKUP(Table1[[#This Row],[city]],Table4[city],Table4[id_city])</f>
        <v>KOA0103</v>
      </c>
      <c r="J973" t="s">
        <v>1219</v>
      </c>
      <c r="K973" t="str">
        <f>_xlfn.XLOOKUP(Table1[[#This Row],[menu_name]],Table5[menu_name],Table5[id_menu])</f>
        <v>MENU008</v>
      </c>
      <c r="L973" t="s">
        <v>1230</v>
      </c>
      <c r="M973" t="str">
        <f>_xlfn.XLOOKUP(Table1[[#This Row],[category]],Table6[category],Table6[id_category])</f>
        <v>KTG0205</v>
      </c>
      <c r="N973" t="s">
        <v>1233</v>
      </c>
      <c r="O973">
        <v>3</v>
      </c>
      <c r="P973">
        <v>20000</v>
      </c>
      <c r="Q973">
        <v>0</v>
      </c>
      <c r="R973">
        <v>4.5999999999999996</v>
      </c>
      <c r="S973" t="str">
        <f>_xlfn.XLOOKUP(Table1[[#This Row],[method]],Table7[method],Table7[id_method])</f>
        <v>PAY0711</v>
      </c>
      <c r="T973" t="s">
        <v>1238</v>
      </c>
      <c r="U973">
        <v>60000</v>
      </c>
    </row>
    <row r="974" spans="1:21" x14ac:dyDescent="0.25">
      <c r="A974" t="s">
        <v>986</v>
      </c>
      <c r="B974" t="str">
        <f>_xlfn.XLOOKUP(Table1[[#This Row],[date]],Table8[date],Table8[id_date])</f>
        <v>TGL1027</v>
      </c>
      <c r="C974" s="1">
        <v>45995</v>
      </c>
      <c r="D974" s="1" t="str">
        <f>_xlfn.XLOOKUP(Table1[[#This Row],[customer_name]],Table11[customer_name],Table11[id_cust])</f>
        <v>CNA0126</v>
      </c>
      <c r="E974" t="s">
        <v>1038</v>
      </c>
      <c r="F974">
        <v>30</v>
      </c>
      <c r="G974" t="str">
        <f>_xlfn.XLOOKUP(Table1[[#This Row],[branch_name]],Table3[branch_name],Table3[id_branch])</f>
        <v>BRCH003</v>
      </c>
      <c r="H974" t="s">
        <v>1215</v>
      </c>
      <c r="I974" t="str">
        <f>_xlfn.XLOOKUP(Table1[[#This Row],[city]],Table4[city],Table4[id_city])</f>
        <v>KOA0104</v>
      </c>
      <c r="J974" t="s">
        <v>1220</v>
      </c>
      <c r="K974" t="str">
        <f>_xlfn.XLOOKUP(Table1[[#This Row],[menu_name]],Table5[menu_name],Table5[id_menu])</f>
        <v>MENU009</v>
      </c>
      <c r="L974" t="s">
        <v>1231</v>
      </c>
      <c r="M974" t="str">
        <f>_xlfn.XLOOKUP(Table1[[#This Row],[category]],Table6[category],Table6[id_category])</f>
        <v>KTG0206</v>
      </c>
      <c r="N974" t="s">
        <v>1234</v>
      </c>
      <c r="O974">
        <v>1</v>
      </c>
      <c r="P974">
        <v>18000</v>
      </c>
      <c r="Q974">
        <v>0</v>
      </c>
      <c r="R974">
        <v>4.4000000000000004</v>
      </c>
      <c r="S974" t="str">
        <f>_xlfn.XLOOKUP(Table1[[#This Row],[method]],Table7[method],Table7[id_method])</f>
        <v>PAY0712</v>
      </c>
      <c r="T974" t="s">
        <v>1239</v>
      </c>
      <c r="U974">
        <v>18000</v>
      </c>
    </row>
    <row r="975" spans="1:21" x14ac:dyDescent="0.25">
      <c r="A975" t="s">
        <v>987</v>
      </c>
      <c r="B975" t="str">
        <f>_xlfn.XLOOKUP(Table1[[#This Row],[date]],Table8[date],Table8[id_date])</f>
        <v>TGL1027</v>
      </c>
      <c r="C975" s="1">
        <v>45995</v>
      </c>
      <c r="D975" s="1" t="str">
        <f>_xlfn.XLOOKUP(Table1[[#This Row],[customer_name]],Table11[customer_name],Table11[id_cust])</f>
        <v>CNA0202</v>
      </c>
      <c r="E975" t="s">
        <v>1097</v>
      </c>
      <c r="F975">
        <v>53</v>
      </c>
      <c r="G975" t="str">
        <f>_xlfn.XLOOKUP(Table1[[#This Row],[branch_name]],Table3[branch_name],Table3[id_branch])</f>
        <v>BRCH002</v>
      </c>
      <c r="H975" t="s">
        <v>1214</v>
      </c>
      <c r="I975" t="str">
        <f>_xlfn.XLOOKUP(Table1[[#This Row],[city]],Table4[city],Table4[id_city])</f>
        <v>KOA0103</v>
      </c>
      <c r="J975" t="s">
        <v>1219</v>
      </c>
      <c r="K975" t="str">
        <f>_xlfn.XLOOKUP(Table1[[#This Row],[menu_name]],Table5[menu_name],Table5[id_menu])</f>
        <v>MENU010</v>
      </c>
      <c r="L975" t="s">
        <v>1232</v>
      </c>
      <c r="M975" t="str">
        <f>_xlfn.XLOOKUP(Table1[[#This Row],[category]],Table6[category],Table6[id_category])</f>
        <v>KTG0205</v>
      </c>
      <c r="N975" t="s">
        <v>1233</v>
      </c>
      <c r="O975">
        <v>5</v>
      </c>
      <c r="P975">
        <v>18000</v>
      </c>
      <c r="Q975">
        <v>0</v>
      </c>
      <c r="R975">
        <v>1</v>
      </c>
      <c r="S975" t="str">
        <f>_xlfn.XLOOKUP(Table1[[#This Row],[method]],Table7[method],Table7[id_method])</f>
        <v>PAY0711</v>
      </c>
      <c r="T975" t="s">
        <v>1238</v>
      </c>
      <c r="U975">
        <v>90000</v>
      </c>
    </row>
    <row r="976" spans="1:21" x14ac:dyDescent="0.25">
      <c r="A976" t="s">
        <v>988</v>
      </c>
      <c r="B976" t="str">
        <f>_xlfn.XLOOKUP(Table1[[#This Row],[date]],Table8[date],Table8[id_date])</f>
        <v>TGL1027</v>
      </c>
      <c r="C976" s="1">
        <v>45995</v>
      </c>
      <c r="D976" s="1" t="str">
        <f>_xlfn.XLOOKUP(Table1[[#This Row],[customer_name]],Table11[customer_name],Table11[id_cust])</f>
        <v>CNA0203</v>
      </c>
      <c r="E976" t="s">
        <v>1098</v>
      </c>
      <c r="F976">
        <v>22</v>
      </c>
      <c r="G976" t="str">
        <f>_xlfn.XLOOKUP(Table1[[#This Row],[branch_name]],Table3[branch_name],Table3[id_branch])</f>
        <v>BRCH005</v>
      </c>
      <c r="H976" t="s">
        <v>1217</v>
      </c>
      <c r="I976" t="str">
        <f>_xlfn.XLOOKUP(Table1[[#This Row],[city]],Table4[city],Table4[id_city])</f>
        <v>KOA0106</v>
      </c>
      <c r="J976" t="s">
        <v>1222</v>
      </c>
      <c r="K976" t="str">
        <f>_xlfn.XLOOKUP(Table1[[#This Row],[menu_name]],Table5[menu_name],Table5[id_menu])</f>
        <v>MENU005</v>
      </c>
      <c r="L976" t="s">
        <v>1227</v>
      </c>
      <c r="M976" t="str">
        <f>_xlfn.XLOOKUP(Table1[[#This Row],[category]],Table6[category],Table6[id_category])</f>
        <v>KTG0206</v>
      </c>
      <c r="N976" t="s">
        <v>1234</v>
      </c>
      <c r="O976">
        <v>5</v>
      </c>
      <c r="P976">
        <v>23000</v>
      </c>
      <c r="Q976">
        <v>5</v>
      </c>
      <c r="R976">
        <v>2.2000000000000002</v>
      </c>
      <c r="S976" t="str">
        <f>_xlfn.XLOOKUP(Table1[[#This Row],[method]],Table7[method],Table7[id_method])</f>
        <v>PAY0712</v>
      </c>
      <c r="T976" t="s">
        <v>1239</v>
      </c>
      <c r="U976">
        <v>109250</v>
      </c>
    </row>
    <row r="977" spans="1:21" x14ac:dyDescent="0.25">
      <c r="A977" t="s">
        <v>989</v>
      </c>
      <c r="B977" t="str">
        <f>_xlfn.XLOOKUP(Table1[[#This Row],[date]],Table8[date],Table8[id_date])</f>
        <v>TGL1028</v>
      </c>
      <c r="C977" s="1">
        <v>45997</v>
      </c>
      <c r="D977" s="1" t="str">
        <f>_xlfn.XLOOKUP(Table1[[#This Row],[customer_name]],Table11[customer_name],Table11[id_cust])</f>
        <v>CNA0111</v>
      </c>
      <c r="E977" t="s">
        <v>1024</v>
      </c>
      <c r="F977">
        <v>40</v>
      </c>
      <c r="G977" t="str">
        <f>_xlfn.XLOOKUP(Table1[[#This Row],[branch_name]],Table3[branch_name],Table3[id_branch])</f>
        <v>BRCH002</v>
      </c>
      <c r="H977" t="s">
        <v>1214</v>
      </c>
      <c r="I977" t="str">
        <f>_xlfn.XLOOKUP(Table1[[#This Row],[city]],Table4[city],Table4[id_city])</f>
        <v>KOA0103</v>
      </c>
      <c r="J977" t="s">
        <v>1219</v>
      </c>
      <c r="K977" t="str">
        <f>_xlfn.XLOOKUP(Table1[[#This Row],[menu_name]],Table5[menu_name],Table5[id_menu])</f>
        <v>MENU001</v>
      </c>
      <c r="L977" t="s">
        <v>1223</v>
      </c>
      <c r="M977" t="str">
        <f>_xlfn.XLOOKUP(Table1[[#This Row],[category]],Table6[category],Table6[id_category])</f>
        <v>KTG0205</v>
      </c>
      <c r="N977" t="s">
        <v>1233</v>
      </c>
      <c r="O977">
        <v>2</v>
      </c>
      <c r="P977">
        <v>25000</v>
      </c>
      <c r="Q977">
        <v>10</v>
      </c>
      <c r="R977">
        <v>4</v>
      </c>
      <c r="S977" t="str">
        <f>_xlfn.XLOOKUP(Table1[[#This Row],[method]],Table7[method],Table7[id_method])</f>
        <v>PAY0709</v>
      </c>
      <c r="T977" t="s">
        <v>1236</v>
      </c>
      <c r="U977">
        <v>45000</v>
      </c>
    </row>
    <row r="978" spans="1:21" x14ac:dyDescent="0.25">
      <c r="A978" t="s">
        <v>990</v>
      </c>
      <c r="B978" t="str">
        <f>_xlfn.XLOOKUP(Table1[[#This Row],[date]],Table8[date],Table8[id_date])</f>
        <v>TGL1029</v>
      </c>
      <c r="C978" s="1">
        <v>46000</v>
      </c>
      <c r="D978" s="1" t="str">
        <f>_xlfn.XLOOKUP(Table1[[#This Row],[customer_name]],Table11[customer_name],Table11[id_cust])</f>
        <v>CNA0222</v>
      </c>
      <c r="E978" t="s">
        <v>1109</v>
      </c>
      <c r="F978">
        <v>34</v>
      </c>
      <c r="G978" t="str">
        <f>_xlfn.XLOOKUP(Table1[[#This Row],[branch_name]],Table3[branch_name],Table3[id_branch])</f>
        <v>BRCH004</v>
      </c>
      <c r="H978" t="s">
        <v>1216</v>
      </c>
      <c r="I978" t="str">
        <f>_xlfn.XLOOKUP(Table1[[#This Row],[city]],Table4[city],Table4[id_city])</f>
        <v>KOA0105</v>
      </c>
      <c r="J978" t="s">
        <v>1221</v>
      </c>
      <c r="K978" t="str">
        <f>_xlfn.XLOOKUP(Table1[[#This Row],[menu_name]],Table5[menu_name],Table5[id_menu])</f>
        <v>MENU005</v>
      </c>
      <c r="L978" t="s">
        <v>1227</v>
      </c>
      <c r="M978" t="str">
        <f>_xlfn.XLOOKUP(Table1[[#This Row],[category]],Table6[category],Table6[id_category])</f>
        <v>KTG0206</v>
      </c>
      <c r="N978" t="s">
        <v>1234</v>
      </c>
      <c r="O978">
        <v>2</v>
      </c>
      <c r="P978">
        <v>23000</v>
      </c>
      <c r="Q978">
        <v>0</v>
      </c>
      <c r="R978">
        <v>1</v>
      </c>
      <c r="S978" t="str">
        <f>_xlfn.XLOOKUP(Table1[[#This Row],[method]],Table7[method],Table7[id_method])</f>
        <v>PAY0711</v>
      </c>
      <c r="T978" t="s">
        <v>1238</v>
      </c>
      <c r="U978">
        <v>46000</v>
      </c>
    </row>
    <row r="979" spans="1:21" x14ac:dyDescent="0.25">
      <c r="A979" t="s">
        <v>991</v>
      </c>
      <c r="B979" t="str">
        <f>_xlfn.XLOOKUP(Table1[[#This Row],[date]],Table8[date],Table8[id_date])</f>
        <v>TGL1029</v>
      </c>
      <c r="C979" s="1">
        <v>46000</v>
      </c>
      <c r="D979" s="1" t="str">
        <f>_xlfn.XLOOKUP(Table1[[#This Row],[customer_name]],Table11[customer_name],Table11[id_cust])</f>
        <v>CNA0537</v>
      </c>
      <c r="E979" t="s">
        <v>1189</v>
      </c>
      <c r="F979">
        <v>19</v>
      </c>
      <c r="G979" t="str">
        <f>_xlfn.XLOOKUP(Table1[[#This Row],[branch_name]],Table3[branch_name],Table3[id_branch])</f>
        <v>BRCH002</v>
      </c>
      <c r="H979" t="s">
        <v>1214</v>
      </c>
      <c r="I979" t="str">
        <f>_xlfn.XLOOKUP(Table1[[#This Row],[city]],Table4[city],Table4[id_city])</f>
        <v>KOA0103</v>
      </c>
      <c r="J979" t="s">
        <v>1219</v>
      </c>
      <c r="K979" t="str">
        <f>_xlfn.XLOOKUP(Table1[[#This Row],[menu_name]],Table5[menu_name],Table5[id_menu])</f>
        <v>MENU008</v>
      </c>
      <c r="L979" t="s">
        <v>1230</v>
      </c>
      <c r="M979" t="str">
        <f>_xlfn.XLOOKUP(Table1[[#This Row],[category]],Table6[category],Table6[id_category])</f>
        <v>KTG0205</v>
      </c>
      <c r="N979" t="s">
        <v>1233</v>
      </c>
      <c r="O979">
        <v>5</v>
      </c>
      <c r="P979">
        <v>20000</v>
      </c>
      <c r="Q979">
        <v>0</v>
      </c>
      <c r="R979">
        <v>4.5</v>
      </c>
      <c r="S979" t="str">
        <f>_xlfn.XLOOKUP(Table1[[#This Row],[method]],Table7[method],Table7[id_method])</f>
        <v>PAY0709</v>
      </c>
      <c r="T979" t="s">
        <v>1236</v>
      </c>
      <c r="U979">
        <v>100000</v>
      </c>
    </row>
    <row r="980" spans="1:21" x14ac:dyDescent="0.25">
      <c r="A980" t="s">
        <v>992</v>
      </c>
      <c r="B980" t="str">
        <f>_xlfn.XLOOKUP(Table1[[#This Row],[date]],Table8[date],Table8[id_date])</f>
        <v>TGL1030</v>
      </c>
      <c r="C980" s="1">
        <v>46001</v>
      </c>
      <c r="D980" s="1" t="str">
        <f>_xlfn.XLOOKUP(Table1[[#This Row],[customer_name]],Table11[customer_name],Table11[id_cust])</f>
        <v>CNA0123</v>
      </c>
      <c r="E980" t="s">
        <v>1036</v>
      </c>
      <c r="F980">
        <v>31</v>
      </c>
      <c r="G980" t="str">
        <f>_xlfn.XLOOKUP(Table1[[#This Row],[branch_name]],Table3[branch_name],Table3[id_branch])</f>
        <v>BRCH005</v>
      </c>
      <c r="H980" t="s">
        <v>1217</v>
      </c>
      <c r="I980" t="str">
        <f>_xlfn.XLOOKUP(Table1[[#This Row],[city]],Table4[city],Table4[id_city])</f>
        <v>KOA0106</v>
      </c>
      <c r="J980" t="s">
        <v>1222</v>
      </c>
      <c r="K980" t="str">
        <f>_xlfn.XLOOKUP(Table1[[#This Row],[menu_name]],Table5[menu_name],Table5[id_menu])</f>
        <v>MENU004</v>
      </c>
      <c r="L980" t="s">
        <v>1226</v>
      </c>
      <c r="M980" t="str">
        <f>_xlfn.XLOOKUP(Table1[[#This Row],[category]],Table6[category],Table6[id_category])</f>
        <v>KTG0207</v>
      </c>
      <c r="N980" t="s">
        <v>1235</v>
      </c>
      <c r="O980">
        <v>5</v>
      </c>
      <c r="P980">
        <v>28000</v>
      </c>
      <c r="Q980">
        <v>0</v>
      </c>
      <c r="R980">
        <v>3.8</v>
      </c>
      <c r="S980" t="str">
        <f>_xlfn.XLOOKUP(Table1[[#This Row],[method]],Table7[method],Table7[id_method])</f>
        <v>PAY0712</v>
      </c>
      <c r="T980" t="s">
        <v>1239</v>
      </c>
      <c r="U980">
        <v>140000</v>
      </c>
    </row>
    <row r="981" spans="1:21" x14ac:dyDescent="0.25">
      <c r="A981" t="s">
        <v>993</v>
      </c>
      <c r="B981" t="str">
        <f>_xlfn.XLOOKUP(Table1[[#This Row],[date]],Table8[date],Table8[id_date])</f>
        <v>TGL1030</v>
      </c>
      <c r="C981" s="1">
        <v>46001</v>
      </c>
      <c r="D981" s="1" t="str">
        <f>_xlfn.XLOOKUP(Table1[[#This Row],[customer_name]],Table11[customer_name],Table11[id_cust])</f>
        <v>CNA0172</v>
      </c>
      <c r="E981" t="s">
        <v>1077</v>
      </c>
      <c r="F981">
        <v>51</v>
      </c>
      <c r="G981" t="str">
        <f>_xlfn.XLOOKUP(Table1[[#This Row],[branch_name]],Table3[branch_name],Table3[id_branch])</f>
        <v>BRCH005</v>
      </c>
      <c r="H981" t="s">
        <v>1217</v>
      </c>
      <c r="I981" t="str">
        <f>_xlfn.XLOOKUP(Table1[[#This Row],[city]],Table4[city],Table4[id_city])</f>
        <v>KOA0106</v>
      </c>
      <c r="J981" t="s">
        <v>1222</v>
      </c>
      <c r="K981" t="str">
        <f>_xlfn.XLOOKUP(Table1[[#This Row],[menu_name]],Table5[menu_name],Table5[id_menu])</f>
        <v>MENU001</v>
      </c>
      <c r="L981" t="s">
        <v>1223</v>
      </c>
      <c r="M981" t="str">
        <f>_xlfn.XLOOKUP(Table1[[#This Row],[category]],Table6[category],Table6[id_category])</f>
        <v>KTG0205</v>
      </c>
      <c r="N981" t="s">
        <v>1233</v>
      </c>
      <c r="O981">
        <v>3</v>
      </c>
      <c r="P981">
        <v>25000</v>
      </c>
      <c r="Q981">
        <v>0</v>
      </c>
      <c r="R981">
        <v>3.7</v>
      </c>
      <c r="S981" t="str">
        <f>_xlfn.XLOOKUP(Table1[[#This Row],[method]],Table7[method],Table7[id_method])</f>
        <v>PAY0711</v>
      </c>
      <c r="T981" t="s">
        <v>1238</v>
      </c>
      <c r="U981">
        <v>75000</v>
      </c>
    </row>
    <row r="982" spans="1:21" x14ac:dyDescent="0.25">
      <c r="A982" t="s">
        <v>994</v>
      </c>
      <c r="B982" t="str">
        <f>_xlfn.XLOOKUP(Table1[[#This Row],[date]],Table8[date],Table8[id_date])</f>
        <v>TGL1031</v>
      </c>
      <c r="C982" s="1">
        <v>46003</v>
      </c>
      <c r="D982" s="1" t="str">
        <f>_xlfn.XLOOKUP(Table1[[#This Row],[customer_name]],Table11[customer_name],Table11[id_cust])</f>
        <v>CNA0164</v>
      </c>
      <c r="E982" t="s">
        <v>1069</v>
      </c>
      <c r="F982">
        <v>48</v>
      </c>
      <c r="G982" t="str">
        <f>_xlfn.XLOOKUP(Table1[[#This Row],[branch_name]],Table3[branch_name],Table3[id_branch])</f>
        <v>BRCH002</v>
      </c>
      <c r="H982" t="s">
        <v>1214</v>
      </c>
      <c r="I982" t="str">
        <f>_xlfn.XLOOKUP(Table1[[#This Row],[city]],Table4[city],Table4[id_city])</f>
        <v>KOA0103</v>
      </c>
      <c r="J982" t="s">
        <v>1219</v>
      </c>
      <c r="K982" t="str">
        <f>_xlfn.XLOOKUP(Table1[[#This Row],[menu_name]],Table5[menu_name],Table5[id_menu])</f>
        <v>MENU005</v>
      </c>
      <c r="L982" t="s">
        <v>1227</v>
      </c>
      <c r="M982" t="str">
        <f>_xlfn.XLOOKUP(Table1[[#This Row],[category]],Table6[category],Table6[id_category])</f>
        <v>KTG0206</v>
      </c>
      <c r="N982" t="s">
        <v>1234</v>
      </c>
      <c r="O982">
        <v>2</v>
      </c>
      <c r="P982">
        <v>23000</v>
      </c>
      <c r="Q982">
        <v>0</v>
      </c>
      <c r="R982">
        <v>2.2000000000000002</v>
      </c>
      <c r="S982" t="str">
        <f>_xlfn.XLOOKUP(Table1[[#This Row],[method]],Table7[method],Table7[id_method])</f>
        <v>PAY0712</v>
      </c>
      <c r="T982" t="s">
        <v>1239</v>
      </c>
      <c r="U982">
        <v>46000</v>
      </c>
    </row>
    <row r="983" spans="1:21" x14ac:dyDescent="0.25">
      <c r="A983" t="s">
        <v>995</v>
      </c>
      <c r="B983" t="str">
        <f>_xlfn.XLOOKUP(Table1[[#This Row],[date]],Table8[date],Table8[id_date])</f>
        <v>TGL1032</v>
      </c>
      <c r="C983" s="1">
        <v>46005</v>
      </c>
      <c r="D983" s="1" t="str">
        <f>_xlfn.XLOOKUP(Table1[[#This Row],[customer_name]],Table11[customer_name],Table11[id_cust])</f>
        <v>CNA0507</v>
      </c>
      <c r="E983" t="s">
        <v>1185</v>
      </c>
      <c r="F983">
        <v>24</v>
      </c>
      <c r="G983" t="str">
        <f>_xlfn.XLOOKUP(Table1[[#This Row],[branch_name]],Table3[branch_name],Table3[id_branch])</f>
        <v>BRCH001</v>
      </c>
      <c r="H983" t="s">
        <v>1213</v>
      </c>
      <c r="I983" t="str">
        <f>_xlfn.XLOOKUP(Table1[[#This Row],[city]],Table4[city],Table4[id_city])</f>
        <v>KOA0102</v>
      </c>
      <c r="J983" t="s">
        <v>1218</v>
      </c>
      <c r="K983" t="str">
        <f>_xlfn.XLOOKUP(Table1[[#This Row],[menu_name]],Table5[menu_name],Table5[id_menu])</f>
        <v>MENU006</v>
      </c>
      <c r="L983" t="s">
        <v>1228</v>
      </c>
      <c r="M983" t="str">
        <f>_xlfn.XLOOKUP(Table1[[#This Row],[category]],Table6[category],Table6[id_category])</f>
        <v>KTG0206</v>
      </c>
      <c r="N983" t="s">
        <v>1234</v>
      </c>
      <c r="O983">
        <v>4</v>
      </c>
      <c r="P983">
        <v>32000</v>
      </c>
      <c r="Q983">
        <v>0</v>
      </c>
      <c r="R983">
        <v>4.5</v>
      </c>
      <c r="S983" t="str">
        <f>_xlfn.XLOOKUP(Table1[[#This Row],[method]],Table7[method],Table7[id_method])</f>
        <v>PAY0709</v>
      </c>
      <c r="T983" t="s">
        <v>1236</v>
      </c>
      <c r="U983">
        <v>128000</v>
      </c>
    </row>
    <row r="984" spans="1:21" x14ac:dyDescent="0.25">
      <c r="A984" t="s">
        <v>996</v>
      </c>
      <c r="B984" t="str">
        <f>_xlfn.XLOOKUP(Table1[[#This Row],[date]],Table8[date],Table8[id_date])</f>
        <v>TGL1032</v>
      </c>
      <c r="C984" s="1">
        <v>46005</v>
      </c>
      <c r="D984" s="1" t="str">
        <f>_xlfn.XLOOKUP(Table1[[#This Row],[customer_name]],Table11[customer_name],Table11[id_cust])</f>
        <v>CNA0240</v>
      </c>
      <c r="E984" t="s">
        <v>1122</v>
      </c>
      <c r="F984">
        <v>47</v>
      </c>
      <c r="G984" t="str">
        <f>_xlfn.XLOOKUP(Table1[[#This Row],[branch_name]],Table3[branch_name],Table3[id_branch])</f>
        <v>BRCH002</v>
      </c>
      <c r="H984" t="s">
        <v>1214</v>
      </c>
      <c r="I984" t="str">
        <f>_xlfn.XLOOKUP(Table1[[#This Row],[city]],Table4[city],Table4[id_city])</f>
        <v>KOA0103</v>
      </c>
      <c r="J984" t="s">
        <v>1219</v>
      </c>
      <c r="K984" t="str">
        <f>_xlfn.XLOOKUP(Table1[[#This Row],[menu_name]],Table5[menu_name],Table5[id_menu])</f>
        <v>MENU002</v>
      </c>
      <c r="L984" t="s">
        <v>1224</v>
      </c>
      <c r="M984" t="str">
        <f>_xlfn.XLOOKUP(Table1[[#This Row],[category]],Table6[category],Table6[id_category])</f>
        <v>KTG0206</v>
      </c>
      <c r="N984" t="s">
        <v>1234</v>
      </c>
      <c r="O984">
        <v>5</v>
      </c>
      <c r="P984">
        <v>30000</v>
      </c>
      <c r="Q984">
        <v>5</v>
      </c>
      <c r="R984">
        <v>1.9</v>
      </c>
      <c r="S984" t="str">
        <f>_xlfn.XLOOKUP(Table1[[#This Row],[method]],Table7[method],Table7[id_method])</f>
        <v>PAY0710</v>
      </c>
      <c r="T984" t="s">
        <v>1237</v>
      </c>
      <c r="U984">
        <v>142500</v>
      </c>
    </row>
    <row r="985" spans="1:21" x14ac:dyDescent="0.25">
      <c r="A985" t="s">
        <v>997</v>
      </c>
      <c r="B985" t="str">
        <f>_xlfn.XLOOKUP(Table1[[#This Row],[date]],Table8[date],Table8[id_date])</f>
        <v>TGL1032</v>
      </c>
      <c r="C985" s="1">
        <v>46005</v>
      </c>
      <c r="D985" s="1" t="str">
        <f>_xlfn.XLOOKUP(Table1[[#This Row],[customer_name]],Table11[customer_name],Table11[id_cust])</f>
        <v>CNA0277</v>
      </c>
      <c r="E985" t="s">
        <v>1138</v>
      </c>
      <c r="F985">
        <v>52</v>
      </c>
      <c r="G985" t="str">
        <f>_xlfn.XLOOKUP(Table1[[#This Row],[branch_name]],Table3[branch_name],Table3[id_branch])</f>
        <v>BRCH004</v>
      </c>
      <c r="H985" t="s">
        <v>1216</v>
      </c>
      <c r="I985" t="str">
        <f>_xlfn.XLOOKUP(Table1[[#This Row],[city]],Table4[city],Table4[id_city])</f>
        <v>KOA0105</v>
      </c>
      <c r="J985" t="s">
        <v>1221</v>
      </c>
      <c r="K985" t="str">
        <f>_xlfn.XLOOKUP(Table1[[#This Row],[menu_name]],Table5[menu_name],Table5[id_menu])</f>
        <v>MENU004</v>
      </c>
      <c r="L985" t="s">
        <v>1226</v>
      </c>
      <c r="M985" t="str">
        <f>_xlfn.XLOOKUP(Table1[[#This Row],[category]],Table6[category],Table6[id_category])</f>
        <v>KTG0207</v>
      </c>
      <c r="N985" t="s">
        <v>1235</v>
      </c>
      <c r="O985">
        <v>2</v>
      </c>
      <c r="P985">
        <v>28000</v>
      </c>
      <c r="Q985">
        <v>0</v>
      </c>
      <c r="R985">
        <v>2.1</v>
      </c>
      <c r="S985" t="str">
        <f>_xlfn.XLOOKUP(Table1[[#This Row],[method]],Table7[method],Table7[id_method])</f>
        <v>PAY0709</v>
      </c>
      <c r="T985" t="s">
        <v>1236</v>
      </c>
      <c r="U985">
        <v>56000</v>
      </c>
    </row>
    <row r="986" spans="1:21" x14ac:dyDescent="0.25">
      <c r="A986" t="s">
        <v>998</v>
      </c>
      <c r="B986" t="str">
        <f>_xlfn.XLOOKUP(Table1[[#This Row],[date]],Table8[date],Table8[id_date])</f>
        <v>TGL1033</v>
      </c>
      <c r="C986" s="1">
        <v>46006</v>
      </c>
      <c r="D986" s="1" t="str">
        <f>_xlfn.XLOOKUP(Table1[[#This Row],[customer_name]],Table11[customer_name],Table11[id_cust])</f>
        <v>CNA0212</v>
      </c>
      <c r="E986" t="s">
        <v>1104</v>
      </c>
      <c r="F986">
        <v>39</v>
      </c>
      <c r="G986" t="str">
        <f>_xlfn.XLOOKUP(Table1[[#This Row],[branch_name]],Table3[branch_name],Table3[id_branch])</f>
        <v>BRCH001</v>
      </c>
      <c r="H986" t="s">
        <v>1213</v>
      </c>
      <c r="I986" t="str">
        <f>_xlfn.XLOOKUP(Table1[[#This Row],[city]],Table4[city],Table4[id_city])</f>
        <v>KOA0102</v>
      </c>
      <c r="J986" t="s">
        <v>1218</v>
      </c>
      <c r="K986" t="str">
        <f>_xlfn.XLOOKUP(Table1[[#This Row],[menu_name]],Table5[menu_name],Table5[id_menu])</f>
        <v>MENU009</v>
      </c>
      <c r="L986" t="s">
        <v>1231</v>
      </c>
      <c r="M986" t="str">
        <f>_xlfn.XLOOKUP(Table1[[#This Row],[category]],Table6[category],Table6[id_category])</f>
        <v>KTG0206</v>
      </c>
      <c r="N986" t="s">
        <v>1234</v>
      </c>
      <c r="O986">
        <v>5</v>
      </c>
      <c r="P986">
        <v>18000</v>
      </c>
      <c r="Q986">
        <v>10</v>
      </c>
      <c r="R986">
        <v>1.9</v>
      </c>
      <c r="S986" t="str">
        <f>_xlfn.XLOOKUP(Table1[[#This Row],[method]],Table7[method],Table7[id_method])</f>
        <v>PAY0712</v>
      </c>
      <c r="T986" t="s">
        <v>1239</v>
      </c>
      <c r="U986">
        <v>81000</v>
      </c>
    </row>
    <row r="987" spans="1:21" x14ac:dyDescent="0.25">
      <c r="A987" t="s">
        <v>999</v>
      </c>
      <c r="B987" t="str">
        <f>_xlfn.XLOOKUP(Table1[[#This Row],[date]],Table8[date],Table8[id_date])</f>
        <v>TGL1034</v>
      </c>
      <c r="C987" s="1">
        <v>46008</v>
      </c>
      <c r="D987" s="1" t="str">
        <f>_xlfn.XLOOKUP(Table1[[#This Row],[customer_name]],Table11[customer_name],Table11[id_cust])</f>
        <v>CNA0290</v>
      </c>
      <c r="E987" t="s">
        <v>1144</v>
      </c>
      <c r="F987">
        <v>30</v>
      </c>
      <c r="G987" t="str">
        <f>_xlfn.XLOOKUP(Table1[[#This Row],[branch_name]],Table3[branch_name],Table3[id_branch])</f>
        <v>BRCH004</v>
      </c>
      <c r="H987" t="s">
        <v>1216</v>
      </c>
      <c r="I987" t="str">
        <f>_xlfn.XLOOKUP(Table1[[#This Row],[city]],Table4[city],Table4[id_city])</f>
        <v>KOA0105</v>
      </c>
      <c r="J987" t="s">
        <v>1221</v>
      </c>
      <c r="K987" t="str">
        <f>_xlfn.XLOOKUP(Table1[[#This Row],[menu_name]],Table5[menu_name],Table5[id_menu])</f>
        <v>MENU009</v>
      </c>
      <c r="L987" t="s">
        <v>1231</v>
      </c>
      <c r="M987" t="str">
        <f>_xlfn.XLOOKUP(Table1[[#This Row],[category]],Table6[category],Table6[id_category])</f>
        <v>KTG0206</v>
      </c>
      <c r="N987" t="s">
        <v>1234</v>
      </c>
      <c r="O987">
        <v>2</v>
      </c>
      <c r="P987">
        <v>18000</v>
      </c>
      <c r="Q987">
        <v>10</v>
      </c>
      <c r="R987">
        <v>4.0999999999999996</v>
      </c>
      <c r="S987" t="str">
        <f>_xlfn.XLOOKUP(Table1[[#This Row],[method]],Table7[method],Table7[id_method])</f>
        <v>PAY0711</v>
      </c>
      <c r="T987" t="s">
        <v>1238</v>
      </c>
      <c r="U987">
        <v>32400</v>
      </c>
    </row>
    <row r="988" spans="1:21" x14ac:dyDescent="0.25">
      <c r="A988" t="s">
        <v>1000</v>
      </c>
      <c r="B988" t="str">
        <f>_xlfn.XLOOKUP(Table1[[#This Row],[date]],Table8[date],Table8[id_date])</f>
        <v>TGL1035</v>
      </c>
      <c r="C988" s="1">
        <v>46009</v>
      </c>
      <c r="D988" s="1" t="str">
        <f>_xlfn.XLOOKUP(Table1[[#This Row],[customer_name]],Table11[customer_name],Table11[id_cust])</f>
        <v>CNA0199</v>
      </c>
      <c r="E988" t="s">
        <v>1094</v>
      </c>
      <c r="F988">
        <v>24</v>
      </c>
      <c r="G988" t="str">
        <f>_xlfn.XLOOKUP(Table1[[#This Row],[branch_name]],Table3[branch_name],Table3[id_branch])</f>
        <v>BRCH001</v>
      </c>
      <c r="H988" t="s">
        <v>1213</v>
      </c>
      <c r="I988" t="str">
        <f>_xlfn.XLOOKUP(Table1[[#This Row],[city]],Table4[city],Table4[id_city])</f>
        <v>KOA0102</v>
      </c>
      <c r="J988" t="s">
        <v>1218</v>
      </c>
      <c r="K988" t="str">
        <f>_xlfn.XLOOKUP(Table1[[#This Row],[menu_name]],Table5[menu_name],Table5[id_menu])</f>
        <v>MENU009</v>
      </c>
      <c r="L988" t="s">
        <v>1231</v>
      </c>
      <c r="M988" t="str">
        <f>_xlfn.XLOOKUP(Table1[[#This Row],[category]],Table6[category],Table6[id_category])</f>
        <v>KTG0206</v>
      </c>
      <c r="N988" t="s">
        <v>1234</v>
      </c>
      <c r="O988">
        <v>1</v>
      </c>
      <c r="P988">
        <v>18000</v>
      </c>
      <c r="Q988">
        <v>20</v>
      </c>
      <c r="R988">
        <v>2</v>
      </c>
      <c r="S988" t="str">
        <f>_xlfn.XLOOKUP(Table1[[#This Row],[method]],Table7[method],Table7[id_method])</f>
        <v>PAY0710</v>
      </c>
      <c r="T988" t="s">
        <v>1237</v>
      </c>
      <c r="U988">
        <v>14400</v>
      </c>
    </row>
    <row r="989" spans="1:21" x14ac:dyDescent="0.25">
      <c r="A989" t="s">
        <v>1001</v>
      </c>
      <c r="B989" t="str">
        <f>_xlfn.XLOOKUP(Table1[[#This Row],[date]],Table8[date],Table8[id_date])</f>
        <v>TGL1036</v>
      </c>
      <c r="C989" s="1">
        <v>46010</v>
      </c>
      <c r="D989" s="1" t="str">
        <f>_xlfn.XLOOKUP(Table1[[#This Row],[customer_name]],Table11[customer_name],Table11[id_cust])</f>
        <v>CNA0374</v>
      </c>
      <c r="E989" t="s">
        <v>1167</v>
      </c>
      <c r="F989">
        <v>24</v>
      </c>
      <c r="G989" t="str">
        <f>_xlfn.XLOOKUP(Table1[[#This Row],[branch_name]],Table3[branch_name],Table3[id_branch])</f>
        <v>BRCH004</v>
      </c>
      <c r="H989" t="s">
        <v>1216</v>
      </c>
      <c r="I989" t="str">
        <f>_xlfn.XLOOKUP(Table1[[#This Row],[city]],Table4[city],Table4[id_city])</f>
        <v>KOA0105</v>
      </c>
      <c r="J989" t="s">
        <v>1221</v>
      </c>
      <c r="K989" t="str">
        <f>_xlfn.XLOOKUP(Table1[[#This Row],[menu_name]],Table5[menu_name],Table5[id_menu])</f>
        <v>MENU001</v>
      </c>
      <c r="L989" t="s">
        <v>1223</v>
      </c>
      <c r="M989" t="str">
        <f>_xlfn.XLOOKUP(Table1[[#This Row],[category]],Table6[category],Table6[id_category])</f>
        <v>KTG0205</v>
      </c>
      <c r="N989" t="s">
        <v>1233</v>
      </c>
      <c r="O989">
        <v>3</v>
      </c>
      <c r="P989">
        <v>25000</v>
      </c>
      <c r="Q989">
        <v>0</v>
      </c>
      <c r="R989">
        <v>1.3</v>
      </c>
      <c r="S989" t="str">
        <f>_xlfn.XLOOKUP(Table1[[#This Row],[method]],Table7[method],Table7[id_method])</f>
        <v>PAY0710</v>
      </c>
      <c r="T989" t="s">
        <v>1237</v>
      </c>
      <c r="U989">
        <v>75000</v>
      </c>
    </row>
    <row r="990" spans="1:21" x14ac:dyDescent="0.25">
      <c r="A990" t="s">
        <v>1002</v>
      </c>
      <c r="B990" t="str">
        <f>_xlfn.XLOOKUP(Table1[[#This Row],[date]],Table8[date],Table8[id_date])</f>
        <v>TGL1037</v>
      </c>
      <c r="C990" s="1">
        <v>46011</v>
      </c>
      <c r="D990" s="1" t="str">
        <f>_xlfn.XLOOKUP(Table1[[#This Row],[customer_name]],Table11[customer_name],Table11[id_cust])</f>
        <v>CNA0169</v>
      </c>
      <c r="E990" t="s">
        <v>1074</v>
      </c>
      <c r="F990">
        <v>53</v>
      </c>
      <c r="G990" t="str">
        <f>_xlfn.XLOOKUP(Table1[[#This Row],[branch_name]],Table3[branch_name],Table3[id_branch])</f>
        <v>BRCH001</v>
      </c>
      <c r="H990" t="s">
        <v>1213</v>
      </c>
      <c r="I990" t="str">
        <f>_xlfn.XLOOKUP(Table1[[#This Row],[city]],Table4[city],Table4[id_city])</f>
        <v>KOA0102</v>
      </c>
      <c r="J990" t="s">
        <v>1218</v>
      </c>
      <c r="K990" t="str">
        <f>_xlfn.XLOOKUP(Table1[[#This Row],[menu_name]],Table5[menu_name],Table5[id_menu])</f>
        <v>MENU010</v>
      </c>
      <c r="L990" t="s">
        <v>1232</v>
      </c>
      <c r="M990" t="str">
        <f>_xlfn.XLOOKUP(Table1[[#This Row],[category]],Table6[category],Table6[id_category])</f>
        <v>KTG0205</v>
      </c>
      <c r="N990" t="s">
        <v>1233</v>
      </c>
      <c r="O990">
        <v>4</v>
      </c>
      <c r="P990">
        <v>18000</v>
      </c>
      <c r="Q990">
        <v>5</v>
      </c>
      <c r="R990">
        <v>3.8</v>
      </c>
      <c r="S990" t="str">
        <f>_xlfn.XLOOKUP(Table1[[#This Row],[method]],Table7[method],Table7[id_method])</f>
        <v>PAY0711</v>
      </c>
      <c r="T990" t="s">
        <v>1238</v>
      </c>
      <c r="U990">
        <v>68400</v>
      </c>
    </row>
    <row r="991" spans="1:21" x14ac:dyDescent="0.25">
      <c r="A991" t="s">
        <v>1003</v>
      </c>
      <c r="B991" t="str">
        <f>_xlfn.XLOOKUP(Table1[[#This Row],[date]],Table8[date],Table8[id_date])</f>
        <v>TGL1038</v>
      </c>
      <c r="C991" s="1">
        <v>46014</v>
      </c>
      <c r="D991" s="1" t="str">
        <f>_xlfn.XLOOKUP(Table1[[#This Row],[customer_name]],Table11[customer_name],Table11[id_cust])</f>
        <v>CNA0188</v>
      </c>
      <c r="E991" t="s">
        <v>1090</v>
      </c>
      <c r="F991">
        <v>19</v>
      </c>
      <c r="G991" t="str">
        <f>_xlfn.XLOOKUP(Table1[[#This Row],[branch_name]],Table3[branch_name],Table3[id_branch])</f>
        <v>BRCH001</v>
      </c>
      <c r="H991" t="s">
        <v>1213</v>
      </c>
      <c r="I991" t="str">
        <f>_xlfn.XLOOKUP(Table1[[#This Row],[city]],Table4[city],Table4[id_city])</f>
        <v>KOA0102</v>
      </c>
      <c r="J991" t="s">
        <v>1218</v>
      </c>
      <c r="K991" t="str">
        <f>_xlfn.XLOOKUP(Table1[[#This Row],[menu_name]],Table5[menu_name],Table5[id_menu])</f>
        <v>MENU009</v>
      </c>
      <c r="L991" t="s">
        <v>1231</v>
      </c>
      <c r="M991" t="str">
        <f>_xlfn.XLOOKUP(Table1[[#This Row],[category]],Table6[category],Table6[id_category])</f>
        <v>KTG0206</v>
      </c>
      <c r="N991" t="s">
        <v>1234</v>
      </c>
      <c r="O991">
        <v>5</v>
      </c>
      <c r="P991">
        <v>18000</v>
      </c>
      <c r="Q991">
        <v>0</v>
      </c>
      <c r="R991">
        <v>1.2</v>
      </c>
      <c r="S991" t="str">
        <f>_xlfn.XLOOKUP(Table1[[#This Row],[method]],Table7[method],Table7[id_method])</f>
        <v>PAY0711</v>
      </c>
      <c r="T991" t="s">
        <v>1238</v>
      </c>
      <c r="U991">
        <v>90000</v>
      </c>
    </row>
    <row r="992" spans="1:21" x14ac:dyDescent="0.25">
      <c r="A992" t="s">
        <v>1004</v>
      </c>
      <c r="B992" t="str">
        <f>_xlfn.XLOOKUP(Table1[[#This Row],[date]],Table8[date],Table8[id_date])</f>
        <v>TGL1039</v>
      </c>
      <c r="C992" s="1">
        <v>46015</v>
      </c>
      <c r="D992" s="1" t="str">
        <f>_xlfn.XLOOKUP(Table1[[#This Row],[customer_name]],Table11[customer_name],Table11[id_cust])</f>
        <v>CNA0297</v>
      </c>
      <c r="E992" t="s">
        <v>1148</v>
      </c>
      <c r="F992">
        <v>28</v>
      </c>
      <c r="G992" t="str">
        <f>_xlfn.XLOOKUP(Table1[[#This Row],[branch_name]],Table3[branch_name],Table3[id_branch])</f>
        <v>BRCH005</v>
      </c>
      <c r="H992" t="s">
        <v>1217</v>
      </c>
      <c r="I992" t="str">
        <f>_xlfn.XLOOKUP(Table1[[#This Row],[city]],Table4[city],Table4[id_city])</f>
        <v>KOA0106</v>
      </c>
      <c r="J992" t="s">
        <v>1222</v>
      </c>
      <c r="K992" t="str">
        <f>_xlfn.XLOOKUP(Table1[[#This Row],[menu_name]],Table5[menu_name],Table5[id_menu])</f>
        <v>MENU008</v>
      </c>
      <c r="L992" t="s">
        <v>1230</v>
      </c>
      <c r="M992" t="str">
        <f>_xlfn.XLOOKUP(Table1[[#This Row],[category]],Table6[category],Table6[id_category])</f>
        <v>KTG0205</v>
      </c>
      <c r="N992" t="s">
        <v>1233</v>
      </c>
      <c r="O992">
        <v>2</v>
      </c>
      <c r="P992">
        <v>20000</v>
      </c>
      <c r="Q992">
        <v>5</v>
      </c>
      <c r="R992">
        <v>2</v>
      </c>
      <c r="S992" t="str">
        <f>_xlfn.XLOOKUP(Table1[[#This Row],[method]],Table7[method],Table7[id_method])</f>
        <v>PAY0711</v>
      </c>
      <c r="T992" t="s">
        <v>1238</v>
      </c>
      <c r="U992">
        <v>38000</v>
      </c>
    </row>
    <row r="993" spans="1:21" x14ac:dyDescent="0.25">
      <c r="A993" t="s">
        <v>1005</v>
      </c>
      <c r="B993" t="str">
        <f>_xlfn.XLOOKUP(Table1[[#This Row],[date]],Table8[date],Table8[id_date])</f>
        <v>TGL1039</v>
      </c>
      <c r="C993" s="1">
        <v>46015</v>
      </c>
      <c r="D993" s="1" t="str">
        <f>_xlfn.XLOOKUP(Table1[[#This Row],[customer_name]],Table11[customer_name],Table11[id_cust])</f>
        <v>CNA0646</v>
      </c>
      <c r="E993" t="s">
        <v>1195</v>
      </c>
      <c r="F993">
        <v>27</v>
      </c>
      <c r="G993" t="str">
        <f>_xlfn.XLOOKUP(Table1[[#This Row],[branch_name]],Table3[branch_name],Table3[id_branch])</f>
        <v>BRCH005</v>
      </c>
      <c r="H993" t="s">
        <v>1217</v>
      </c>
      <c r="I993" t="str">
        <f>_xlfn.XLOOKUP(Table1[[#This Row],[city]],Table4[city],Table4[id_city])</f>
        <v>KOA0106</v>
      </c>
      <c r="J993" t="s">
        <v>1222</v>
      </c>
      <c r="K993" t="str">
        <f>_xlfn.XLOOKUP(Table1[[#This Row],[menu_name]],Table5[menu_name],Table5[id_menu])</f>
        <v>MENU008</v>
      </c>
      <c r="L993" t="s">
        <v>1230</v>
      </c>
      <c r="M993" t="str">
        <f>_xlfn.XLOOKUP(Table1[[#This Row],[category]],Table6[category],Table6[id_category])</f>
        <v>KTG0205</v>
      </c>
      <c r="N993" t="s">
        <v>1233</v>
      </c>
      <c r="O993">
        <v>4</v>
      </c>
      <c r="P993">
        <v>20000</v>
      </c>
      <c r="Q993">
        <v>0</v>
      </c>
      <c r="R993">
        <v>3.1</v>
      </c>
      <c r="S993" t="str">
        <f>_xlfn.XLOOKUP(Table1[[#This Row],[method]],Table7[method],Table7[id_method])</f>
        <v>PAY0709</v>
      </c>
      <c r="T993" t="s">
        <v>1236</v>
      </c>
      <c r="U993">
        <v>80000</v>
      </c>
    </row>
    <row r="994" spans="1:21" x14ac:dyDescent="0.25">
      <c r="A994" t="s">
        <v>1006</v>
      </c>
      <c r="B994" t="str">
        <f>_xlfn.XLOOKUP(Table1[[#This Row],[date]],Table8[date],Table8[id_date])</f>
        <v>TGL1040</v>
      </c>
      <c r="C994" s="1">
        <v>46016</v>
      </c>
      <c r="D994" s="1" t="str">
        <f>_xlfn.XLOOKUP(Table1[[#This Row],[customer_name]],Table11[customer_name],Table11[id_cust])</f>
        <v>CNA0291</v>
      </c>
      <c r="E994" t="s">
        <v>1145</v>
      </c>
      <c r="F994">
        <v>39</v>
      </c>
      <c r="G994" t="str">
        <f>_xlfn.XLOOKUP(Table1[[#This Row],[branch_name]],Table3[branch_name],Table3[id_branch])</f>
        <v>BRCH005</v>
      </c>
      <c r="H994" t="s">
        <v>1217</v>
      </c>
      <c r="I994" t="str">
        <f>_xlfn.XLOOKUP(Table1[[#This Row],[city]],Table4[city],Table4[id_city])</f>
        <v>KOA0106</v>
      </c>
      <c r="J994" t="s">
        <v>1222</v>
      </c>
      <c r="K994" t="str">
        <f>_xlfn.XLOOKUP(Table1[[#This Row],[menu_name]],Table5[menu_name],Table5[id_menu])</f>
        <v>MENU002</v>
      </c>
      <c r="L994" t="s">
        <v>1224</v>
      </c>
      <c r="M994" t="str">
        <f>_xlfn.XLOOKUP(Table1[[#This Row],[category]],Table6[category],Table6[id_category])</f>
        <v>KTG0206</v>
      </c>
      <c r="N994" t="s">
        <v>1234</v>
      </c>
      <c r="O994">
        <v>3</v>
      </c>
      <c r="P994">
        <v>30000</v>
      </c>
      <c r="Q994">
        <v>0</v>
      </c>
      <c r="R994">
        <v>1.7</v>
      </c>
      <c r="S994" t="str">
        <f>_xlfn.XLOOKUP(Table1[[#This Row],[method]],Table7[method],Table7[id_method])</f>
        <v>PAY0712</v>
      </c>
      <c r="T994" t="s">
        <v>1239</v>
      </c>
      <c r="U994">
        <v>90000</v>
      </c>
    </row>
    <row r="995" spans="1:21" x14ac:dyDescent="0.25">
      <c r="A995" t="s">
        <v>1007</v>
      </c>
      <c r="B995" t="str">
        <f>_xlfn.XLOOKUP(Table1[[#This Row],[date]],Table8[date],Table8[id_date])</f>
        <v>TGL1041</v>
      </c>
      <c r="C995" s="1">
        <v>46017</v>
      </c>
      <c r="D995" s="1" t="str">
        <f>_xlfn.XLOOKUP(Table1[[#This Row],[customer_name]],Table11[customer_name],Table11[id_cust])</f>
        <v>CNA0228</v>
      </c>
      <c r="E995" t="s">
        <v>1114</v>
      </c>
      <c r="F995">
        <v>40</v>
      </c>
      <c r="G995" t="str">
        <f>_xlfn.XLOOKUP(Table1[[#This Row],[branch_name]],Table3[branch_name],Table3[id_branch])</f>
        <v>BRCH001</v>
      </c>
      <c r="H995" t="s">
        <v>1213</v>
      </c>
      <c r="I995" t="str">
        <f>_xlfn.XLOOKUP(Table1[[#This Row],[city]],Table4[city],Table4[id_city])</f>
        <v>KOA0102</v>
      </c>
      <c r="J995" t="s">
        <v>1218</v>
      </c>
      <c r="K995" t="str">
        <f>_xlfn.XLOOKUP(Table1[[#This Row],[menu_name]],Table5[menu_name],Table5[id_menu])</f>
        <v>MENU008</v>
      </c>
      <c r="L995" t="s">
        <v>1230</v>
      </c>
      <c r="M995" t="str">
        <f>_xlfn.XLOOKUP(Table1[[#This Row],[category]],Table6[category],Table6[id_category])</f>
        <v>KTG0205</v>
      </c>
      <c r="N995" t="s">
        <v>1233</v>
      </c>
      <c r="O995">
        <v>1</v>
      </c>
      <c r="P995">
        <v>20000</v>
      </c>
      <c r="Q995">
        <v>10</v>
      </c>
      <c r="R995">
        <v>2.9</v>
      </c>
      <c r="S995" t="str">
        <f>_xlfn.XLOOKUP(Table1[[#This Row],[method]],Table7[method],Table7[id_method])</f>
        <v>PAY0711</v>
      </c>
      <c r="T995" t="s">
        <v>1238</v>
      </c>
      <c r="U995">
        <v>18000</v>
      </c>
    </row>
    <row r="996" spans="1:21" x14ac:dyDescent="0.25">
      <c r="A996" t="s">
        <v>1008</v>
      </c>
      <c r="B996" t="str">
        <f>_xlfn.XLOOKUP(Table1[[#This Row],[date]],Table8[date],Table8[id_date])</f>
        <v>TGL1041</v>
      </c>
      <c r="C996" s="1">
        <v>46017</v>
      </c>
      <c r="D996" s="1" t="str">
        <f>_xlfn.XLOOKUP(Table1[[#This Row],[customer_name]],Table11[customer_name],Table11[id_cust])</f>
        <v>CNA0127</v>
      </c>
      <c r="E996" t="s">
        <v>1039</v>
      </c>
      <c r="F996">
        <v>48</v>
      </c>
      <c r="G996" t="str">
        <f>_xlfn.XLOOKUP(Table1[[#This Row],[branch_name]],Table3[branch_name],Table3[id_branch])</f>
        <v>BRCH005</v>
      </c>
      <c r="H996" t="s">
        <v>1217</v>
      </c>
      <c r="I996" t="str">
        <f>_xlfn.XLOOKUP(Table1[[#This Row],[city]],Table4[city],Table4[id_city])</f>
        <v>KOA0106</v>
      </c>
      <c r="J996" t="s">
        <v>1222</v>
      </c>
      <c r="K996" t="str">
        <f>_xlfn.XLOOKUP(Table1[[#This Row],[menu_name]],Table5[menu_name],Table5[id_menu])</f>
        <v>MENU005</v>
      </c>
      <c r="L996" t="s">
        <v>1227</v>
      </c>
      <c r="M996" t="str">
        <f>_xlfn.XLOOKUP(Table1[[#This Row],[category]],Table6[category],Table6[id_category])</f>
        <v>KTG0206</v>
      </c>
      <c r="N996" t="s">
        <v>1234</v>
      </c>
      <c r="O996">
        <v>3</v>
      </c>
      <c r="P996">
        <v>23000</v>
      </c>
      <c r="Q996">
        <v>10</v>
      </c>
      <c r="R996">
        <v>2.8</v>
      </c>
      <c r="S996" t="str">
        <f>_xlfn.XLOOKUP(Table1[[#This Row],[method]],Table7[method],Table7[id_method])</f>
        <v>PAY0712</v>
      </c>
      <c r="T996" t="s">
        <v>1239</v>
      </c>
      <c r="U996">
        <v>62100</v>
      </c>
    </row>
    <row r="997" spans="1:21" x14ac:dyDescent="0.25">
      <c r="A997" t="s">
        <v>1009</v>
      </c>
      <c r="B997" t="str">
        <f>_xlfn.XLOOKUP(Table1[[#This Row],[date]],Table8[date],Table8[id_date])</f>
        <v>TGL1042</v>
      </c>
      <c r="C997" s="1">
        <v>46018</v>
      </c>
      <c r="D997" s="1" t="str">
        <f>_xlfn.XLOOKUP(Table1[[#This Row],[customer_name]],Table11[customer_name],Table11[id_cust])</f>
        <v>CNA0110</v>
      </c>
      <c r="E997" t="s">
        <v>1023</v>
      </c>
      <c r="F997">
        <v>39</v>
      </c>
      <c r="G997" t="str">
        <f>_xlfn.XLOOKUP(Table1[[#This Row],[branch_name]],Table3[branch_name],Table3[id_branch])</f>
        <v>BRCH002</v>
      </c>
      <c r="H997" t="s">
        <v>1214</v>
      </c>
      <c r="I997" t="str">
        <f>_xlfn.XLOOKUP(Table1[[#This Row],[city]],Table4[city],Table4[id_city])</f>
        <v>KOA0103</v>
      </c>
      <c r="J997" t="s">
        <v>1219</v>
      </c>
      <c r="K997" t="str">
        <f>_xlfn.XLOOKUP(Table1[[#This Row],[menu_name]],Table5[menu_name],Table5[id_menu])</f>
        <v>MENU007</v>
      </c>
      <c r="L997" t="s">
        <v>1229</v>
      </c>
      <c r="M997" t="str">
        <f>_xlfn.XLOOKUP(Table1[[#This Row],[category]],Table6[category],Table6[id_category])</f>
        <v>KTG0207</v>
      </c>
      <c r="N997" t="s">
        <v>1235</v>
      </c>
      <c r="O997">
        <v>4</v>
      </c>
      <c r="P997">
        <v>27000</v>
      </c>
      <c r="Q997">
        <v>0</v>
      </c>
      <c r="R997">
        <v>2</v>
      </c>
      <c r="S997" t="str">
        <f>_xlfn.XLOOKUP(Table1[[#This Row],[method]],Table7[method],Table7[id_method])</f>
        <v>PAY0709</v>
      </c>
      <c r="T997" t="s">
        <v>1236</v>
      </c>
      <c r="U997">
        <v>108000</v>
      </c>
    </row>
    <row r="998" spans="1:21" x14ac:dyDescent="0.25">
      <c r="A998" t="s">
        <v>1010</v>
      </c>
      <c r="B998" t="str">
        <f>_xlfn.XLOOKUP(Table1[[#This Row],[date]],Table8[date],Table8[id_date])</f>
        <v>TGL1042</v>
      </c>
      <c r="C998" s="1">
        <v>46018</v>
      </c>
      <c r="D998" s="1" t="str">
        <f>_xlfn.XLOOKUP(Table1[[#This Row],[customer_name]],Table11[customer_name],Table11[id_cust])</f>
        <v>CNA0531</v>
      </c>
      <c r="E998" t="s">
        <v>1188</v>
      </c>
      <c r="F998">
        <v>45</v>
      </c>
      <c r="G998" t="str">
        <f>_xlfn.XLOOKUP(Table1[[#This Row],[branch_name]],Table3[branch_name],Table3[id_branch])</f>
        <v>BRCH001</v>
      </c>
      <c r="H998" t="s">
        <v>1213</v>
      </c>
      <c r="I998" t="str">
        <f>_xlfn.XLOOKUP(Table1[[#This Row],[city]],Table4[city],Table4[id_city])</f>
        <v>KOA0102</v>
      </c>
      <c r="J998" t="s">
        <v>1218</v>
      </c>
      <c r="K998" t="str">
        <f>_xlfn.XLOOKUP(Table1[[#This Row],[menu_name]],Table5[menu_name],Table5[id_menu])</f>
        <v>MENU007</v>
      </c>
      <c r="L998" t="s">
        <v>1229</v>
      </c>
      <c r="M998" t="str">
        <f>_xlfn.XLOOKUP(Table1[[#This Row],[category]],Table6[category],Table6[id_category])</f>
        <v>KTG0207</v>
      </c>
      <c r="N998" t="s">
        <v>1235</v>
      </c>
      <c r="O998">
        <v>3</v>
      </c>
      <c r="P998">
        <v>27000</v>
      </c>
      <c r="Q998">
        <v>0</v>
      </c>
      <c r="R998">
        <v>3.7</v>
      </c>
      <c r="S998" t="str">
        <f>_xlfn.XLOOKUP(Table1[[#This Row],[method]],Table7[method],Table7[id_method])</f>
        <v>PAY0711</v>
      </c>
      <c r="T998" t="s">
        <v>1238</v>
      </c>
      <c r="U998">
        <v>81000</v>
      </c>
    </row>
    <row r="999" spans="1:21" x14ac:dyDescent="0.25">
      <c r="A999" t="s">
        <v>1011</v>
      </c>
      <c r="B999" t="str">
        <f>_xlfn.XLOOKUP(Table1[[#This Row],[date]],Table8[date],Table8[id_date])</f>
        <v>TGL1043</v>
      </c>
      <c r="C999" s="1">
        <v>46020</v>
      </c>
      <c r="D999" s="1" t="str">
        <f>_xlfn.XLOOKUP(Table1[[#This Row],[customer_name]],Table11[customer_name],Table11[id_cust])</f>
        <v>CNA0119</v>
      </c>
      <c r="E999" t="s">
        <v>1032</v>
      </c>
      <c r="F999">
        <v>35</v>
      </c>
      <c r="G999" t="str">
        <f>_xlfn.XLOOKUP(Table1[[#This Row],[branch_name]],Table3[branch_name],Table3[id_branch])</f>
        <v>BRCH002</v>
      </c>
      <c r="H999" t="s">
        <v>1214</v>
      </c>
      <c r="I999" t="str">
        <f>_xlfn.XLOOKUP(Table1[[#This Row],[city]],Table4[city],Table4[id_city])</f>
        <v>KOA0103</v>
      </c>
      <c r="J999" t="s">
        <v>1219</v>
      </c>
      <c r="K999" t="str">
        <f>_xlfn.XLOOKUP(Table1[[#This Row],[menu_name]],Table5[menu_name],Table5[id_menu])</f>
        <v>MENU001</v>
      </c>
      <c r="L999" t="s">
        <v>1223</v>
      </c>
      <c r="M999" t="str">
        <f>_xlfn.XLOOKUP(Table1[[#This Row],[category]],Table6[category],Table6[id_category])</f>
        <v>KTG0205</v>
      </c>
      <c r="N999" t="s">
        <v>1233</v>
      </c>
      <c r="O999">
        <v>2</v>
      </c>
      <c r="P999">
        <v>25000</v>
      </c>
      <c r="Q999">
        <v>5</v>
      </c>
      <c r="R999">
        <v>3.1</v>
      </c>
      <c r="S999" t="str">
        <f>_xlfn.XLOOKUP(Table1[[#This Row],[method]],Table7[method],Table7[id_method])</f>
        <v>PAY0709</v>
      </c>
      <c r="T999" t="s">
        <v>1236</v>
      </c>
      <c r="U999">
        <v>47500</v>
      </c>
    </row>
    <row r="1000" spans="1:21" x14ac:dyDescent="0.25">
      <c r="A1000" t="s">
        <v>1012</v>
      </c>
      <c r="B1000" t="str">
        <f>_xlfn.XLOOKUP(Table1[[#This Row],[date]],Table8[date],Table8[id_date])</f>
        <v>TGL1043</v>
      </c>
      <c r="C1000" s="1">
        <v>46020</v>
      </c>
      <c r="D1000" s="1" t="str">
        <f>_xlfn.XLOOKUP(Table1[[#This Row],[customer_name]],Table11[customer_name],Table11[id_cust])</f>
        <v>CNA0242</v>
      </c>
      <c r="E1000" t="s">
        <v>1123</v>
      </c>
      <c r="F1000">
        <v>40</v>
      </c>
      <c r="G1000" t="str">
        <f>_xlfn.XLOOKUP(Table1[[#This Row],[branch_name]],Table3[branch_name],Table3[id_branch])</f>
        <v>BRCH005</v>
      </c>
      <c r="H1000" t="s">
        <v>1217</v>
      </c>
      <c r="I1000" t="str">
        <f>_xlfn.XLOOKUP(Table1[[#This Row],[city]],Table4[city],Table4[id_city])</f>
        <v>KOA0106</v>
      </c>
      <c r="J1000" t="s">
        <v>1222</v>
      </c>
      <c r="K1000" t="str">
        <f>_xlfn.XLOOKUP(Table1[[#This Row],[menu_name]],Table5[menu_name],Table5[id_menu])</f>
        <v>MENU005</v>
      </c>
      <c r="L1000" t="s">
        <v>1227</v>
      </c>
      <c r="M1000" t="str">
        <f>_xlfn.XLOOKUP(Table1[[#This Row],[category]],Table6[category],Table6[id_category])</f>
        <v>KTG0206</v>
      </c>
      <c r="N1000" t="s">
        <v>1234</v>
      </c>
      <c r="O1000">
        <v>2</v>
      </c>
      <c r="P1000">
        <v>23000</v>
      </c>
      <c r="Q1000">
        <v>0</v>
      </c>
      <c r="R1000">
        <v>2.2000000000000002</v>
      </c>
      <c r="S1000" t="str">
        <f>_xlfn.XLOOKUP(Table1[[#This Row],[method]],Table7[method],Table7[id_method])</f>
        <v>PAY0709</v>
      </c>
      <c r="T1000" t="s">
        <v>1236</v>
      </c>
      <c r="U1000">
        <v>46000</v>
      </c>
    </row>
    <row r="1001" spans="1:21" x14ac:dyDescent="0.25">
      <c r="A1001" t="s">
        <v>1013</v>
      </c>
      <c r="B1001" t="str">
        <f>_xlfn.XLOOKUP(Table1[[#This Row],[date]],Table8[date],Table8[id_date])</f>
        <v>TGL1044</v>
      </c>
      <c r="C1001" s="1">
        <v>46021</v>
      </c>
      <c r="D1001" s="1" t="str">
        <f>_xlfn.XLOOKUP(Table1[[#This Row],[customer_name]],Table11[customer_name],Table11[id_cust])</f>
        <v>CNA0138</v>
      </c>
      <c r="E1001" t="s">
        <v>1049</v>
      </c>
      <c r="F1001">
        <v>53</v>
      </c>
      <c r="G1001" t="str">
        <f>_xlfn.XLOOKUP(Table1[[#This Row],[branch_name]],Table3[branch_name],Table3[id_branch])</f>
        <v>BRCH005</v>
      </c>
      <c r="H1001" t="s">
        <v>1217</v>
      </c>
      <c r="I1001" t="str">
        <f>_xlfn.XLOOKUP(Table1[[#This Row],[city]],Table4[city],Table4[id_city])</f>
        <v>KOA0106</v>
      </c>
      <c r="J1001" t="s">
        <v>1222</v>
      </c>
      <c r="K1001" t="str">
        <f>_xlfn.XLOOKUP(Table1[[#This Row],[menu_name]],Table5[menu_name],Table5[id_menu])</f>
        <v>MENU009</v>
      </c>
      <c r="L1001" t="s">
        <v>1231</v>
      </c>
      <c r="M1001" t="str">
        <f>_xlfn.XLOOKUP(Table1[[#This Row],[category]],Table6[category],Table6[id_category])</f>
        <v>KTG0206</v>
      </c>
      <c r="N1001" t="s">
        <v>1234</v>
      </c>
      <c r="O1001">
        <v>2</v>
      </c>
      <c r="P1001">
        <v>18000</v>
      </c>
      <c r="Q1001">
        <v>0</v>
      </c>
      <c r="R1001">
        <v>3.4</v>
      </c>
      <c r="S1001" t="str">
        <f>_xlfn.XLOOKUP(Table1[[#This Row],[method]],Table7[method],Table7[id_method])</f>
        <v>PAY0711</v>
      </c>
      <c r="T1001" t="s">
        <v>1238</v>
      </c>
      <c r="U1001">
        <v>36000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C628-7C41-46BF-AA48-B8051B36AB8E}">
  <dimension ref="A1:N1001"/>
  <sheetViews>
    <sheetView tabSelected="1" workbookViewId="0">
      <selection activeCell="F17" sqref="F17"/>
    </sheetView>
  </sheetViews>
  <sheetFormatPr defaultRowHeight="15" x14ac:dyDescent="0.25"/>
  <cols>
    <col min="1" max="1" width="15.7109375" customWidth="1"/>
    <col min="2" max="2" width="12.7109375" customWidth="1"/>
    <col min="3" max="3" width="10.5703125" customWidth="1"/>
    <col min="4" max="4" width="11.85546875" customWidth="1"/>
    <col min="5" max="5" width="18.5703125" customWidth="1"/>
    <col min="6" max="6" width="11" customWidth="1"/>
    <col min="7" max="7" width="13.140625" customWidth="1"/>
    <col min="8" max="8" width="13.7109375" customWidth="1"/>
    <col min="9" max="9" width="9.42578125" customWidth="1"/>
    <col min="10" max="10" width="11.85546875" customWidth="1"/>
    <col min="12" max="12" width="11" customWidth="1"/>
    <col min="13" max="13" width="13.42578125" customWidth="1"/>
    <col min="14" max="14" width="12.85546875" customWidth="1"/>
  </cols>
  <sheetData>
    <row r="1" spans="1:14" x14ac:dyDescent="0.25">
      <c r="A1" t="s">
        <v>0</v>
      </c>
      <c r="B1" t="s">
        <v>3</v>
      </c>
      <c r="C1" t="s">
        <v>8</v>
      </c>
      <c r="D1" t="s">
        <v>9</v>
      </c>
      <c r="E1" t="s">
        <v>10</v>
      </c>
      <c r="F1" t="s">
        <v>11</v>
      </c>
      <c r="G1" t="s">
        <v>13</v>
      </c>
      <c r="H1" t="s">
        <v>2016</v>
      </c>
      <c r="I1" t="s">
        <v>1240</v>
      </c>
      <c r="J1" t="s">
        <v>1440</v>
      </c>
      <c r="K1" t="s">
        <v>2017</v>
      </c>
      <c r="L1" t="s">
        <v>1451</v>
      </c>
      <c r="M1" t="s">
        <v>2019</v>
      </c>
      <c r="N1" t="s">
        <v>2018</v>
      </c>
    </row>
    <row r="2" spans="1:14" x14ac:dyDescent="0.25">
      <c r="A2" t="s">
        <v>14</v>
      </c>
      <c r="B2">
        <v>27</v>
      </c>
      <c r="C2">
        <v>5</v>
      </c>
      <c r="D2">
        <v>25000</v>
      </c>
      <c r="E2">
        <v>15</v>
      </c>
      <c r="F2">
        <v>3.1</v>
      </c>
      <c r="G2">
        <v>106250</v>
      </c>
      <c r="H2" t="s">
        <v>1472</v>
      </c>
      <c r="I2" t="s">
        <v>1241</v>
      </c>
      <c r="J2" t="s">
        <v>1441</v>
      </c>
      <c r="K2" t="s">
        <v>1446</v>
      </c>
      <c r="L2" t="s">
        <v>1452</v>
      </c>
      <c r="M2" t="s">
        <v>1462</v>
      </c>
      <c r="N2" t="s">
        <v>1465</v>
      </c>
    </row>
    <row r="3" spans="1:14" x14ac:dyDescent="0.25">
      <c r="A3" t="s">
        <v>15</v>
      </c>
      <c r="B3">
        <v>36</v>
      </c>
      <c r="C3">
        <v>1</v>
      </c>
      <c r="D3">
        <v>30000</v>
      </c>
      <c r="E3">
        <v>15</v>
      </c>
      <c r="F3">
        <v>1.9</v>
      </c>
      <c r="G3">
        <v>25500</v>
      </c>
      <c r="H3" t="s">
        <v>1472</v>
      </c>
      <c r="I3" t="s">
        <v>1242</v>
      </c>
      <c r="J3" t="s">
        <v>1442</v>
      </c>
      <c r="K3" t="s">
        <v>1447</v>
      </c>
      <c r="L3" t="s">
        <v>1453</v>
      </c>
      <c r="M3" t="s">
        <v>1463</v>
      </c>
      <c r="N3" t="s">
        <v>1466</v>
      </c>
    </row>
    <row r="4" spans="1:14" x14ac:dyDescent="0.25">
      <c r="A4" t="s">
        <v>16</v>
      </c>
      <c r="B4">
        <v>44</v>
      </c>
      <c r="C4">
        <v>3</v>
      </c>
      <c r="D4">
        <v>22000</v>
      </c>
      <c r="E4">
        <v>0</v>
      </c>
      <c r="F4">
        <v>4.5999999999999996</v>
      </c>
      <c r="G4">
        <v>66000</v>
      </c>
      <c r="H4" t="s">
        <v>1472</v>
      </c>
      <c r="I4" t="s">
        <v>1243</v>
      </c>
      <c r="J4" t="s">
        <v>1443</v>
      </c>
      <c r="K4" t="s">
        <v>1448</v>
      </c>
      <c r="L4" t="s">
        <v>1454</v>
      </c>
      <c r="M4" t="s">
        <v>1462</v>
      </c>
      <c r="N4" t="s">
        <v>1467</v>
      </c>
    </row>
    <row r="5" spans="1:14" x14ac:dyDescent="0.25">
      <c r="A5" t="s">
        <v>17</v>
      </c>
      <c r="B5">
        <v>41</v>
      </c>
      <c r="C5">
        <v>3</v>
      </c>
      <c r="D5">
        <v>28000</v>
      </c>
      <c r="E5">
        <v>0</v>
      </c>
      <c r="F5">
        <v>3.7</v>
      </c>
      <c r="G5">
        <v>84000</v>
      </c>
      <c r="H5" t="s">
        <v>1472</v>
      </c>
      <c r="I5" t="s">
        <v>1244</v>
      </c>
      <c r="J5" t="s">
        <v>1441</v>
      </c>
      <c r="K5" t="s">
        <v>1446</v>
      </c>
      <c r="L5" t="s">
        <v>1455</v>
      </c>
      <c r="M5" t="s">
        <v>1464</v>
      </c>
      <c r="N5" t="s">
        <v>1465</v>
      </c>
    </row>
    <row r="6" spans="1:14" x14ac:dyDescent="0.25">
      <c r="A6" t="s">
        <v>18</v>
      </c>
      <c r="B6">
        <v>53</v>
      </c>
      <c r="C6">
        <v>4</v>
      </c>
      <c r="D6">
        <v>23000</v>
      </c>
      <c r="E6">
        <v>0</v>
      </c>
      <c r="F6">
        <v>2.1</v>
      </c>
      <c r="G6">
        <v>92000</v>
      </c>
      <c r="H6" t="s">
        <v>1473</v>
      </c>
      <c r="I6" t="s">
        <v>1245</v>
      </c>
      <c r="J6" t="s">
        <v>1444</v>
      </c>
      <c r="K6" t="s">
        <v>1449</v>
      </c>
      <c r="L6" t="s">
        <v>1456</v>
      </c>
      <c r="M6" t="s">
        <v>1463</v>
      </c>
      <c r="N6" t="s">
        <v>1468</v>
      </c>
    </row>
    <row r="7" spans="1:14" x14ac:dyDescent="0.25">
      <c r="A7" t="s">
        <v>19</v>
      </c>
      <c r="B7">
        <v>30</v>
      </c>
      <c r="C7">
        <v>1</v>
      </c>
      <c r="D7">
        <v>32000</v>
      </c>
      <c r="E7">
        <v>0</v>
      </c>
      <c r="F7">
        <v>2.2000000000000002</v>
      </c>
      <c r="G7">
        <v>32000</v>
      </c>
      <c r="H7" t="s">
        <v>1474</v>
      </c>
      <c r="I7" t="s">
        <v>1246</v>
      </c>
      <c r="J7" t="s">
        <v>1445</v>
      </c>
      <c r="K7" t="s">
        <v>1450</v>
      </c>
      <c r="L7" t="s">
        <v>1457</v>
      </c>
      <c r="M7" t="s">
        <v>1463</v>
      </c>
      <c r="N7" t="s">
        <v>1468</v>
      </c>
    </row>
    <row r="8" spans="1:14" x14ac:dyDescent="0.25">
      <c r="A8" t="s">
        <v>20</v>
      </c>
      <c r="B8">
        <v>19</v>
      </c>
      <c r="C8">
        <v>4</v>
      </c>
      <c r="D8">
        <v>27000</v>
      </c>
      <c r="E8">
        <v>0</v>
      </c>
      <c r="F8">
        <v>2.2000000000000002</v>
      </c>
      <c r="G8">
        <v>108000</v>
      </c>
      <c r="H8" t="s">
        <v>1475</v>
      </c>
      <c r="I8" t="s">
        <v>1247</v>
      </c>
      <c r="J8" t="s">
        <v>1442</v>
      </c>
      <c r="K8" t="s">
        <v>1447</v>
      </c>
      <c r="L8" t="s">
        <v>1458</v>
      </c>
      <c r="M8" t="s">
        <v>1464</v>
      </c>
      <c r="N8" t="s">
        <v>1465</v>
      </c>
    </row>
    <row r="9" spans="1:14" x14ac:dyDescent="0.25">
      <c r="A9" t="s">
        <v>21</v>
      </c>
      <c r="B9">
        <v>21</v>
      </c>
      <c r="C9">
        <v>4</v>
      </c>
      <c r="D9">
        <v>20000</v>
      </c>
      <c r="E9">
        <v>15</v>
      </c>
      <c r="F9">
        <v>3.7</v>
      </c>
      <c r="G9">
        <v>68000</v>
      </c>
      <c r="H9" t="s">
        <v>1476</v>
      </c>
      <c r="I9" t="s">
        <v>1248</v>
      </c>
      <c r="J9" t="s">
        <v>1445</v>
      </c>
      <c r="K9" t="s">
        <v>1450</v>
      </c>
      <c r="L9" t="s">
        <v>1459</v>
      </c>
      <c r="M9" t="s">
        <v>1462</v>
      </c>
      <c r="N9" t="s">
        <v>1467</v>
      </c>
    </row>
    <row r="10" spans="1:14" x14ac:dyDescent="0.25">
      <c r="A10" t="s">
        <v>22</v>
      </c>
      <c r="B10">
        <v>45</v>
      </c>
      <c r="C10">
        <v>2</v>
      </c>
      <c r="D10">
        <v>28000</v>
      </c>
      <c r="E10">
        <v>20</v>
      </c>
      <c r="F10">
        <v>3</v>
      </c>
      <c r="G10">
        <v>44800</v>
      </c>
      <c r="H10" t="s">
        <v>1476</v>
      </c>
      <c r="I10" t="s">
        <v>1249</v>
      </c>
      <c r="J10" t="s">
        <v>1445</v>
      </c>
      <c r="K10" t="s">
        <v>1450</v>
      </c>
      <c r="L10" t="s">
        <v>1455</v>
      </c>
      <c r="M10" t="s">
        <v>1464</v>
      </c>
      <c r="N10" t="s">
        <v>1468</v>
      </c>
    </row>
    <row r="11" spans="1:14" x14ac:dyDescent="0.25">
      <c r="A11" t="s">
        <v>23</v>
      </c>
      <c r="B11">
        <v>39</v>
      </c>
      <c r="C11">
        <v>2</v>
      </c>
      <c r="D11">
        <v>23000</v>
      </c>
      <c r="E11">
        <v>15</v>
      </c>
      <c r="F11">
        <v>4.5999999999999996</v>
      </c>
      <c r="G11">
        <v>39100</v>
      </c>
      <c r="H11" t="s">
        <v>1476</v>
      </c>
      <c r="I11" t="s">
        <v>1250</v>
      </c>
      <c r="J11" t="s">
        <v>1442</v>
      </c>
      <c r="K11" t="s">
        <v>1447</v>
      </c>
      <c r="L11" t="s">
        <v>1456</v>
      </c>
      <c r="M11" t="s">
        <v>1463</v>
      </c>
      <c r="N11" t="s">
        <v>1465</v>
      </c>
    </row>
    <row r="12" spans="1:14" x14ac:dyDescent="0.25">
      <c r="A12" t="s">
        <v>24</v>
      </c>
      <c r="B12">
        <v>40</v>
      </c>
      <c r="C12">
        <v>2</v>
      </c>
      <c r="D12">
        <v>20000</v>
      </c>
      <c r="E12">
        <v>20</v>
      </c>
      <c r="F12">
        <v>3.8</v>
      </c>
      <c r="G12">
        <v>32000</v>
      </c>
      <c r="H12" t="s">
        <v>1476</v>
      </c>
      <c r="I12" t="s">
        <v>1251</v>
      </c>
      <c r="J12" t="s">
        <v>1444</v>
      </c>
      <c r="K12" t="s">
        <v>1449</v>
      </c>
      <c r="L12" t="s">
        <v>1459</v>
      </c>
      <c r="M12" t="s">
        <v>1462</v>
      </c>
      <c r="N12" t="s">
        <v>1466</v>
      </c>
    </row>
    <row r="13" spans="1:14" x14ac:dyDescent="0.25">
      <c r="A13" t="s">
        <v>25</v>
      </c>
      <c r="B13">
        <v>22</v>
      </c>
      <c r="C13">
        <v>1</v>
      </c>
      <c r="D13">
        <v>27000</v>
      </c>
      <c r="E13">
        <v>15</v>
      </c>
      <c r="F13">
        <v>4.2</v>
      </c>
      <c r="G13">
        <v>22950</v>
      </c>
      <c r="H13" t="s">
        <v>1477</v>
      </c>
      <c r="I13" t="s">
        <v>1252</v>
      </c>
      <c r="J13" t="s">
        <v>1445</v>
      </c>
      <c r="K13" t="s">
        <v>1450</v>
      </c>
      <c r="L13" t="s">
        <v>1458</v>
      </c>
      <c r="M13" t="s">
        <v>1464</v>
      </c>
      <c r="N13" t="s">
        <v>1465</v>
      </c>
    </row>
    <row r="14" spans="1:14" x14ac:dyDescent="0.25">
      <c r="A14" t="s">
        <v>26</v>
      </c>
      <c r="B14">
        <v>33</v>
      </c>
      <c r="C14">
        <v>1</v>
      </c>
      <c r="D14">
        <v>22000</v>
      </c>
      <c r="E14">
        <v>15</v>
      </c>
      <c r="F14">
        <v>2.4</v>
      </c>
      <c r="G14">
        <v>18700</v>
      </c>
      <c r="H14" t="s">
        <v>1478</v>
      </c>
      <c r="I14" t="s">
        <v>1253</v>
      </c>
      <c r="J14" t="s">
        <v>1443</v>
      </c>
      <c r="K14" t="s">
        <v>1448</v>
      </c>
      <c r="L14" t="s">
        <v>1454</v>
      </c>
      <c r="M14" t="s">
        <v>1462</v>
      </c>
      <c r="N14" t="s">
        <v>1465</v>
      </c>
    </row>
    <row r="15" spans="1:14" x14ac:dyDescent="0.25">
      <c r="A15" t="s">
        <v>27</v>
      </c>
      <c r="B15">
        <v>51</v>
      </c>
      <c r="C15">
        <v>2</v>
      </c>
      <c r="D15">
        <v>30000</v>
      </c>
      <c r="E15">
        <v>5</v>
      </c>
      <c r="F15">
        <v>3.8</v>
      </c>
      <c r="G15">
        <v>57000</v>
      </c>
      <c r="H15" t="s">
        <v>1478</v>
      </c>
      <c r="I15" t="s">
        <v>1254</v>
      </c>
      <c r="J15" t="s">
        <v>1443</v>
      </c>
      <c r="K15" t="s">
        <v>1448</v>
      </c>
      <c r="L15" t="s">
        <v>1453</v>
      </c>
      <c r="M15" t="s">
        <v>1463</v>
      </c>
      <c r="N15" t="s">
        <v>1466</v>
      </c>
    </row>
    <row r="16" spans="1:14" x14ac:dyDescent="0.25">
      <c r="A16" t="s">
        <v>28</v>
      </c>
      <c r="B16">
        <v>46</v>
      </c>
      <c r="C16">
        <v>1</v>
      </c>
      <c r="D16">
        <v>18000</v>
      </c>
      <c r="E16">
        <v>10</v>
      </c>
      <c r="F16">
        <v>4</v>
      </c>
      <c r="G16">
        <v>16200</v>
      </c>
      <c r="H16" t="s">
        <v>1479</v>
      </c>
      <c r="I16" t="s">
        <v>1255</v>
      </c>
      <c r="J16" t="s">
        <v>1443</v>
      </c>
      <c r="K16" t="s">
        <v>1448</v>
      </c>
      <c r="L16" t="s">
        <v>1460</v>
      </c>
      <c r="M16" t="s">
        <v>1463</v>
      </c>
      <c r="N16" t="s">
        <v>1468</v>
      </c>
    </row>
    <row r="17" spans="1:14" x14ac:dyDescent="0.25">
      <c r="A17" t="s">
        <v>29</v>
      </c>
      <c r="B17">
        <v>45</v>
      </c>
      <c r="C17">
        <v>3</v>
      </c>
      <c r="D17">
        <v>32000</v>
      </c>
      <c r="E17">
        <v>5</v>
      </c>
      <c r="F17">
        <v>1.4</v>
      </c>
      <c r="G17">
        <v>91200</v>
      </c>
      <c r="H17" t="s">
        <v>1479</v>
      </c>
      <c r="I17" t="s">
        <v>1256</v>
      </c>
      <c r="J17" t="s">
        <v>1445</v>
      </c>
      <c r="K17" t="s">
        <v>1450</v>
      </c>
      <c r="L17" t="s">
        <v>1457</v>
      </c>
      <c r="M17" t="s">
        <v>1463</v>
      </c>
      <c r="N17" t="s">
        <v>1465</v>
      </c>
    </row>
    <row r="18" spans="1:14" x14ac:dyDescent="0.25">
      <c r="A18" t="s">
        <v>30</v>
      </c>
      <c r="B18">
        <v>53</v>
      </c>
      <c r="C18">
        <v>2</v>
      </c>
      <c r="D18">
        <v>22000</v>
      </c>
      <c r="E18">
        <v>10</v>
      </c>
      <c r="F18">
        <v>1.7</v>
      </c>
      <c r="G18">
        <v>39600</v>
      </c>
      <c r="H18" t="s">
        <v>1479</v>
      </c>
      <c r="I18" t="s">
        <v>1257</v>
      </c>
      <c r="J18" t="s">
        <v>1444</v>
      </c>
      <c r="K18" t="s">
        <v>1449</v>
      </c>
      <c r="L18" t="s">
        <v>1454</v>
      </c>
      <c r="M18" t="s">
        <v>1462</v>
      </c>
      <c r="N18" t="s">
        <v>1465</v>
      </c>
    </row>
    <row r="19" spans="1:14" x14ac:dyDescent="0.25">
      <c r="A19" t="s">
        <v>31</v>
      </c>
      <c r="B19">
        <v>22</v>
      </c>
      <c r="C19">
        <v>5</v>
      </c>
      <c r="D19">
        <v>32000</v>
      </c>
      <c r="E19">
        <v>0</v>
      </c>
      <c r="F19">
        <v>1.2</v>
      </c>
      <c r="G19">
        <v>160000</v>
      </c>
      <c r="H19" t="s">
        <v>1480</v>
      </c>
      <c r="I19" t="s">
        <v>1258</v>
      </c>
      <c r="J19" t="s">
        <v>1442</v>
      </c>
      <c r="K19" t="s">
        <v>1447</v>
      </c>
      <c r="L19" t="s">
        <v>1457</v>
      </c>
      <c r="M19" t="s">
        <v>1463</v>
      </c>
      <c r="N19" t="s">
        <v>1466</v>
      </c>
    </row>
    <row r="20" spans="1:14" x14ac:dyDescent="0.25">
      <c r="A20" t="s">
        <v>32</v>
      </c>
      <c r="B20">
        <v>35</v>
      </c>
      <c r="C20">
        <v>4</v>
      </c>
      <c r="D20">
        <v>18000</v>
      </c>
      <c r="E20">
        <v>5</v>
      </c>
      <c r="F20">
        <v>2.2000000000000002</v>
      </c>
      <c r="G20">
        <v>68400</v>
      </c>
      <c r="H20" t="s">
        <v>1480</v>
      </c>
      <c r="I20" t="s">
        <v>1259</v>
      </c>
      <c r="J20" t="s">
        <v>1445</v>
      </c>
      <c r="K20" t="s">
        <v>1450</v>
      </c>
      <c r="L20" t="s">
        <v>1460</v>
      </c>
      <c r="M20" t="s">
        <v>1463</v>
      </c>
      <c r="N20" t="s">
        <v>1467</v>
      </c>
    </row>
    <row r="21" spans="1:14" x14ac:dyDescent="0.25">
      <c r="A21" t="s">
        <v>33</v>
      </c>
      <c r="B21">
        <v>44</v>
      </c>
      <c r="C21">
        <v>1</v>
      </c>
      <c r="D21">
        <v>23000</v>
      </c>
      <c r="E21">
        <v>10</v>
      </c>
      <c r="F21">
        <v>4.5</v>
      </c>
      <c r="G21">
        <v>20700</v>
      </c>
      <c r="H21" t="s">
        <v>1481</v>
      </c>
      <c r="I21" t="s">
        <v>1260</v>
      </c>
      <c r="J21" t="s">
        <v>1445</v>
      </c>
      <c r="K21" t="s">
        <v>1450</v>
      </c>
      <c r="L21" t="s">
        <v>1456</v>
      </c>
      <c r="M21" t="s">
        <v>1463</v>
      </c>
      <c r="N21" t="s">
        <v>1465</v>
      </c>
    </row>
    <row r="22" spans="1:14" x14ac:dyDescent="0.25">
      <c r="A22" t="s">
        <v>34</v>
      </c>
      <c r="B22">
        <v>25</v>
      </c>
      <c r="C22">
        <v>3</v>
      </c>
      <c r="D22">
        <v>18000</v>
      </c>
      <c r="E22">
        <v>0</v>
      </c>
      <c r="F22">
        <v>4.9000000000000004</v>
      </c>
      <c r="G22">
        <v>54000</v>
      </c>
      <c r="H22" t="s">
        <v>1481</v>
      </c>
      <c r="I22" t="s">
        <v>1261</v>
      </c>
      <c r="J22" t="s">
        <v>1444</v>
      </c>
      <c r="K22" t="s">
        <v>1449</v>
      </c>
      <c r="L22" t="s">
        <v>1460</v>
      </c>
      <c r="M22" t="s">
        <v>1463</v>
      </c>
      <c r="N22" t="s">
        <v>1466</v>
      </c>
    </row>
    <row r="23" spans="1:14" x14ac:dyDescent="0.25">
      <c r="A23" t="s">
        <v>35</v>
      </c>
      <c r="B23">
        <v>20</v>
      </c>
      <c r="C23">
        <v>1</v>
      </c>
      <c r="D23">
        <v>25000</v>
      </c>
      <c r="E23">
        <v>15</v>
      </c>
      <c r="F23">
        <v>3.6</v>
      </c>
      <c r="G23">
        <v>21250</v>
      </c>
      <c r="H23" t="s">
        <v>1482</v>
      </c>
      <c r="I23" t="s">
        <v>1262</v>
      </c>
      <c r="J23" t="s">
        <v>1442</v>
      </c>
      <c r="K23" t="s">
        <v>1447</v>
      </c>
      <c r="L23" t="s">
        <v>1452</v>
      </c>
      <c r="M23" t="s">
        <v>1462</v>
      </c>
      <c r="N23" t="s">
        <v>1467</v>
      </c>
    </row>
    <row r="24" spans="1:14" x14ac:dyDescent="0.25">
      <c r="A24" t="s">
        <v>36</v>
      </c>
      <c r="B24">
        <v>31</v>
      </c>
      <c r="C24">
        <v>3</v>
      </c>
      <c r="D24">
        <v>23000</v>
      </c>
      <c r="E24">
        <v>15</v>
      </c>
      <c r="F24">
        <v>3.1</v>
      </c>
      <c r="G24">
        <v>58650</v>
      </c>
      <c r="H24" t="s">
        <v>1483</v>
      </c>
      <c r="I24" t="s">
        <v>1263</v>
      </c>
      <c r="J24" t="s">
        <v>1442</v>
      </c>
      <c r="K24" t="s">
        <v>1447</v>
      </c>
      <c r="L24" t="s">
        <v>1456</v>
      </c>
      <c r="M24" t="s">
        <v>1463</v>
      </c>
      <c r="N24" t="s">
        <v>1467</v>
      </c>
    </row>
    <row r="25" spans="1:14" x14ac:dyDescent="0.25">
      <c r="A25" t="s">
        <v>37</v>
      </c>
      <c r="B25">
        <v>33</v>
      </c>
      <c r="C25">
        <v>4</v>
      </c>
      <c r="D25">
        <v>23000</v>
      </c>
      <c r="E25">
        <v>20</v>
      </c>
      <c r="F25">
        <v>1.1000000000000001</v>
      </c>
      <c r="G25">
        <v>73600</v>
      </c>
      <c r="H25" t="s">
        <v>1483</v>
      </c>
      <c r="I25" t="s">
        <v>1264</v>
      </c>
      <c r="J25" t="s">
        <v>1445</v>
      </c>
      <c r="K25" t="s">
        <v>1450</v>
      </c>
      <c r="L25" t="s">
        <v>1456</v>
      </c>
      <c r="M25" t="s">
        <v>1463</v>
      </c>
      <c r="N25" t="s">
        <v>1467</v>
      </c>
    </row>
    <row r="26" spans="1:14" x14ac:dyDescent="0.25">
      <c r="A26" t="s">
        <v>38</v>
      </c>
      <c r="B26">
        <v>25</v>
      </c>
      <c r="C26">
        <v>3</v>
      </c>
      <c r="D26">
        <v>30000</v>
      </c>
      <c r="E26">
        <v>0</v>
      </c>
      <c r="F26">
        <v>3.5</v>
      </c>
      <c r="G26">
        <v>90000</v>
      </c>
      <c r="H26" t="s">
        <v>1484</v>
      </c>
      <c r="I26" t="s">
        <v>1261</v>
      </c>
      <c r="J26" t="s">
        <v>1444</v>
      </c>
      <c r="K26" t="s">
        <v>1449</v>
      </c>
      <c r="L26" t="s">
        <v>1453</v>
      </c>
      <c r="M26" t="s">
        <v>1463</v>
      </c>
      <c r="N26" t="s">
        <v>1465</v>
      </c>
    </row>
    <row r="27" spans="1:14" x14ac:dyDescent="0.25">
      <c r="A27" t="s">
        <v>39</v>
      </c>
      <c r="B27">
        <v>30</v>
      </c>
      <c r="C27">
        <v>4</v>
      </c>
      <c r="D27">
        <v>22000</v>
      </c>
      <c r="E27">
        <v>5</v>
      </c>
      <c r="F27">
        <v>3.9</v>
      </c>
      <c r="G27">
        <v>83600</v>
      </c>
      <c r="H27" t="s">
        <v>1485</v>
      </c>
      <c r="I27" t="s">
        <v>1265</v>
      </c>
      <c r="J27" t="s">
        <v>1443</v>
      </c>
      <c r="K27" t="s">
        <v>1448</v>
      </c>
      <c r="L27" t="s">
        <v>1454</v>
      </c>
      <c r="M27" t="s">
        <v>1462</v>
      </c>
      <c r="N27" t="s">
        <v>1466</v>
      </c>
    </row>
    <row r="28" spans="1:14" x14ac:dyDescent="0.25">
      <c r="A28" t="s">
        <v>40</v>
      </c>
      <c r="B28">
        <v>48</v>
      </c>
      <c r="C28">
        <v>1</v>
      </c>
      <c r="D28">
        <v>22000</v>
      </c>
      <c r="E28">
        <v>0</v>
      </c>
      <c r="F28">
        <v>2.2000000000000002</v>
      </c>
      <c r="G28">
        <v>22000</v>
      </c>
      <c r="H28" t="s">
        <v>1485</v>
      </c>
      <c r="I28" t="s">
        <v>1266</v>
      </c>
      <c r="J28" t="s">
        <v>1441</v>
      </c>
      <c r="K28" t="s">
        <v>1446</v>
      </c>
      <c r="L28" t="s">
        <v>1454</v>
      </c>
      <c r="M28" t="s">
        <v>1462</v>
      </c>
      <c r="N28" t="s">
        <v>1468</v>
      </c>
    </row>
    <row r="29" spans="1:14" x14ac:dyDescent="0.25">
      <c r="A29" t="s">
        <v>41</v>
      </c>
      <c r="B29">
        <v>36</v>
      </c>
      <c r="C29">
        <v>1</v>
      </c>
      <c r="D29">
        <v>28000</v>
      </c>
      <c r="E29">
        <v>15</v>
      </c>
      <c r="F29">
        <v>1.6</v>
      </c>
      <c r="G29">
        <v>23800</v>
      </c>
      <c r="H29" t="s">
        <v>1485</v>
      </c>
      <c r="I29" t="s">
        <v>1267</v>
      </c>
      <c r="J29" t="s">
        <v>1443</v>
      </c>
      <c r="K29" t="s">
        <v>1448</v>
      </c>
      <c r="L29" t="s">
        <v>1455</v>
      </c>
      <c r="M29" t="s">
        <v>1464</v>
      </c>
      <c r="N29" t="s">
        <v>1467</v>
      </c>
    </row>
    <row r="30" spans="1:14" x14ac:dyDescent="0.25">
      <c r="A30" t="s">
        <v>42</v>
      </c>
      <c r="B30">
        <v>49</v>
      </c>
      <c r="C30">
        <v>4</v>
      </c>
      <c r="D30">
        <v>32000</v>
      </c>
      <c r="E30">
        <v>0</v>
      </c>
      <c r="F30">
        <v>3.5</v>
      </c>
      <c r="G30">
        <v>128000</v>
      </c>
      <c r="H30" t="s">
        <v>1486</v>
      </c>
      <c r="I30" t="s">
        <v>1268</v>
      </c>
      <c r="J30" t="s">
        <v>1443</v>
      </c>
      <c r="K30" t="s">
        <v>1448</v>
      </c>
      <c r="L30" t="s">
        <v>1457</v>
      </c>
      <c r="M30" t="s">
        <v>1463</v>
      </c>
      <c r="N30" t="s">
        <v>1466</v>
      </c>
    </row>
    <row r="31" spans="1:14" x14ac:dyDescent="0.25">
      <c r="A31" t="s">
        <v>43</v>
      </c>
      <c r="B31">
        <v>33</v>
      </c>
      <c r="C31">
        <v>2</v>
      </c>
      <c r="D31">
        <v>20000</v>
      </c>
      <c r="E31">
        <v>0</v>
      </c>
      <c r="F31">
        <v>4</v>
      </c>
      <c r="G31">
        <v>40000</v>
      </c>
      <c r="H31" t="s">
        <v>1487</v>
      </c>
      <c r="I31" t="s">
        <v>1269</v>
      </c>
      <c r="J31" t="s">
        <v>1442</v>
      </c>
      <c r="K31" t="s">
        <v>1447</v>
      </c>
      <c r="L31" t="s">
        <v>1459</v>
      </c>
      <c r="M31" t="s">
        <v>1462</v>
      </c>
      <c r="N31" t="s">
        <v>1468</v>
      </c>
    </row>
    <row r="32" spans="1:14" x14ac:dyDescent="0.25">
      <c r="A32" t="s">
        <v>44</v>
      </c>
      <c r="B32">
        <v>45</v>
      </c>
      <c r="C32">
        <v>1</v>
      </c>
      <c r="D32">
        <v>23000</v>
      </c>
      <c r="E32">
        <v>0</v>
      </c>
      <c r="F32">
        <v>2.7</v>
      </c>
      <c r="G32">
        <v>23000</v>
      </c>
      <c r="H32" t="s">
        <v>1488</v>
      </c>
      <c r="I32" t="s">
        <v>1270</v>
      </c>
      <c r="J32" t="s">
        <v>1444</v>
      </c>
      <c r="K32" t="s">
        <v>1449</v>
      </c>
      <c r="L32" t="s">
        <v>1456</v>
      </c>
      <c r="M32" t="s">
        <v>1463</v>
      </c>
      <c r="N32" t="s">
        <v>1465</v>
      </c>
    </row>
    <row r="33" spans="1:14" x14ac:dyDescent="0.25">
      <c r="A33" t="s">
        <v>45</v>
      </c>
      <c r="B33">
        <v>40</v>
      </c>
      <c r="C33">
        <v>3</v>
      </c>
      <c r="D33">
        <v>25000</v>
      </c>
      <c r="E33">
        <v>20</v>
      </c>
      <c r="F33">
        <v>4</v>
      </c>
      <c r="G33">
        <v>60000</v>
      </c>
      <c r="H33" t="s">
        <v>1488</v>
      </c>
      <c r="I33" t="s">
        <v>1271</v>
      </c>
      <c r="J33" t="s">
        <v>1444</v>
      </c>
      <c r="K33" t="s">
        <v>1449</v>
      </c>
      <c r="L33" t="s">
        <v>1452</v>
      </c>
      <c r="M33" t="s">
        <v>1462</v>
      </c>
      <c r="N33" t="s">
        <v>1468</v>
      </c>
    </row>
    <row r="34" spans="1:14" x14ac:dyDescent="0.25">
      <c r="A34" t="s">
        <v>46</v>
      </c>
      <c r="B34">
        <v>42</v>
      </c>
      <c r="C34">
        <v>1</v>
      </c>
      <c r="D34">
        <v>25000</v>
      </c>
      <c r="E34">
        <v>0</v>
      </c>
      <c r="F34">
        <v>3.9</v>
      </c>
      <c r="G34">
        <v>25000</v>
      </c>
      <c r="H34" t="s">
        <v>1489</v>
      </c>
      <c r="I34" t="s">
        <v>1272</v>
      </c>
      <c r="J34" t="s">
        <v>1442</v>
      </c>
      <c r="K34" t="s">
        <v>1447</v>
      </c>
      <c r="L34" t="s">
        <v>1452</v>
      </c>
      <c r="M34" t="s">
        <v>1462</v>
      </c>
      <c r="N34" t="s">
        <v>1465</v>
      </c>
    </row>
    <row r="35" spans="1:14" x14ac:dyDescent="0.25">
      <c r="A35" t="s">
        <v>47</v>
      </c>
      <c r="B35">
        <v>54</v>
      </c>
      <c r="C35">
        <v>2</v>
      </c>
      <c r="D35">
        <v>20000</v>
      </c>
      <c r="E35">
        <v>0</v>
      </c>
      <c r="F35">
        <v>1</v>
      </c>
      <c r="G35">
        <v>40000</v>
      </c>
      <c r="H35" t="s">
        <v>1489</v>
      </c>
      <c r="I35" t="s">
        <v>1273</v>
      </c>
      <c r="J35" t="s">
        <v>1442</v>
      </c>
      <c r="K35" t="s">
        <v>1447</v>
      </c>
      <c r="L35" t="s">
        <v>1459</v>
      </c>
      <c r="M35" t="s">
        <v>1462</v>
      </c>
      <c r="N35" t="s">
        <v>1467</v>
      </c>
    </row>
    <row r="36" spans="1:14" x14ac:dyDescent="0.25">
      <c r="A36" t="s">
        <v>48</v>
      </c>
      <c r="B36">
        <v>21</v>
      </c>
      <c r="C36">
        <v>3</v>
      </c>
      <c r="D36">
        <v>28000</v>
      </c>
      <c r="E36">
        <v>20</v>
      </c>
      <c r="F36">
        <v>1.9</v>
      </c>
      <c r="G36">
        <v>67200</v>
      </c>
      <c r="H36" t="s">
        <v>1490</v>
      </c>
      <c r="I36" t="s">
        <v>1248</v>
      </c>
      <c r="J36" t="s">
        <v>1443</v>
      </c>
      <c r="K36" t="s">
        <v>1448</v>
      </c>
      <c r="L36" t="s">
        <v>1455</v>
      </c>
      <c r="M36" t="s">
        <v>1464</v>
      </c>
      <c r="N36" t="s">
        <v>1468</v>
      </c>
    </row>
    <row r="37" spans="1:14" x14ac:dyDescent="0.25">
      <c r="A37" t="s">
        <v>49</v>
      </c>
      <c r="B37">
        <v>31</v>
      </c>
      <c r="C37">
        <v>5</v>
      </c>
      <c r="D37">
        <v>23000</v>
      </c>
      <c r="E37">
        <v>0</v>
      </c>
      <c r="F37">
        <v>3.8</v>
      </c>
      <c r="G37">
        <v>115000</v>
      </c>
      <c r="H37" t="s">
        <v>1491</v>
      </c>
      <c r="I37" t="s">
        <v>1274</v>
      </c>
      <c r="J37" t="s">
        <v>1441</v>
      </c>
      <c r="K37" t="s">
        <v>1446</v>
      </c>
      <c r="L37" t="s">
        <v>1456</v>
      </c>
      <c r="M37" t="s">
        <v>1463</v>
      </c>
      <c r="N37" t="s">
        <v>1465</v>
      </c>
    </row>
    <row r="38" spans="1:14" x14ac:dyDescent="0.25">
      <c r="A38" t="s">
        <v>50</v>
      </c>
      <c r="B38">
        <v>32</v>
      </c>
      <c r="C38">
        <v>4</v>
      </c>
      <c r="D38">
        <v>27000</v>
      </c>
      <c r="E38">
        <v>5</v>
      </c>
      <c r="F38">
        <v>2.2000000000000002</v>
      </c>
      <c r="G38">
        <v>102600</v>
      </c>
      <c r="H38" t="s">
        <v>1492</v>
      </c>
      <c r="I38" t="s">
        <v>1275</v>
      </c>
      <c r="J38" t="s">
        <v>1445</v>
      </c>
      <c r="K38" t="s">
        <v>1450</v>
      </c>
      <c r="L38" t="s">
        <v>1458</v>
      </c>
      <c r="M38" t="s">
        <v>1464</v>
      </c>
      <c r="N38" t="s">
        <v>1467</v>
      </c>
    </row>
    <row r="39" spans="1:14" x14ac:dyDescent="0.25">
      <c r="A39" t="s">
        <v>51</v>
      </c>
      <c r="B39">
        <v>53</v>
      </c>
      <c r="C39">
        <v>4</v>
      </c>
      <c r="D39">
        <v>25000</v>
      </c>
      <c r="E39">
        <v>20</v>
      </c>
      <c r="F39">
        <v>2.9</v>
      </c>
      <c r="G39">
        <v>80000</v>
      </c>
      <c r="H39" t="s">
        <v>1492</v>
      </c>
      <c r="I39" t="s">
        <v>1276</v>
      </c>
      <c r="J39" t="s">
        <v>1442</v>
      </c>
      <c r="K39" t="s">
        <v>1447</v>
      </c>
      <c r="L39" t="s">
        <v>1452</v>
      </c>
      <c r="M39" t="s">
        <v>1462</v>
      </c>
      <c r="N39" t="s">
        <v>1468</v>
      </c>
    </row>
    <row r="40" spans="1:14" x14ac:dyDescent="0.25">
      <c r="A40" t="s">
        <v>52</v>
      </c>
      <c r="B40">
        <v>51</v>
      </c>
      <c r="C40">
        <v>4</v>
      </c>
      <c r="D40">
        <v>18000</v>
      </c>
      <c r="E40">
        <v>0</v>
      </c>
      <c r="F40">
        <v>1.9</v>
      </c>
      <c r="G40">
        <v>72000</v>
      </c>
      <c r="H40" t="s">
        <v>1492</v>
      </c>
      <c r="I40" t="s">
        <v>1277</v>
      </c>
      <c r="J40" t="s">
        <v>1443</v>
      </c>
      <c r="K40" t="s">
        <v>1448</v>
      </c>
      <c r="L40" t="s">
        <v>1460</v>
      </c>
      <c r="M40" t="s">
        <v>1463</v>
      </c>
      <c r="N40" t="s">
        <v>1467</v>
      </c>
    </row>
    <row r="41" spans="1:14" x14ac:dyDescent="0.25">
      <c r="A41" t="s">
        <v>53</v>
      </c>
      <c r="B41">
        <v>43</v>
      </c>
      <c r="C41">
        <v>4</v>
      </c>
      <c r="D41">
        <v>23000</v>
      </c>
      <c r="E41">
        <v>0</v>
      </c>
      <c r="F41">
        <v>2.2000000000000002</v>
      </c>
      <c r="G41">
        <v>92000</v>
      </c>
      <c r="H41" t="s">
        <v>1492</v>
      </c>
      <c r="I41" t="s">
        <v>1278</v>
      </c>
      <c r="J41" t="s">
        <v>1443</v>
      </c>
      <c r="K41" t="s">
        <v>1448</v>
      </c>
      <c r="L41" t="s">
        <v>1456</v>
      </c>
      <c r="M41" t="s">
        <v>1463</v>
      </c>
      <c r="N41" t="s">
        <v>1466</v>
      </c>
    </row>
    <row r="42" spans="1:14" x14ac:dyDescent="0.25">
      <c r="A42" t="s">
        <v>54</v>
      </c>
      <c r="B42">
        <v>30</v>
      </c>
      <c r="C42">
        <v>5</v>
      </c>
      <c r="D42">
        <v>20000</v>
      </c>
      <c r="E42">
        <v>5</v>
      </c>
      <c r="F42">
        <v>3.5</v>
      </c>
      <c r="G42">
        <v>95000</v>
      </c>
      <c r="H42" t="s">
        <v>1493</v>
      </c>
      <c r="I42" t="s">
        <v>1265</v>
      </c>
      <c r="J42" t="s">
        <v>1445</v>
      </c>
      <c r="K42" t="s">
        <v>1450</v>
      </c>
      <c r="L42" t="s">
        <v>1459</v>
      </c>
      <c r="M42" t="s">
        <v>1462</v>
      </c>
      <c r="N42" t="s">
        <v>1466</v>
      </c>
    </row>
    <row r="43" spans="1:14" x14ac:dyDescent="0.25">
      <c r="A43" t="s">
        <v>55</v>
      </c>
      <c r="B43">
        <v>41</v>
      </c>
      <c r="C43">
        <v>3</v>
      </c>
      <c r="D43">
        <v>28000</v>
      </c>
      <c r="E43">
        <v>20</v>
      </c>
      <c r="F43">
        <v>1.2</v>
      </c>
      <c r="G43">
        <v>67200</v>
      </c>
      <c r="H43" t="s">
        <v>1493</v>
      </c>
      <c r="I43" t="s">
        <v>1244</v>
      </c>
      <c r="J43" t="s">
        <v>1444</v>
      </c>
      <c r="K43" t="s">
        <v>1449</v>
      </c>
      <c r="L43" t="s">
        <v>1455</v>
      </c>
      <c r="M43" t="s">
        <v>1464</v>
      </c>
      <c r="N43" t="s">
        <v>1468</v>
      </c>
    </row>
    <row r="44" spans="1:14" x14ac:dyDescent="0.25">
      <c r="A44" t="s">
        <v>56</v>
      </c>
      <c r="B44">
        <v>49</v>
      </c>
      <c r="C44">
        <v>5</v>
      </c>
      <c r="D44">
        <v>28000</v>
      </c>
      <c r="E44">
        <v>5</v>
      </c>
      <c r="F44">
        <v>1.2</v>
      </c>
      <c r="G44">
        <v>133000</v>
      </c>
      <c r="H44" t="s">
        <v>1493</v>
      </c>
      <c r="I44" t="s">
        <v>1279</v>
      </c>
      <c r="J44" t="s">
        <v>1442</v>
      </c>
      <c r="K44" t="s">
        <v>1447</v>
      </c>
      <c r="L44" t="s">
        <v>1455</v>
      </c>
      <c r="M44" t="s">
        <v>1464</v>
      </c>
      <c r="N44" t="s">
        <v>1467</v>
      </c>
    </row>
    <row r="45" spans="1:14" x14ac:dyDescent="0.25">
      <c r="A45" t="s">
        <v>57</v>
      </c>
      <c r="B45">
        <v>42</v>
      </c>
      <c r="C45">
        <v>3</v>
      </c>
      <c r="D45">
        <v>22000</v>
      </c>
      <c r="E45">
        <v>15</v>
      </c>
      <c r="F45">
        <v>1.2</v>
      </c>
      <c r="G45">
        <v>56100</v>
      </c>
      <c r="H45" t="s">
        <v>1494</v>
      </c>
      <c r="I45" t="s">
        <v>1280</v>
      </c>
      <c r="J45" t="s">
        <v>1443</v>
      </c>
      <c r="K45" t="s">
        <v>1448</v>
      </c>
      <c r="L45" t="s">
        <v>1454</v>
      </c>
      <c r="M45" t="s">
        <v>1462</v>
      </c>
      <c r="N45" t="s">
        <v>1465</v>
      </c>
    </row>
    <row r="46" spans="1:14" x14ac:dyDescent="0.25">
      <c r="A46" t="s">
        <v>58</v>
      </c>
      <c r="B46">
        <v>19</v>
      </c>
      <c r="C46">
        <v>5</v>
      </c>
      <c r="D46">
        <v>18000</v>
      </c>
      <c r="E46">
        <v>0</v>
      </c>
      <c r="F46">
        <v>2</v>
      </c>
      <c r="G46">
        <v>90000</v>
      </c>
      <c r="H46" t="s">
        <v>1494</v>
      </c>
      <c r="I46" t="s">
        <v>1281</v>
      </c>
      <c r="J46" t="s">
        <v>1445</v>
      </c>
      <c r="K46" t="s">
        <v>1450</v>
      </c>
      <c r="L46" t="s">
        <v>1460</v>
      </c>
      <c r="M46" t="s">
        <v>1463</v>
      </c>
      <c r="N46" t="s">
        <v>1467</v>
      </c>
    </row>
    <row r="47" spans="1:14" x14ac:dyDescent="0.25">
      <c r="A47" t="s">
        <v>59</v>
      </c>
      <c r="B47">
        <v>37</v>
      </c>
      <c r="C47">
        <v>5</v>
      </c>
      <c r="D47">
        <v>18000</v>
      </c>
      <c r="E47">
        <v>15</v>
      </c>
      <c r="F47">
        <v>2.9</v>
      </c>
      <c r="G47">
        <v>76500</v>
      </c>
      <c r="H47" t="s">
        <v>1495</v>
      </c>
      <c r="I47" t="s">
        <v>1282</v>
      </c>
      <c r="J47" t="s">
        <v>1441</v>
      </c>
      <c r="K47" t="s">
        <v>1446</v>
      </c>
      <c r="L47" t="s">
        <v>1461</v>
      </c>
      <c r="M47" t="s">
        <v>1462</v>
      </c>
      <c r="N47" t="s">
        <v>1467</v>
      </c>
    </row>
    <row r="48" spans="1:14" x14ac:dyDescent="0.25">
      <c r="A48" t="s">
        <v>60</v>
      </c>
      <c r="B48">
        <v>23</v>
      </c>
      <c r="C48">
        <v>5</v>
      </c>
      <c r="D48">
        <v>28000</v>
      </c>
      <c r="E48">
        <v>15</v>
      </c>
      <c r="F48">
        <v>3</v>
      </c>
      <c r="G48">
        <v>119000</v>
      </c>
      <c r="H48" t="s">
        <v>1496</v>
      </c>
      <c r="I48" t="s">
        <v>1283</v>
      </c>
      <c r="J48" t="s">
        <v>1445</v>
      </c>
      <c r="K48" t="s">
        <v>1450</v>
      </c>
      <c r="L48" t="s">
        <v>1455</v>
      </c>
      <c r="M48" t="s">
        <v>1464</v>
      </c>
      <c r="N48" t="s">
        <v>1465</v>
      </c>
    </row>
    <row r="49" spans="1:14" x14ac:dyDescent="0.25">
      <c r="A49" t="s">
        <v>61</v>
      </c>
      <c r="B49">
        <v>53</v>
      </c>
      <c r="C49">
        <v>1</v>
      </c>
      <c r="D49">
        <v>23000</v>
      </c>
      <c r="E49">
        <v>20</v>
      </c>
      <c r="F49">
        <v>2.1</v>
      </c>
      <c r="G49">
        <v>18400</v>
      </c>
      <c r="H49" t="s">
        <v>1496</v>
      </c>
      <c r="I49" t="s">
        <v>1284</v>
      </c>
      <c r="J49" t="s">
        <v>1443</v>
      </c>
      <c r="K49" t="s">
        <v>1448</v>
      </c>
      <c r="L49" t="s">
        <v>1456</v>
      </c>
      <c r="M49" t="s">
        <v>1463</v>
      </c>
      <c r="N49" t="s">
        <v>1466</v>
      </c>
    </row>
    <row r="50" spans="1:14" x14ac:dyDescent="0.25">
      <c r="A50" t="s">
        <v>62</v>
      </c>
      <c r="B50">
        <v>33</v>
      </c>
      <c r="C50">
        <v>1</v>
      </c>
      <c r="D50">
        <v>22000</v>
      </c>
      <c r="E50">
        <v>0</v>
      </c>
      <c r="F50">
        <v>2.4</v>
      </c>
      <c r="G50">
        <v>22000</v>
      </c>
      <c r="H50" t="s">
        <v>1497</v>
      </c>
      <c r="I50" t="s">
        <v>1285</v>
      </c>
      <c r="J50" t="s">
        <v>1445</v>
      </c>
      <c r="K50" t="s">
        <v>1450</v>
      </c>
      <c r="L50" t="s">
        <v>1454</v>
      </c>
      <c r="M50" t="s">
        <v>1462</v>
      </c>
      <c r="N50" t="s">
        <v>1468</v>
      </c>
    </row>
    <row r="51" spans="1:14" x14ac:dyDescent="0.25">
      <c r="A51" t="s">
        <v>63</v>
      </c>
      <c r="B51">
        <v>24</v>
      </c>
      <c r="C51">
        <v>4</v>
      </c>
      <c r="D51">
        <v>30000</v>
      </c>
      <c r="E51">
        <v>10</v>
      </c>
      <c r="F51">
        <v>3.5</v>
      </c>
      <c r="G51">
        <v>108000</v>
      </c>
      <c r="H51" t="s">
        <v>1497</v>
      </c>
      <c r="I51" t="s">
        <v>1286</v>
      </c>
      <c r="J51" t="s">
        <v>1442</v>
      </c>
      <c r="K51" t="s">
        <v>1447</v>
      </c>
      <c r="L51" t="s">
        <v>1453</v>
      </c>
      <c r="M51" t="s">
        <v>1463</v>
      </c>
      <c r="N51" t="s">
        <v>1468</v>
      </c>
    </row>
    <row r="52" spans="1:14" x14ac:dyDescent="0.25">
      <c r="A52" t="s">
        <v>64</v>
      </c>
      <c r="B52">
        <v>20</v>
      </c>
      <c r="C52">
        <v>4</v>
      </c>
      <c r="D52">
        <v>20000</v>
      </c>
      <c r="E52">
        <v>0</v>
      </c>
      <c r="F52">
        <v>4.4000000000000004</v>
      </c>
      <c r="G52">
        <v>80000</v>
      </c>
      <c r="H52" t="s">
        <v>1498</v>
      </c>
      <c r="I52" t="s">
        <v>1287</v>
      </c>
      <c r="J52" t="s">
        <v>1444</v>
      </c>
      <c r="K52" t="s">
        <v>1449</v>
      </c>
      <c r="L52" t="s">
        <v>1459</v>
      </c>
      <c r="M52" t="s">
        <v>1462</v>
      </c>
      <c r="N52" t="s">
        <v>1467</v>
      </c>
    </row>
    <row r="53" spans="1:14" x14ac:dyDescent="0.25">
      <c r="A53" t="s">
        <v>65</v>
      </c>
      <c r="B53">
        <v>49</v>
      </c>
      <c r="C53">
        <v>5</v>
      </c>
      <c r="D53">
        <v>18000</v>
      </c>
      <c r="E53">
        <v>5</v>
      </c>
      <c r="F53">
        <v>4.2</v>
      </c>
      <c r="G53">
        <v>85500</v>
      </c>
      <c r="H53" t="s">
        <v>1499</v>
      </c>
      <c r="I53" t="s">
        <v>1288</v>
      </c>
      <c r="J53" t="s">
        <v>1443</v>
      </c>
      <c r="K53" t="s">
        <v>1448</v>
      </c>
      <c r="L53" t="s">
        <v>1460</v>
      </c>
      <c r="M53" t="s">
        <v>1463</v>
      </c>
      <c r="N53" t="s">
        <v>1466</v>
      </c>
    </row>
    <row r="54" spans="1:14" x14ac:dyDescent="0.25">
      <c r="A54" t="s">
        <v>66</v>
      </c>
      <c r="B54">
        <v>20</v>
      </c>
      <c r="C54">
        <v>5</v>
      </c>
      <c r="D54">
        <v>18000</v>
      </c>
      <c r="E54">
        <v>0</v>
      </c>
      <c r="F54">
        <v>4.5</v>
      </c>
      <c r="G54">
        <v>90000</v>
      </c>
      <c r="H54" t="s">
        <v>1500</v>
      </c>
      <c r="I54" t="s">
        <v>1289</v>
      </c>
      <c r="J54" t="s">
        <v>1441</v>
      </c>
      <c r="K54" t="s">
        <v>1446</v>
      </c>
      <c r="L54" t="s">
        <v>1460</v>
      </c>
      <c r="M54" t="s">
        <v>1463</v>
      </c>
      <c r="N54" t="s">
        <v>1468</v>
      </c>
    </row>
    <row r="55" spans="1:14" x14ac:dyDescent="0.25">
      <c r="A55" t="s">
        <v>67</v>
      </c>
      <c r="B55">
        <v>44</v>
      </c>
      <c r="C55">
        <v>3</v>
      </c>
      <c r="D55">
        <v>23000</v>
      </c>
      <c r="E55">
        <v>20</v>
      </c>
      <c r="F55">
        <v>2.8</v>
      </c>
      <c r="G55">
        <v>55200</v>
      </c>
      <c r="H55" t="s">
        <v>1500</v>
      </c>
      <c r="I55" t="s">
        <v>1290</v>
      </c>
      <c r="J55" t="s">
        <v>1443</v>
      </c>
      <c r="K55" t="s">
        <v>1448</v>
      </c>
      <c r="L55" t="s">
        <v>1456</v>
      </c>
      <c r="M55" t="s">
        <v>1463</v>
      </c>
      <c r="N55" t="s">
        <v>1466</v>
      </c>
    </row>
    <row r="56" spans="1:14" x14ac:dyDescent="0.25">
      <c r="A56" t="s">
        <v>68</v>
      </c>
      <c r="B56">
        <v>18</v>
      </c>
      <c r="C56">
        <v>5</v>
      </c>
      <c r="D56">
        <v>23000</v>
      </c>
      <c r="E56">
        <v>10</v>
      </c>
      <c r="F56">
        <v>3.3</v>
      </c>
      <c r="G56">
        <v>103500</v>
      </c>
      <c r="H56" t="s">
        <v>1501</v>
      </c>
      <c r="I56" t="s">
        <v>1291</v>
      </c>
      <c r="J56" t="s">
        <v>1442</v>
      </c>
      <c r="K56" t="s">
        <v>1447</v>
      </c>
      <c r="L56" t="s">
        <v>1456</v>
      </c>
      <c r="M56" t="s">
        <v>1463</v>
      </c>
      <c r="N56" t="s">
        <v>1466</v>
      </c>
    </row>
    <row r="57" spans="1:14" x14ac:dyDescent="0.25">
      <c r="A57" t="s">
        <v>69</v>
      </c>
      <c r="B57">
        <v>42</v>
      </c>
      <c r="C57">
        <v>3</v>
      </c>
      <c r="D57">
        <v>32000</v>
      </c>
      <c r="E57">
        <v>0</v>
      </c>
      <c r="F57">
        <v>3.5</v>
      </c>
      <c r="G57">
        <v>96000</v>
      </c>
      <c r="H57" t="s">
        <v>1502</v>
      </c>
      <c r="I57" t="s">
        <v>1272</v>
      </c>
      <c r="J57" t="s">
        <v>1443</v>
      </c>
      <c r="K57" t="s">
        <v>1448</v>
      </c>
      <c r="L57" t="s">
        <v>1457</v>
      </c>
      <c r="M57" t="s">
        <v>1463</v>
      </c>
      <c r="N57" t="s">
        <v>1465</v>
      </c>
    </row>
    <row r="58" spans="1:14" x14ac:dyDescent="0.25">
      <c r="A58" t="s">
        <v>70</v>
      </c>
      <c r="B58">
        <v>29</v>
      </c>
      <c r="C58">
        <v>4</v>
      </c>
      <c r="D58">
        <v>18000</v>
      </c>
      <c r="E58">
        <v>0</v>
      </c>
      <c r="F58">
        <v>4.4000000000000004</v>
      </c>
      <c r="G58">
        <v>72000</v>
      </c>
      <c r="H58" t="s">
        <v>1503</v>
      </c>
      <c r="I58" t="s">
        <v>1292</v>
      </c>
      <c r="J58" t="s">
        <v>1444</v>
      </c>
      <c r="K58" t="s">
        <v>1449</v>
      </c>
      <c r="L58" t="s">
        <v>1461</v>
      </c>
      <c r="M58" t="s">
        <v>1462</v>
      </c>
      <c r="N58" t="s">
        <v>1465</v>
      </c>
    </row>
    <row r="59" spans="1:14" x14ac:dyDescent="0.25">
      <c r="A59" t="s">
        <v>71</v>
      </c>
      <c r="B59">
        <v>48</v>
      </c>
      <c r="C59">
        <v>5</v>
      </c>
      <c r="D59">
        <v>18000</v>
      </c>
      <c r="E59">
        <v>0</v>
      </c>
      <c r="F59">
        <v>1.2</v>
      </c>
      <c r="G59">
        <v>90000</v>
      </c>
      <c r="H59" t="s">
        <v>1503</v>
      </c>
      <c r="I59" t="s">
        <v>1293</v>
      </c>
      <c r="J59" t="s">
        <v>1444</v>
      </c>
      <c r="K59" t="s">
        <v>1449</v>
      </c>
      <c r="L59" t="s">
        <v>1461</v>
      </c>
      <c r="M59" t="s">
        <v>1462</v>
      </c>
      <c r="N59" t="s">
        <v>1468</v>
      </c>
    </row>
    <row r="60" spans="1:14" x14ac:dyDescent="0.25">
      <c r="A60" t="s">
        <v>72</v>
      </c>
      <c r="B60">
        <v>17</v>
      </c>
      <c r="C60">
        <v>5</v>
      </c>
      <c r="D60">
        <v>18000</v>
      </c>
      <c r="E60">
        <v>0</v>
      </c>
      <c r="F60">
        <v>4.4000000000000004</v>
      </c>
      <c r="G60">
        <v>90000</v>
      </c>
      <c r="H60" t="s">
        <v>1503</v>
      </c>
      <c r="I60" t="s">
        <v>1294</v>
      </c>
      <c r="J60" t="s">
        <v>1444</v>
      </c>
      <c r="K60" t="s">
        <v>1449</v>
      </c>
      <c r="L60" t="s">
        <v>1460</v>
      </c>
      <c r="M60" t="s">
        <v>1463</v>
      </c>
      <c r="N60" t="s">
        <v>1468</v>
      </c>
    </row>
    <row r="61" spans="1:14" x14ac:dyDescent="0.25">
      <c r="A61" t="s">
        <v>73</v>
      </c>
      <c r="B61">
        <v>44</v>
      </c>
      <c r="C61">
        <v>4</v>
      </c>
      <c r="D61">
        <v>25000</v>
      </c>
      <c r="E61">
        <v>0</v>
      </c>
      <c r="F61">
        <v>3.3</v>
      </c>
      <c r="G61">
        <v>100000</v>
      </c>
      <c r="H61" t="s">
        <v>1504</v>
      </c>
      <c r="I61" t="s">
        <v>1243</v>
      </c>
      <c r="J61" t="s">
        <v>1442</v>
      </c>
      <c r="K61" t="s">
        <v>1447</v>
      </c>
      <c r="L61" t="s">
        <v>1452</v>
      </c>
      <c r="M61" t="s">
        <v>1462</v>
      </c>
      <c r="N61" t="s">
        <v>1465</v>
      </c>
    </row>
    <row r="62" spans="1:14" x14ac:dyDescent="0.25">
      <c r="A62" t="s">
        <v>74</v>
      </c>
      <c r="B62">
        <v>23</v>
      </c>
      <c r="C62">
        <v>4</v>
      </c>
      <c r="D62">
        <v>18000</v>
      </c>
      <c r="E62">
        <v>5</v>
      </c>
      <c r="F62">
        <v>3.9</v>
      </c>
      <c r="G62">
        <v>68400</v>
      </c>
      <c r="H62" t="s">
        <v>1505</v>
      </c>
      <c r="I62" t="s">
        <v>1283</v>
      </c>
      <c r="J62" t="s">
        <v>1444</v>
      </c>
      <c r="K62" t="s">
        <v>1449</v>
      </c>
      <c r="L62" t="s">
        <v>1461</v>
      </c>
      <c r="M62" t="s">
        <v>1462</v>
      </c>
      <c r="N62" t="s">
        <v>1467</v>
      </c>
    </row>
    <row r="63" spans="1:14" x14ac:dyDescent="0.25">
      <c r="A63" t="s">
        <v>75</v>
      </c>
      <c r="B63">
        <v>24</v>
      </c>
      <c r="C63">
        <v>5</v>
      </c>
      <c r="D63">
        <v>28000</v>
      </c>
      <c r="E63">
        <v>0</v>
      </c>
      <c r="F63">
        <v>2.9</v>
      </c>
      <c r="G63">
        <v>140000</v>
      </c>
      <c r="H63" t="s">
        <v>1505</v>
      </c>
      <c r="I63" t="s">
        <v>1295</v>
      </c>
      <c r="J63" t="s">
        <v>1443</v>
      </c>
      <c r="K63" t="s">
        <v>1448</v>
      </c>
      <c r="L63" t="s">
        <v>1455</v>
      </c>
      <c r="M63" t="s">
        <v>1464</v>
      </c>
      <c r="N63" t="s">
        <v>1468</v>
      </c>
    </row>
    <row r="64" spans="1:14" x14ac:dyDescent="0.25">
      <c r="A64" t="s">
        <v>76</v>
      </c>
      <c r="B64">
        <v>32</v>
      </c>
      <c r="C64">
        <v>5</v>
      </c>
      <c r="D64">
        <v>18000</v>
      </c>
      <c r="E64">
        <v>20</v>
      </c>
      <c r="F64">
        <v>3.2</v>
      </c>
      <c r="G64">
        <v>72000</v>
      </c>
      <c r="H64" t="s">
        <v>1505</v>
      </c>
      <c r="I64" t="s">
        <v>1275</v>
      </c>
      <c r="J64" t="s">
        <v>1441</v>
      </c>
      <c r="K64" t="s">
        <v>1446</v>
      </c>
      <c r="L64" t="s">
        <v>1461</v>
      </c>
      <c r="M64" t="s">
        <v>1462</v>
      </c>
      <c r="N64" t="s">
        <v>1466</v>
      </c>
    </row>
    <row r="65" spans="1:14" x14ac:dyDescent="0.25">
      <c r="A65" t="s">
        <v>77</v>
      </c>
      <c r="B65">
        <v>48</v>
      </c>
      <c r="C65">
        <v>3</v>
      </c>
      <c r="D65">
        <v>23000</v>
      </c>
      <c r="E65">
        <v>0</v>
      </c>
      <c r="F65">
        <v>1.4</v>
      </c>
      <c r="G65">
        <v>69000</v>
      </c>
      <c r="H65" t="s">
        <v>1505</v>
      </c>
      <c r="I65" t="s">
        <v>1296</v>
      </c>
      <c r="J65" t="s">
        <v>1444</v>
      </c>
      <c r="K65" t="s">
        <v>1449</v>
      </c>
      <c r="L65" t="s">
        <v>1456</v>
      </c>
      <c r="M65" t="s">
        <v>1463</v>
      </c>
      <c r="N65" t="s">
        <v>1467</v>
      </c>
    </row>
    <row r="66" spans="1:14" x14ac:dyDescent="0.25">
      <c r="A66" t="s">
        <v>78</v>
      </c>
      <c r="B66">
        <v>18</v>
      </c>
      <c r="C66">
        <v>4</v>
      </c>
      <c r="D66">
        <v>25000</v>
      </c>
      <c r="E66">
        <v>0</v>
      </c>
      <c r="F66">
        <v>4.8</v>
      </c>
      <c r="G66">
        <v>100000</v>
      </c>
      <c r="H66" t="s">
        <v>1505</v>
      </c>
      <c r="I66" t="s">
        <v>1297</v>
      </c>
      <c r="J66" t="s">
        <v>1444</v>
      </c>
      <c r="K66" t="s">
        <v>1449</v>
      </c>
      <c r="L66" t="s">
        <v>1452</v>
      </c>
      <c r="M66" t="s">
        <v>1462</v>
      </c>
      <c r="N66" t="s">
        <v>1468</v>
      </c>
    </row>
    <row r="67" spans="1:14" x14ac:dyDescent="0.25">
      <c r="A67" t="s">
        <v>79</v>
      </c>
      <c r="B67">
        <v>48</v>
      </c>
      <c r="C67">
        <v>3</v>
      </c>
      <c r="D67">
        <v>20000</v>
      </c>
      <c r="E67">
        <v>20</v>
      </c>
      <c r="F67">
        <v>2.2999999999999998</v>
      </c>
      <c r="G67">
        <v>48000</v>
      </c>
      <c r="H67" t="s">
        <v>1506</v>
      </c>
      <c r="I67" t="s">
        <v>1298</v>
      </c>
      <c r="J67" t="s">
        <v>1445</v>
      </c>
      <c r="K67" t="s">
        <v>1450</v>
      </c>
      <c r="L67" t="s">
        <v>1459</v>
      </c>
      <c r="M67" t="s">
        <v>1462</v>
      </c>
      <c r="N67" t="s">
        <v>1466</v>
      </c>
    </row>
    <row r="68" spans="1:14" x14ac:dyDescent="0.25">
      <c r="A68" t="s">
        <v>80</v>
      </c>
      <c r="B68">
        <v>38</v>
      </c>
      <c r="C68">
        <v>3</v>
      </c>
      <c r="D68">
        <v>32000</v>
      </c>
      <c r="E68">
        <v>0</v>
      </c>
      <c r="F68">
        <v>3.8</v>
      </c>
      <c r="G68">
        <v>96000</v>
      </c>
      <c r="H68" t="s">
        <v>1507</v>
      </c>
      <c r="I68" t="s">
        <v>1299</v>
      </c>
      <c r="J68" t="s">
        <v>1443</v>
      </c>
      <c r="K68" t="s">
        <v>1448</v>
      </c>
      <c r="L68" t="s">
        <v>1457</v>
      </c>
      <c r="M68" t="s">
        <v>1463</v>
      </c>
      <c r="N68" t="s">
        <v>1465</v>
      </c>
    </row>
    <row r="69" spans="1:14" x14ac:dyDescent="0.25">
      <c r="A69" t="s">
        <v>81</v>
      </c>
      <c r="B69">
        <v>37</v>
      </c>
      <c r="C69">
        <v>1</v>
      </c>
      <c r="D69">
        <v>25000</v>
      </c>
      <c r="E69">
        <v>0</v>
      </c>
      <c r="F69">
        <v>3.7</v>
      </c>
      <c r="G69">
        <v>25000</v>
      </c>
      <c r="H69" t="s">
        <v>1508</v>
      </c>
      <c r="I69" t="s">
        <v>1300</v>
      </c>
      <c r="J69" t="s">
        <v>1442</v>
      </c>
      <c r="K69" t="s">
        <v>1447</v>
      </c>
      <c r="L69" t="s">
        <v>1452</v>
      </c>
      <c r="M69" t="s">
        <v>1462</v>
      </c>
      <c r="N69" t="s">
        <v>1465</v>
      </c>
    </row>
    <row r="70" spans="1:14" x14ac:dyDescent="0.25">
      <c r="A70" t="s">
        <v>82</v>
      </c>
      <c r="B70">
        <v>53</v>
      </c>
      <c r="C70">
        <v>2</v>
      </c>
      <c r="D70">
        <v>22000</v>
      </c>
      <c r="E70">
        <v>0</v>
      </c>
      <c r="F70">
        <v>3.3</v>
      </c>
      <c r="G70">
        <v>44000</v>
      </c>
      <c r="H70" t="s">
        <v>1508</v>
      </c>
      <c r="I70" t="s">
        <v>1301</v>
      </c>
      <c r="J70" t="s">
        <v>1445</v>
      </c>
      <c r="K70" t="s">
        <v>1450</v>
      </c>
      <c r="L70" t="s">
        <v>1454</v>
      </c>
      <c r="M70" t="s">
        <v>1462</v>
      </c>
      <c r="N70" t="s">
        <v>1466</v>
      </c>
    </row>
    <row r="71" spans="1:14" x14ac:dyDescent="0.25">
      <c r="A71" t="s">
        <v>83</v>
      </c>
      <c r="B71">
        <v>18</v>
      </c>
      <c r="C71">
        <v>3</v>
      </c>
      <c r="D71">
        <v>18000</v>
      </c>
      <c r="E71">
        <v>0</v>
      </c>
      <c r="F71">
        <v>2.1</v>
      </c>
      <c r="G71">
        <v>54000</v>
      </c>
      <c r="H71" t="s">
        <v>1509</v>
      </c>
      <c r="I71" t="s">
        <v>1302</v>
      </c>
      <c r="J71" t="s">
        <v>1441</v>
      </c>
      <c r="K71" t="s">
        <v>1446</v>
      </c>
      <c r="L71" t="s">
        <v>1461</v>
      </c>
      <c r="M71" t="s">
        <v>1462</v>
      </c>
      <c r="N71" t="s">
        <v>1465</v>
      </c>
    </row>
    <row r="72" spans="1:14" x14ac:dyDescent="0.25">
      <c r="A72" t="s">
        <v>84</v>
      </c>
      <c r="B72">
        <v>43</v>
      </c>
      <c r="C72">
        <v>3</v>
      </c>
      <c r="D72">
        <v>20000</v>
      </c>
      <c r="E72">
        <v>5</v>
      </c>
      <c r="F72">
        <v>4.8</v>
      </c>
      <c r="G72">
        <v>57000</v>
      </c>
      <c r="H72" t="s">
        <v>1509</v>
      </c>
      <c r="I72" t="s">
        <v>1303</v>
      </c>
      <c r="J72" t="s">
        <v>1441</v>
      </c>
      <c r="K72" t="s">
        <v>1446</v>
      </c>
      <c r="L72" t="s">
        <v>1459</v>
      </c>
      <c r="M72" t="s">
        <v>1462</v>
      </c>
      <c r="N72" t="s">
        <v>1465</v>
      </c>
    </row>
    <row r="73" spans="1:14" x14ac:dyDescent="0.25">
      <c r="A73" t="s">
        <v>85</v>
      </c>
      <c r="B73">
        <v>51</v>
      </c>
      <c r="C73">
        <v>1</v>
      </c>
      <c r="D73">
        <v>18000</v>
      </c>
      <c r="E73">
        <v>0</v>
      </c>
      <c r="F73">
        <v>2.7</v>
      </c>
      <c r="G73">
        <v>18000</v>
      </c>
      <c r="H73" t="s">
        <v>1510</v>
      </c>
      <c r="I73" t="s">
        <v>1304</v>
      </c>
      <c r="J73" t="s">
        <v>1445</v>
      </c>
      <c r="K73" t="s">
        <v>1450</v>
      </c>
      <c r="L73" t="s">
        <v>1460</v>
      </c>
      <c r="M73" t="s">
        <v>1463</v>
      </c>
      <c r="N73" t="s">
        <v>1467</v>
      </c>
    </row>
    <row r="74" spans="1:14" x14ac:dyDescent="0.25">
      <c r="A74" t="s">
        <v>86</v>
      </c>
      <c r="B74">
        <v>35</v>
      </c>
      <c r="C74">
        <v>1</v>
      </c>
      <c r="D74">
        <v>27000</v>
      </c>
      <c r="E74">
        <v>5</v>
      </c>
      <c r="F74">
        <v>2.6</v>
      </c>
      <c r="G74">
        <v>25650</v>
      </c>
      <c r="H74" t="s">
        <v>1510</v>
      </c>
      <c r="I74" t="s">
        <v>1305</v>
      </c>
      <c r="J74" t="s">
        <v>1441</v>
      </c>
      <c r="K74" t="s">
        <v>1446</v>
      </c>
      <c r="L74" t="s">
        <v>1458</v>
      </c>
      <c r="M74" t="s">
        <v>1464</v>
      </c>
      <c r="N74" t="s">
        <v>1468</v>
      </c>
    </row>
    <row r="75" spans="1:14" x14ac:dyDescent="0.25">
      <c r="A75" t="s">
        <v>87</v>
      </c>
      <c r="B75">
        <v>48</v>
      </c>
      <c r="C75">
        <v>4</v>
      </c>
      <c r="D75">
        <v>18000</v>
      </c>
      <c r="E75">
        <v>0</v>
      </c>
      <c r="F75">
        <v>1.7</v>
      </c>
      <c r="G75">
        <v>72000</v>
      </c>
      <c r="H75" t="s">
        <v>1511</v>
      </c>
      <c r="I75" t="s">
        <v>1306</v>
      </c>
      <c r="J75" t="s">
        <v>1444</v>
      </c>
      <c r="K75" t="s">
        <v>1449</v>
      </c>
      <c r="L75" t="s">
        <v>1460</v>
      </c>
      <c r="M75" t="s">
        <v>1463</v>
      </c>
      <c r="N75" t="s">
        <v>1467</v>
      </c>
    </row>
    <row r="76" spans="1:14" x14ac:dyDescent="0.25">
      <c r="A76" t="s">
        <v>88</v>
      </c>
      <c r="B76">
        <v>48</v>
      </c>
      <c r="C76">
        <v>4</v>
      </c>
      <c r="D76">
        <v>32000</v>
      </c>
      <c r="E76">
        <v>0</v>
      </c>
      <c r="F76">
        <v>1.3</v>
      </c>
      <c r="G76">
        <v>128000</v>
      </c>
      <c r="H76" t="s">
        <v>1511</v>
      </c>
      <c r="I76" t="s">
        <v>1307</v>
      </c>
      <c r="J76" t="s">
        <v>1445</v>
      </c>
      <c r="K76" t="s">
        <v>1450</v>
      </c>
      <c r="L76" t="s">
        <v>1457</v>
      </c>
      <c r="M76" t="s">
        <v>1463</v>
      </c>
      <c r="N76" t="s">
        <v>1466</v>
      </c>
    </row>
    <row r="77" spans="1:14" x14ac:dyDescent="0.25">
      <c r="A77" t="s">
        <v>89</v>
      </c>
      <c r="B77">
        <v>25</v>
      </c>
      <c r="C77">
        <v>1</v>
      </c>
      <c r="D77">
        <v>25000</v>
      </c>
      <c r="E77">
        <v>10</v>
      </c>
      <c r="F77">
        <v>2.4</v>
      </c>
      <c r="G77">
        <v>22500</v>
      </c>
      <c r="H77" t="s">
        <v>1511</v>
      </c>
      <c r="I77" t="s">
        <v>1308</v>
      </c>
      <c r="J77" t="s">
        <v>1445</v>
      </c>
      <c r="K77" t="s">
        <v>1450</v>
      </c>
      <c r="L77" t="s">
        <v>1452</v>
      </c>
      <c r="M77" t="s">
        <v>1462</v>
      </c>
      <c r="N77" t="s">
        <v>1468</v>
      </c>
    </row>
    <row r="78" spans="1:14" x14ac:dyDescent="0.25">
      <c r="A78" t="s">
        <v>90</v>
      </c>
      <c r="B78">
        <v>38</v>
      </c>
      <c r="C78">
        <v>1</v>
      </c>
      <c r="D78">
        <v>23000</v>
      </c>
      <c r="E78">
        <v>15</v>
      </c>
      <c r="F78">
        <v>2</v>
      </c>
      <c r="G78">
        <v>19550</v>
      </c>
      <c r="H78" t="s">
        <v>1511</v>
      </c>
      <c r="I78" t="s">
        <v>1309</v>
      </c>
      <c r="J78" t="s">
        <v>1442</v>
      </c>
      <c r="K78" t="s">
        <v>1447</v>
      </c>
      <c r="L78" t="s">
        <v>1456</v>
      </c>
      <c r="M78" t="s">
        <v>1463</v>
      </c>
      <c r="N78" t="s">
        <v>1467</v>
      </c>
    </row>
    <row r="79" spans="1:14" x14ac:dyDescent="0.25">
      <c r="A79" t="s">
        <v>91</v>
      </c>
      <c r="B79">
        <v>46</v>
      </c>
      <c r="C79">
        <v>2</v>
      </c>
      <c r="D79">
        <v>28000</v>
      </c>
      <c r="E79">
        <v>20</v>
      </c>
      <c r="F79">
        <v>2</v>
      </c>
      <c r="G79">
        <v>44800</v>
      </c>
      <c r="H79" t="s">
        <v>1511</v>
      </c>
      <c r="I79" t="s">
        <v>1255</v>
      </c>
      <c r="J79" t="s">
        <v>1442</v>
      </c>
      <c r="K79" t="s">
        <v>1447</v>
      </c>
      <c r="L79" t="s">
        <v>1455</v>
      </c>
      <c r="M79" t="s">
        <v>1464</v>
      </c>
      <c r="N79" t="s">
        <v>1466</v>
      </c>
    </row>
    <row r="80" spans="1:14" x14ac:dyDescent="0.25">
      <c r="A80" t="s">
        <v>92</v>
      </c>
      <c r="B80">
        <v>24</v>
      </c>
      <c r="C80">
        <v>5</v>
      </c>
      <c r="D80">
        <v>30000</v>
      </c>
      <c r="E80">
        <v>0</v>
      </c>
      <c r="F80">
        <v>4.5</v>
      </c>
      <c r="G80">
        <v>150000</v>
      </c>
      <c r="H80" t="s">
        <v>1512</v>
      </c>
      <c r="I80" t="s">
        <v>1286</v>
      </c>
      <c r="J80" t="s">
        <v>1442</v>
      </c>
      <c r="K80" t="s">
        <v>1447</v>
      </c>
      <c r="L80" t="s">
        <v>1453</v>
      </c>
      <c r="M80" t="s">
        <v>1463</v>
      </c>
      <c r="N80" t="s">
        <v>1465</v>
      </c>
    </row>
    <row r="81" spans="1:14" x14ac:dyDescent="0.25">
      <c r="A81" t="s">
        <v>93</v>
      </c>
      <c r="B81">
        <v>19</v>
      </c>
      <c r="C81">
        <v>1</v>
      </c>
      <c r="D81">
        <v>28000</v>
      </c>
      <c r="E81">
        <v>20</v>
      </c>
      <c r="F81">
        <v>3</v>
      </c>
      <c r="G81">
        <v>22400</v>
      </c>
      <c r="H81" t="s">
        <v>1513</v>
      </c>
      <c r="I81" t="s">
        <v>1310</v>
      </c>
      <c r="J81" t="s">
        <v>1443</v>
      </c>
      <c r="K81" t="s">
        <v>1448</v>
      </c>
      <c r="L81" t="s">
        <v>1455</v>
      </c>
      <c r="M81" t="s">
        <v>1464</v>
      </c>
      <c r="N81" t="s">
        <v>1467</v>
      </c>
    </row>
    <row r="82" spans="1:14" x14ac:dyDescent="0.25">
      <c r="A82" t="s">
        <v>94</v>
      </c>
      <c r="B82">
        <v>43</v>
      </c>
      <c r="C82">
        <v>3</v>
      </c>
      <c r="D82">
        <v>32000</v>
      </c>
      <c r="E82">
        <v>5</v>
      </c>
      <c r="F82">
        <v>3.5</v>
      </c>
      <c r="G82">
        <v>91200</v>
      </c>
      <c r="H82" t="s">
        <v>1513</v>
      </c>
      <c r="I82" t="s">
        <v>1311</v>
      </c>
      <c r="J82" t="s">
        <v>1442</v>
      </c>
      <c r="K82" t="s">
        <v>1447</v>
      </c>
      <c r="L82" t="s">
        <v>1457</v>
      </c>
      <c r="M82" t="s">
        <v>1463</v>
      </c>
      <c r="N82" t="s">
        <v>1467</v>
      </c>
    </row>
    <row r="83" spans="1:14" x14ac:dyDescent="0.25">
      <c r="A83" t="s">
        <v>95</v>
      </c>
      <c r="B83">
        <v>19</v>
      </c>
      <c r="C83">
        <v>2</v>
      </c>
      <c r="D83">
        <v>22000</v>
      </c>
      <c r="E83">
        <v>0</v>
      </c>
      <c r="F83">
        <v>1.6</v>
      </c>
      <c r="G83">
        <v>44000</v>
      </c>
      <c r="H83" t="s">
        <v>1514</v>
      </c>
      <c r="I83" t="s">
        <v>1247</v>
      </c>
      <c r="J83" t="s">
        <v>1442</v>
      </c>
      <c r="K83" t="s">
        <v>1447</v>
      </c>
      <c r="L83" t="s">
        <v>1454</v>
      </c>
      <c r="M83" t="s">
        <v>1462</v>
      </c>
      <c r="N83" t="s">
        <v>1468</v>
      </c>
    </row>
    <row r="84" spans="1:14" x14ac:dyDescent="0.25">
      <c r="A84" t="s">
        <v>96</v>
      </c>
      <c r="B84">
        <v>54</v>
      </c>
      <c r="C84">
        <v>4</v>
      </c>
      <c r="D84">
        <v>25000</v>
      </c>
      <c r="E84">
        <v>20</v>
      </c>
      <c r="F84">
        <v>2.2000000000000002</v>
      </c>
      <c r="G84">
        <v>80000</v>
      </c>
      <c r="H84" t="s">
        <v>1514</v>
      </c>
      <c r="I84" t="s">
        <v>1312</v>
      </c>
      <c r="J84" t="s">
        <v>1443</v>
      </c>
      <c r="K84" t="s">
        <v>1448</v>
      </c>
      <c r="L84" t="s">
        <v>1452</v>
      </c>
      <c r="M84" t="s">
        <v>1462</v>
      </c>
      <c r="N84" t="s">
        <v>1468</v>
      </c>
    </row>
    <row r="85" spans="1:14" x14ac:dyDescent="0.25">
      <c r="A85" t="s">
        <v>97</v>
      </c>
      <c r="B85">
        <v>24</v>
      </c>
      <c r="C85">
        <v>4</v>
      </c>
      <c r="D85">
        <v>30000</v>
      </c>
      <c r="E85">
        <v>15</v>
      </c>
      <c r="F85">
        <v>1.9</v>
      </c>
      <c r="G85">
        <v>102000</v>
      </c>
      <c r="H85" t="s">
        <v>1514</v>
      </c>
      <c r="I85" t="s">
        <v>1313</v>
      </c>
      <c r="J85" t="s">
        <v>1441</v>
      </c>
      <c r="K85" t="s">
        <v>1446</v>
      </c>
      <c r="L85" t="s">
        <v>1453</v>
      </c>
      <c r="M85" t="s">
        <v>1463</v>
      </c>
      <c r="N85" t="s">
        <v>1465</v>
      </c>
    </row>
    <row r="86" spans="1:14" x14ac:dyDescent="0.25">
      <c r="A86" t="s">
        <v>98</v>
      </c>
      <c r="B86">
        <v>22</v>
      </c>
      <c r="C86">
        <v>4</v>
      </c>
      <c r="D86">
        <v>27000</v>
      </c>
      <c r="E86">
        <v>5</v>
      </c>
      <c r="F86">
        <v>3.5</v>
      </c>
      <c r="G86">
        <v>102600</v>
      </c>
      <c r="H86" t="s">
        <v>1514</v>
      </c>
      <c r="I86" t="s">
        <v>1314</v>
      </c>
      <c r="J86" t="s">
        <v>1444</v>
      </c>
      <c r="K86" t="s">
        <v>1449</v>
      </c>
      <c r="L86" t="s">
        <v>1458</v>
      </c>
      <c r="M86" t="s">
        <v>1464</v>
      </c>
      <c r="N86" t="s">
        <v>1468</v>
      </c>
    </row>
    <row r="87" spans="1:14" x14ac:dyDescent="0.25">
      <c r="A87" t="s">
        <v>99</v>
      </c>
      <c r="B87">
        <v>53</v>
      </c>
      <c r="C87">
        <v>5</v>
      </c>
      <c r="D87">
        <v>30000</v>
      </c>
      <c r="E87">
        <v>0</v>
      </c>
      <c r="F87">
        <v>3.6</v>
      </c>
      <c r="G87">
        <v>150000</v>
      </c>
      <c r="H87" t="s">
        <v>1514</v>
      </c>
      <c r="I87" t="s">
        <v>1315</v>
      </c>
      <c r="J87" t="s">
        <v>1443</v>
      </c>
      <c r="K87" t="s">
        <v>1448</v>
      </c>
      <c r="L87" t="s">
        <v>1453</v>
      </c>
      <c r="M87" t="s">
        <v>1463</v>
      </c>
      <c r="N87" t="s">
        <v>1467</v>
      </c>
    </row>
    <row r="88" spans="1:14" x14ac:dyDescent="0.25">
      <c r="A88" t="s">
        <v>100</v>
      </c>
      <c r="B88">
        <v>49</v>
      </c>
      <c r="C88">
        <v>1</v>
      </c>
      <c r="D88">
        <v>22000</v>
      </c>
      <c r="E88">
        <v>0</v>
      </c>
      <c r="F88">
        <v>1.3</v>
      </c>
      <c r="G88">
        <v>22000</v>
      </c>
      <c r="H88" t="s">
        <v>1515</v>
      </c>
      <c r="I88" t="s">
        <v>1316</v>
      </c>
      <c r="J88" t="s">
        <v>1441</v>
      </c>
      <c r="K88" t="s">
        <v>1446</v>
      </c>
      <c r="L88" t="s">
        <v>1454</v>
      </c>
      <c r="M88" t="s">
        <v>1462</v>
      </c>
      <c r="N88" t="s">
        <v>1466</v>
      </c>
    </row>
    <row r="89" spans="1:14" x14ac:dyDescent="0.25">
      <c r="A89" t="s">
        <v>101</v>
      </c>
      <c r="B89">
        <v>19</v>
      </c>
      <c r="C89">
        <v>2</v>
      </c>
      <c r="D89">
        <v>18000</v>
      </c>
      <c r="E89">
        <v>10</v>
      </c>
      <c r="F89">
        <v>4</v>
      </c>
      <c r="G89">
        <v>32400</v>
      </c>
      <c r="H89" t="s">
        <v>1515</v>
      </c>
      <c r="I89" t="s">
        <v>1317</v>
      </c>
      <c r="J89" t="s">
        <v>1445</v>
      </c>
      <c r="K89" t="s">
        <v>1450</v>
      </c>
      <c r="L89" t="s">
        <v>1460</v>
      </c>
      <c r="M89" t="s">
        <v>1463</v>
      </c>
      <c r="N89" t="s">
        <v>1467</v>
      </c>
    </row>
    <row r="90" spans="1:14" x14ac:dyDescent="0.25">
      <c r="A90" t="s">
        <v>102</v>
      </c>
      <c r="B90">
        <v>48</v>
      </c>
      <c r="C90">
        <v>3</v>
      </c>
      <c r="D90">
        <v>18000</v>
      </c>
      <c r="E90">
        <v>0</v>
      </c>
      <c r="F90">
        <v>3.1</v>
      </c>
      <c r="G90">
        <v>54000</v>
      </c>
      <c r="H90" t="s">
        <v>1516</v>
      </c>
      <c r="I90" t="s">
        <v>1266</v>
      </c>
      <c r="J90" t="s">
        <v>1441</v>
      </c>
      <c r="K90" t="s">
        <v>1446</v>
      </c>
      <c r="L90" t="s">
        <v>1460</v>
      </c>
      <c r="M90" t="s">
        <v>1463</v>
      </c>
      <c r="N90" t="s">
        <v>1466</v>
      </c>
    </row>
    <row r="91" spans="1:14" x14ac:dyDescent="0.25">
      <c r="A91" t="s">
        <v>103</v>
      </c>
      <c r="B91">
        <v>42</v>
      </c>
      <c r="C91">
        <v>3</v>
      </c>
      <c r="D91">
        <v>18000</v>
      </c>
      <c r="E91">
        <v>0</v>
      </c>
      <c r="F91">
        <v>2.2999999999999998</v>
      </c>
      <c r="G91">
        <v>54000</v>
      </c>
      <c r="H91" t="s">
        <v>1516</v>
      </c>
      <c r="I91" t="s">
        <v>1272</v>
      </c>
      <c r="J91" t="s">
        <v>1441</v>
      </c>
      <c r="K91" t="s">
        <v>1446</v>
      </c>
      <c r="L91" t="s">
        <v>1461</v>
      </c>
      <c r="M91" t="s">
        <v>1462</v>
      </c>
      <c r="N91" t="s">
        <v>1468</v>
      </c>
    </row>
    <row r="92" spans="1:14" x14ac:dyDescent="0.25">
      <c r="A92" t="s">
        <v>104</v>
      </c>
      <c r="B92">
        <v>41</v>
      </c>
      <c r="C92">
        <v>3</v>
      </c>
      <c r="D92">
        <v>18000</v>
      </c>
      <c r="E92">
        <v>0</v>
      </c>
      <c r="F92">
        <v>5</v>
      </c>
      <c r="G92">
        <v>54000</v>
      </c>
      <c r="H92" t="s">
        <v>1516</v>
      </c>
      <c r="I92" t="s">
        <v>1318</v>
      </c>
      <c r="J92" t="s">
        <v>1441</v>
      </c>
      <c r="K92" t="s">
        <v>1446</v>
      </c>
      <c r="L92" t="s">
        <v>1461</v>
      </c>
      <c r="M92" t="s">
        <v>1462</v>
      </c>
      <c r="N92" t="s">
        <v>1466</v>
      </c>
    </row>
    <row r="93" spans="1:14" x14ac:dyDescent="0.25">
      <c r="A93" t="s">
        <v>105</v>
      </c>
      <c r="B93">
        <v>20</v>
      </c>
      <c r="C93">
        <v>4</v>
      </c>
      <c r="D93">
        <v>25000</v>
      </c>
      <c r="E93">
        <v>10</v>
      </c>
      <c r="F93">
        <v>2.6</v>
      </c>
      <c r="G93">
        <v>90000</v>
      </c>
      <c r="H93" t="s">
        <v>1516</v>
      </c>
      <c r="I93" t="s">
        <v>1319</v>
      </c>
      <c r="J93" t="s">
        <v>1445</v>
      </c>
      <c r="K93" t="s">
        <v>1450</v>
      </c>
      <c r="L93" t="s">
        <v>1452</v>
      </c>
      <c r="M93" t="s">
        <v>1462</v>
      </c>
      <c r="N93" t="s">
        <v>1466</v>
      </c>
    </row>
    <row r="94" spans="1:14" x14ac:dyDescent="0.25">
      <c r="A94" t="s">
        <v>106</v>
      </c>
      <c r="B94">
        <v>20</v>
      </c>
      <c r="C94">
        <v>3</v>
      </c>
      <c r="D94">
        <v>30000</v>
      </c>
      <c r="E94">
        <v>10</v>
      </c>
      <c r="F94">
        <v>2.6</v>
      </c>
      <c r="G94">
        <v>81000</v>
      </c>
      <c r="H94" t="s">
        <v>1517</v>
      </c>
      <c r="I94" t="s">
        <v>1289</v>
      </c>
      <c r="J94" t="s">
        <v>1443</v>
      </c>
      <c r="K94" t="s">
        <v>1448</v>
      </c>
      <c r="L94" t="s">
        <v>1453</v>
      </c>
      <c r="M94" t="s">
        <v>1463</v>
      </c>
      <c r="N94" t="s">
        <v>1466</v>
      </c>
    </row>
    <row r="95" spans="1:14" x14ac:dyDescent="0.25">
      <c r="A95" t="s">
        <v>107</v>
      </c>
      <c r="B95">
        <v>20</v>
      </c>
      <c r="C95">
        <v>3</v>
      </c>
      <c r="D95">
        <v>18000</v>
      </c>
      <c r="E95">
        <v>0</v>
      </c>
      <c r="F95">
        <v>3.5</v>
      </c>
      <c r="G95">
        <v>54000</v>
      </c>
      <c r="H95" t="s">
        <v>1517</v>
      </c>
      <c r="I95" t="s">
        <v>1262</v>
      </c>
      <c r="J95" t="s">
        <v>1444</v>
      </c>
      <c r="K95" t="s">
        <v>1449</v>
      </c>
      <c r="L95" t="s">
        <v>1461</v>
      </c>
      <c r="M95" t="s">
        <v>1462</v>
      </c>
      <c r="N95" t="s">
        <v>1466</v>
      </c>
    </row>
    <row r="96" spans="1:14" x14ac:dyDescent="0.25">
      <c r="A96" t="s">
        <v>108</v>
      </c>
      <c r="B96">
        <v>42</v>
      </c>
      <c r="C96">
        <v>4</v>
      </c>
      <c r="D96">
        <v>22000</v>
      </c>
      <c r="E96">
        <v>5</v>
      </c>
      <c r="F96">
        <v>1.1000000000000001</v>
      </c>
      <c r="G96">
        <v>83600</v>
      </c>
      <c r="H96" t="s">
        <v>1518</v>
      </c>
      <c r="I96" t="s">
        <v>1320</v>
      </c>
      <c r="J96" t="s">
        <v>1445</v>
      </c>
      <c r="K96" t="s">
        <v>1450</v>
      </c>
      <c r="L96" t="s">
        <v>1454</v>
      </c>
      <c r="M96" t="s">
        <v>1462</v>
      </c>
      <c r="N96" t="s">
        <v>1466</v>
      </c>
    </row>
    <row r="97" spans="1:14" x14ac:dyDescent="0.25">
      <c r="A97" t="s">
        <v>109</v>
      </c>
      <c r="B97">
        <v>36</v>
      </c>
      <c r="C97">
        <v>2</v>
      </c>
      <c r="D97">
        <v>28000</v>
      </c>
      <c r="E97">
        <v>20</v>
      </c>
      <c r="F97">
        <v>4.4000000000000004</v>
      </c>
      <c r="G97">
        <v>44800</v>
      </c>
      <c r="H97" t="s">
        <v>1518</v>
      </c>
      <c r="I97" t="s">
        <v>1267</v>
      </c>
      <c r="J97" t="s">
        <v>1443</v>
      </c>
      <c r="K97" t="s">
        <v>1448</v>
      </c>
      <c r="L97" t="s">
        <v>1455</v>
      </c>
      <c r="M97" t="s">
        <v>1464</v>
      </c>
      <c r="N97" t="s">
        <v>1465</v>
      </c>
    </row>
    <row r="98" spans="1:14" x14ac:dyDescent="0.25">
      <c r="A98" t="s">
        <v>110</v>
      </c>
      <c r="B98">
        <v>53</v>
      </c>
      <c r="C98">
        <v>4</v>
      </c>
      <c r="D98">
        <v>28000</v>
      </c>
      <c r="E98">
        <v>0</v>
      </c>
      <c r="F98">
        <v>3.1</v>
      </c>
      <c r="G98">
        <v>112000</v>
      </c>
      <c r="H98" t="s">
        <v>1519</v>
      </c>
      <c r="I98" t="s">
        <v>1276</v>
      </c>
      <c r="J98" t="s">
        <v>1445</v>
      </c>
      <c r="K98" t="s">
        <v>1450</v>
      </c>
      <c r="L98" t="s">
        <v>1455</v>
      </c>
      <c r="M98" t="s">
        <v>1464</v>
      </c>
      <c r="N98" t="s">
        <v>1467</v>
      </c>
    </row>
    <row r="99" spans="1:14" x14ac:dyDescent="0.25">
      <c r="A99" t="s">
        <v>111</v>
      </c>
      <c r="B99">
        <v>48</v>
      </c>
      <c r="C99">
        <v>2</v>
      </c>
      <c r="D99">
        <v>27000</v>
      </c>
      <c r="E99">
        <v>0</v>
      </c>
      <c r="F99">
        <v>2.9</v>
      </c>
      <c r="G99">
        <v>54000</v>
      </c>
      <c r="H99" t="s">
        <v>1519</v>
      </c>
      <c r="I99" t="s">
        <v>1293</v>
      </c>
      <c r="J99" t="s">
        <v>1441</v>
      </c>
      <c r="K99" t="s">
        <v>1446</v>
      </c>
      <c r="L99" t="s">
        <v>1458</v>
      </c>
      <c r="M99" t="s">
        <v>1464</v>
      </c>
      <c r="N99" t="s">
        <v>1468</v>
      </c>
    </row>
    <row r="100" spans="1:14" x14ac:dyDescent="0.25">
      <c r="A100" t="s">
        <v>112</v>
      </c>
      <c r="B100">
        <v>24</v>
      </c>
      <c r="C100">
        <v>1</v>
      </c>
      <c r="D100">
        <v>23000</v>
      </c>
      <c r="E100">
        <v>0</v>
      </c>
      <c r="F100">
        <v>1.8</v>
      </c>
      <c r="G100">
        <v>23000</v>
      </c>
      <c r="H100" t="s">
        <v>1519</v>
      </c>
      <c r="I100" t="s">
        <v>1321</v>
      </c>
      <c r="J100" t="s">
        <v>1444</v>
      </c>
      <c r="K100" t="s">
        <v>1449</v>
      </c>
      <c r="L100" t="s">
        <v>1456</v>
      </c>
      <c r="M100" t="s">
        <v>1463</v>
      </c>
      <c r="N100" t="s">
        <v>1465</v>
      </c>
    </row>
    <row r="101" spans="1:14" x14ac:dyDescent="0.25">
      <c r="A101" t="s">
        <v>113</v>
      </c>
      <c r="B101">
        <v>51</v>
      </c>
      <c r="C101">
        <v>4</v>
      </c>
      <c r="D101">
        <v>28000</v>
      </c>
      <c r="E101">
        <v>0</v>
      </c>
      <c r="F101">
        <v>4.4000000000000004</v>
      </c>
      <c r="G101">
        <v>112000</v>
      </c>
      <c r="H101" t="s">
        <v>1519</v>
      </c>
      <c r="I101" t="s">
        <v>1322</v>
      </c>
      <c r="J101" t="s">
        <v>1443</v>
      </c>
      <c r="K101" t="s">
        <v>1448</v>
      </c>
      <c r="L101" t="s">
        <v>1455</v>
      </c>
      <c r="M101" t="s">
        <v>1464</v>
      </c>
      <c r="N101" t="s">
        <v>1466</v>
      </c>
    </row>
    <row r="102" spans="1:14" x14ac:dyDescent="0.25">
      <c r="A102" t="s">
        <v>114</v>
      </c>
      <c r="B102">
        <v>23</v>
      </c>
      <c r="C102">
        <v>2</v>
      </c>
      <c r="D102">
        <v>20000</v>
      </c>
      <c r="E102">
        <v>20</v>
      </c>
      <c r="F102">
        <v>2.2999999999999998</v>
      </c>
      <c r="G102">
        <v>32000</v>
      </c>
      <c r="H102" t="s">
        <v>1520</v>
      </c>
      <c r="I102" t="s">
        <v>1323</v>
      </c>
      <c r="J102" t="s">
        <v>1442</v>
      </c>
      <c r="K102" t="s">
        <v>1447</v>
      </c>
      <c r="L102" t="s">
        <v>1459</v>
      </c>
      <c r="M102" t="s">
        <v>1462</v>
      </c>
      <c r="N102" t="s">
        <v>1468</v>
      </c>
    </row>
    <row r="103" spans="1:14" x14ac:dyDescent="0.25">
      <c r="A103" t="s">
        <v>115</v>
      </c>
      <c r="B103">
        <v>53</v>
      </c>
      <c r="C103">
        <v>4</v>
      </c>
      <c r="D103">
        <v>25000</v>
      </c>
      <c r="E103">
        <v>0</v>
      </c>
      <c r="F103">
        <v>3.5</v>
      </c>
      <c r="G103">
        <v>100000</v>
      </c>
      <c r="H103" t="s">
        <v>1521</v>
      </c>
      <c r="I103" t="s">
        <v>1324</v>
      </c>
      <c r="J103" t="s">
        <v>1444</v>
      </c>
      <c r="K103" t="s">
        <v>1449</v>
      </c>
      <c r="L103" t="s">
        <v>1452</v>
      </c>
      <c r="M103" t="s">
        <v>1462</v>
      </c>
      <c r="N103" t="s">
        <v>1468</v>
      </c>
    </row>
    <row r="104" spans="1:14" x14ac:dyDescent="0.25">
      <c r="A104" t="s">
        <v>116</v>
      </c>
      <c r="B104">
        <v>22</v>
      </c>
      <c r="C104">
        <v>4</v>
      </c>
      <c r="D104">
        <v>18000</v>
      </c>
      <c r="E104">
        <v>0</v>
      </c>
      <c r="F104">
        <v>4.5</v>
      </c>
      <c r="G104">
        <v>72000</v>
      </c>
      <c r="H104" t="s">
        <v>1522</v>
      </c>
      <c r="I104" t="s">
        <v>1325</v>
      </c>
      <c r="J104" t="s">
        <v>1443</v>
      </c>
      <c r="K104" t="s">
        <v>1448</v>
      </c>
      <c r="L104" t="s">
        <v>1460</v>
      </c>
      <c r="M104" t="s">
        <v>1463</v>
      </c>
      <c r="N104" t="s">
        <v>1467</v>
      </c>
    </row>
    <row r="105" spans="1:14" x14ac:dyDescent="0.25">
      <c r="A105" t="s">
        <v>117</v>
      </c>
      <c r="B105">
        <v>40</v>
      </c>
      <c r="C105">
        <v>2</v>
      </c>
      <c r="D105">
        <v>28000</v>
      </c>
      <c r="E105">
        <v>0</v>
      </c>
      <c r="F105">
        <v>1.9</v>
      </c>
      <c r="G105">
        <v>56000</v>
      </c>
      <c r="H105" t="s">
        <v>1522</v>
      </c>
      <c r="I105" t="s">
        <v>1326</v>
      </c>
      <c r="J105" t="s">
        <v>1444</v>
      </c>
      <c r="K105" t="s">
        <v>1449</v>
      </c>
      <c r="L105" t="s">
        <v>1455</v>
      </c>
      <c r="M105" t="s">
        <v>1464</v>
      </c>
      <c r="N105" t="s">
        <v>1466</v>
      </c>
    </row>
    <row r="106" spans="1:14" x14ac:dyDescent="0.25">
      <c r="A106" t="s">
        <v>118</v>
      </c>
      <c r="B106">
        <v>17</v>
      </c>
      <c r="C106">
        <v>2</v>
      </c>
      <c r="D106">
        <v>30000</v>
      </c>
      <c r="E106">
        <v>0</v>
      </c>
      <c r="F106">
        <v>3.5</v>
      </c>
      <c r="G106">
        <v>60000</v>
      </c>
      <c r="H106" t="s">
        <v>1522</v>
      </c>
      <c r="I106" t="s">
        <v>1327</v>
      </c>
      <c r="J106" t="s">
        <v>1441</v>
      </c>
      <c r="K106" t="s">
        <v>1446</v>
      </c>
      <c r="L106" t="s">
        <v>1453</v>
      </c>
      <c r="M106" t="s">
        <v>1463</v>
      </c>
      <c r="N106" t="s">
        <v>1468</v>
      </c>
    </row>
    <row r="107" spans="1:14" x14ac:dyDescent="0.25">
      <c r="A107" t="s">
        <v>119</v>
      </c>
      <c r="B107">
        <v>20</v>
      </c>
      <c r="C107">
        <v>1</v>
      </c>
      <c r="D107">
        <v>30000</v>
      </c>
      <c r="E107">
        <v>15</v>
      </c>
      <c r="F107">
        <v>2.2000000000000002</v>
      </c>
      <c r="G107">
        <v>25500</v>
      </c>
      <c r="H107" t="s">
        <v>1523</v>
      </c>
      <c r="I107" t="s">
        <v>1319</v>
      </c>
      <c r="J107" t="s">
        <v>1443</v>
      </c>
      <c r="K107" t="s">
        <v>1448</v>
      </c>
      <c r="L107" t="s">
        <v>1453</v>
      </c>
      <c r="M107" t="s">
        <v>1463</v>
      </c>
      <c r="N107" t="s">
        <v>1467</v>
      </c>
    </row>
    <row r="108" spans="1:14" x14ac:dyDescent="0.25">
      <c r="A108" t="s">
        <v>120</v>
      </c>
      <c r="B108">
        <v>50</v>
      </c>
      <c r="C108">
        <v>4</v>
      </c>
      <c r="D108">
        <v>23000</v>
      </c>
      <c r="E108">
        <v>0</v>
      </c>
      <c r="F108">
        <v>3.1</v>
      </c>
      <c r="G108">
        <v>92000</v>
      </c>
      <c r="H108" t="s">
        <v>1524</v>
      </c>
      <c r="I108" t="s">
        <v>1328</v>
      </c>
      <c r="J108" t="s">
        <v>1445</v>
      </c>
      <c r="K108" t="s">
        <v>1450</v>
      </c>
      <c r="L108" t="s">
        <v>1456</v>
      </c>
      <c r="M108" t="s">
        <v>1463</v>
      </c>
      <c r="N108" t="s">
        <v>1465</v>
      </c>
    </row>
    <row r="109" spans="1:14" x14ac:dyDescent="0.25">
      <c r="A109" t="s">
        <v>121</v>
      </c>
      <c r="B109">
        <v>21</v>
      </c>
      <c r="C109">
        <v>4</v>
      </c>
      <c r="D109">
        <v>18000</v>
      </c>
      <c r="E109">
        <v>5</v>
      </c>
      <c r="F109">
        <v>1.1000000000000001</v>
      </c>
      <c r="G109">
        <v>68400</v>
      </c>
      <c r="H109" t="s">
        <v>1525</v>
      </c>
      <c r="I109" t="s">
        <v>1329</v>
      </c>
      <c r="J109" t="s">
        <v>1445</v>
      </c>
      <c r="K109" t="s">
        <v>1450</v>
      </c>
      <c r="L109" t="s">
        <v>1460</v>
      </c>
      <c r="M109" t="s">
        <v>1463</v>
      </c>
      <c r="N109" t="s">
        <v>1465</v>
      </c>
    </row>
    <row r="110" spans="1:14" x14ac:dyDescent="0.25">
      <c r="A110" t="s">
        <v>122</v>
      </c>
      <c r="B110">
        <v>23</v>
      </c>
      <c r="C110">
        <v>2</v>
      </c>
      <c r="D110">
        <v>30000</v>
      </c>
      <c r="E110">
        <v>0</v>
      </c>
      <c r="F110">
        <v>2</v>
      </c>
      <c r="G110">
        <v>60000</v>
      </c>
      <c r="H110" t="s">
        <v>1525</v>
      </c>
      <c r="I110" t="s">
        <v>1323</v>
      </c>
      <c r="J110" t="s">
        <v>1441</v>
      </c>
      <c r="K110" t="s">
        <v>1446</v>
      </c>
      <c r="L110" t="s">
        <v>1453</v>
      </c>
      <c r="M110" t="s">
        <v>1463</v>
      </c>
      <c r="N110" t="s">
        <v>1468</v>
      </c>
    </row>
    <row r="111" spans="1:14" x14ac:dyDescent="0.25">
      <c r="A111" t="s">
        <v>123</v>
      </c>
      <c r="B111">
        <v>53</v>
      </c>
      <c r="C111">
        <v>3</v>
      </c>
      <c r="D111">
        <v>25000</v>
      </c>
      <c r="E111">
        <v>0</v>
      </c>
      <c r="F111">
        <v>3.5</v>
      </c>
      <c r="G111">
        <v>75000</v>
      </c>
      <c r="H111" t="s">
        <v>1525</v>
      </c>
      <c r="I111" t="s">
        <v>1324</v>
      </c>
      <c r="J111" t="s">
        <v>1442</v>
      </c>
      <c r="K111" t="s">
        <v>1447</v>
      </c>
      <c r="L111" t="s">
        <v>1452</v>
      </c>
      <c r="M111" t="s">
        <v>1462</v>
      </c>
      <c r="N111" t="s">
        <v>1468</v>
      </c>
    </row>
    <row r="112" spans="1:14" x14ac:dyDescent="0.25">
      <c r="A112" t="s">
        <v>124</v>
      </c>
      <c r="B112">
        <v>49</v>
      </c>
      <c r="C112">
        <v>1</v>
      </c>
      <c r="D112">
        <v>27000</v>
      </c>
      <c r="E112">
        <v>10</v>
      </c>
      <c r="F112">
        <v>4.9000000000000004</v>
      </c>
      <c r="G112">
        <v>24300</v>
      </c>
      <c r="H112" t="s">
        <v>1525</v>
      </c>
      <c r="I112" t="s">
        <v>1330</v>
      </c>
      <c r="J112" t="s">
        <v>1445</v>
      </c>
      <c r="K112" t="s">
        <v>1450</v>
      </c>
      <c r="L112" t="s">
        <v>1458</v>
      </c>
      <c r="M112" t="s">
        <v>1464</v>
      </c>
      <c r="N112" t="s">
        <v>1468</v>
      </c>
    </row>
    <row r="113" spans="1:14" x14ac:dyDescent="0.25">
      <c r="A113" t="s">
        <v>125</v>
      </c>
      <c r="B113">
        <v>39</v>
      </c>
      <c r="C113">
        <v>4</v>
      </c>
      <c r="D113">
        <v>22000</v>
      </c>
      <c r="E113">
        <v>0</v>
      </c>
      <c r="F113">
        <v>3.4</v>
      </c>
      <c r="G113">
        <v>88000</v>
      </c>
      <c r="H113" t="s">
        <v>1526</v>
      </c>
      <c r="I113" t="s">
        <v>1331</v>
      </c>
      <c r="J113" t="s">
        <v>1441</v>
      </c>
      <c r="K113" t="s">
        <v>1446</v>
      </c>
      <c r="L113" t="s">
        <v>1454</v>
      </c>
      <c r="M113" t="s">
        <v>1462</v>
      </c>
      <c r="N113" t="s">
        <v>1466</v>
      </c>
    </row>
    <row r="114" spans="1:14" x14ac:dyDescent="0.25">
      <c r="A114" t="s">
        <v>126</v>
      </c>
      <c r="B114">
        <v>37</v>
      </c>
      <c r="C114">
        <v>3</v>
      </c>
      <c r="D114">
        <v>32000</v>
      </c>
      <c r="E114">
        <v>0</v>
      </c>
      <c r="F114">
        <v>4.3</v>
      </c>
      <c r="G114">
        <v>96000</v>
      </c>
      <c r="H114" t="s">
        <v>1527</v>
      </c>
      <c r="I114" t="s">
        <v>1300</v>
      </c>
      <c r="J114" t="s">
        <v>1445</v>
      </c>
      <c r="K114" t="s">
        <v>1450</v>
      </c>
      <c r="L114" t="s">
        <v>1457</v>
      </c>
      <c r="M114" t="s">
        <v>1463</v>
      </c>
      <c r="N114" t="s">
        <v>1467</v>
      </c>
    </row>
    <row r="115" spans="1:14" x14ac:dyDescent="0.25">
      <c r="A115" t="s">
        <v>127</v>
      </c>
      <c r="B115">
        <v>18</v>
      </c>
      <c r="C115">
        <v>4</v>
      </c>
      <c r="D115">
        <v>20000</v>
      </c>
      <c r="E115">
        <v>0</v>
      </c>
      <c r="F115">
        <v>3.6</v>
      </c>
      <c r="G115">
        <v>80000</v>
      </c>
      <c r="H115" t="s">
        <v>1528</v>
      </c>
      <c r="I115" t="s">
        <v>1332</v>
      </c>
      <c r="J115" t="s">
        <v>1441</v>
      </c>
      <c r="K115" t="s">
        <v>1446</v>
      </c>
      <c r="L115" t="s">
        <v>1459</v>
      </c>
      <c r="M115" t="s">
        <v>1462</v>
      </c>
      <c r="N115" t="s">
        <v>1467</v>
      </c>
    </row>
    <row r="116" spans="1:14" x14ac:dyDescent="0.25">
      <c r="A116" t="s">
        <v>128</v>
      </c>
      <c r="B116">
        <v>52</v>
      </c>
      <c r="C116">
        <v>2</v>
      </c>
      <c r="D116">
        <v>22000</v>
      </c>
      <c r="E116">
        <v>0</v>
      </c>
      <c r="F116">
        <v>3.2</v>
      </c>
      <c r="G116">
        <v>44000</v>
      </c>
      <c r="H116" t="s">
        <v>1529</v>
      </c>
      <c r="I116" t="s">
        <v>1333</v>
      </c>
      <c r="J116" t="s">
        <v>1442</v>
      </c>
      <c r="K116" t="s">
        <v>1447</v>
      </c>
      <c r="L116" t="s">
        <v>1454</v>
      </c>
      <c r="M116" t="s">
        <v>1462</v>
      </c>
      <c r="N116" t="s">
        <v>1465</v>
      </c>
    </row>
    <row r="117" spans="1:14" x14ac:dyDescent="0.25">
      <c r="A117" t="s">
        <v>129</v>
      </c>
      <c r="B117">
        <v>32</v>
      </c>
      <c r="C117">
        <v>1</v>
      </c>
      <c r="D117">
        <v>30000</v>
      </c>
      <c r="E117">
        <v>5</v>
      </c>
      <c r="F117">
        <v>3.1</v>
      </c>
      <c r="G117">
        <v>28500</v>
      </c>
      <c r="H117" t="s">
        <v>1530</v>
      </c>
      <c r="I117" t="s">
        <v>1275</v>
      </c>
      <c r="J117" t="s">
        <v>1443</v>
      </c>
      <c r="K117" t="s">
        <v>1448</v>
      </c>
      <c r="L117" t="s">
        <v>1453</v>
      </c>
      <c r="M117" t="s">
        <v>1463</v>
      </c>
      <c r="N117" t="s">
        <v>1466</v>
      </c>
    </row>
    <row r="118" spans="1:14" x14ac:dyDescent="0.25">
      <c r="A118" t="s">
        <v>130</v>
      </c>
      <c r="B118">
        <v>25</v>
      </c>
      <c r="C118">
        <v>5</v>
      </c>
      <c r="D118">
        <v>25000</v>
      </c>
      <c r="E118">
        <v>0</v>
      </c>
      <c r="F118">
        <v>1.7</v>
      </c>
      <c r="G118">
        <v>125000</v>
      </c>
      <c r="H118" t="s">
        <v>1530</v>
      </c>
      <c r="I118" t="s">
        <v>1334</v>
      </c>
      <c r="J118" t="s">
        <v>1442</v>
      </c>
      <c r="K118" t="s">
        <v>1447</v>
      </c>
      <c r="L118" t="s">
        <v>1452</v>
      </c>
      <c r="M118" t="s">
        <v>1462</v>
      </c>
      <c r="N118" t="s">
        <v>1468</v>
      </c>
    </row>
    <row r="119" spans="1:14" x14ac:dyDescent="0.25">
      <c r="A119" t="s">
        <v>131</v>
      </c>
      <c r="B119">
        <v>53</v>
      </c>
      <c r="C119">
        <v>5</v>
      </c>
      <c r="D119">
        <v>28000</v>
      </c>
      <c r="E119">
        <v>0</v>
      </c>
      <c r="F119">
        <v>4.8</v>
      </c>
      <c r="G119">
        <v>140000</v>
      </c>
      <c r="H119" t="s">
        <v>1530</v>
      </c>
      <c r="I119" t="s">
        <v>1257</v>
      </c>
      <c r="J119" t="s">
        <v>1444</v>
      </c>
      <c r="K119" t="s">
        <v>1449</v>
      </c>
      <c r="L119" t="s">
        <v>1455</v>
      </c>
      <c r="M119" t="s">
        <v>1464</v>
      </c>
      <c r="N119" t="s">
        <v>1466</v>
      </c>
    </row>
    <row r="120" spans="1:14" x14ac:dyDescent="0.25">
      <c r="A120" t="s">
        <v>132</v>
      </c>
      <c r="B120">
        <v>23</v>
      </c>
      <c r="C120">
        <v>3</v>
      </c>
      <c r="D120">
        <v>28000</v>
      </c>
      <c r="E120">
        <v>15</v>
      </c>
      <c r="F120">
        <v>3.9</v>
      </c>
      <c r="G120">
        <v>71400</v>
      </c>
      <c r="H120" t="s">
        <v>1530</v>
      </c>
      <c r="I120" t="s">
        <v>1335</v>
      </c>
      <c r="J120" t="s">
        <v>1445</v>
      </c>
      <c r="K120" t="s">
        <v>1450</v>
      </c>
      <c r="L120" t="s">
        <v>1455</v>
      </c>
      <c r="M120" t="s">
        <v>1464</v>
      </c>
      <c r="N120" t="s">
        <v>1467</v>
      </c>
    </row>
    <row r="121" spans="1:14" x14ac:dyDescent="0.25">
      <c r="A121" t="s">
        <v>133</v>
      </c>
      <c r="B121">
        <v>48</v>
      </c>
      <c r="C121">
        <v>2</v>
      </c>
      <c r="D121">
        <v>18000</v>
      </c>
      <c r="E121">
        <v>5</v>
      </c>
      <c r="F121">
        <v>2.5</v>
      </c>
      <c r="G121">
        <v>34200</v>
      </c>
      <c r="H121" t="s">
        <v>1531</v>
      </c>
      <c r="I121" t="s">
        <v>1296</v>
      </c>
      <c r="J121" t="s">
        <v>1442</v>
      </c>
      <c r="K121" t="s">
        <v>1447</v>
      </c>
      <c r="L121" t="s">
        <v>1461</v>
      </c>
      <c r="M121" t="s">
        <v>1462</v>
      </c>
      <c r="N121" t="s">
        <v>1466</v>
      </c>
    </row>
    <row r="122" spans="1:14" x14ac:dyDescent="0.25">
      <c r="A122" t="s">
        <v>134</v>
      </c>
      <c r="B122">
        <v>45</v>
      </c>
      <c r="C122">
        <v>2</v>
      </c>
      <c r="D122">
        <v>18000</v>
      </c>
      <c r="E122">
        <v>15</v>
      </c>
      <c r="F122">
        <v>2.2999999999999998</v>
      </c>
      <c r="G122">
        <v>30600</v>
      </c>
      <c r="H122" t="s">
        <v>1531</v>
      </c>
      <c r="I122" t="s">
        <v>1270</v>
      </c>
      <c r="J122" t="s">
        <v>1444</v>
      </c>
      <c r="K122" t="s">
        <v>1449</v>
      </c>
      <c r="L122" t="s">
        <v>1460</v>
      </c>
      <c r="M122" t="s">
        <v>1463</v>
      </c>
      <c r="N122" t="s">
        <v>1465</v>
      </c>
    </row>
    <row r="123" spans="1:14" x14ac:dyDescent="0.25">
      <c r="A123" t="s">
        <v>135</v>
      </c>
      <c r="B123">
        <v>34</v>
      </c>
      <c r="C123">
        <v>1</v>
      </c>
      <c r="D123">
        <v>32000</v>
      </c>
      <c r="E123">
        <v>0</v>
      </c>
      <c r="F123">
        <v>4.2</v>
      </c>
      <c r="G123">
        <v>32000</v>
      </c>
      <c r="H123" t="s">
        <v>1532</v>
      </c>
      <c r="I123" t="s">
        <v>1336</v>
      </c>
      <c r="J123" t="s">
        <v>1445</v>
      </c>
      <c r="K123" t="s">
        <v>1450</v>
      </c>
      <c r="L123" t="s">
        <v>1457</v>
      </c>
      <c r="M123" t="s">
        <v>1463</v>
      </c>
      <c r="N123" t="s">
        <v>1466</v>
      </c>
    </row>
    <row r="124" spans="1:14" x14ac:dyDescent="0.25">
      <c r="A124" t="s">
        <v>136</v>
      </c>
      <c r="B124">
        <v>18</v>
      </c>
      <c r="C124">
        <v>4</v>
      </c>
      <c r="D124">
        <v>27000</v>
      </c>
      <c r="E124">
        <v>0</v>
      </c>
      <c r="F124">
        <v>2.6</v>
      </c>
      <c r="G124">
        <v>108000</v>
      </c>
      <c r="H124" t="s">
        <v>1532</v>
      </c>
      <c r="I124" t="s">
        <v>1337</v>
      </c>
      <c r="J124" t="s">
        <v>1445</v>
      </c>
      <c r="K124" t="s">
        <v>1450</v>
      </c>
      <c r="L124" t="s">
        <v>1458</v>
      </c>
      <c r="M124" t="s">
        <v>1464</v>
      </c>
      <c r="N124" t="s">
        <v>1465</v>
      </c>
    </row>
    <row r="125" spans="1:14" x14ac:dyDescent="0.25">
      <c r="A125" t="s">
        <v>137</v>
      </c>
      <c r="B125">
        <v>49</v>
      </c>
      <c r="C125">
        <v>3</v>
      </c>
      <c r="D125">
        <v>22000</v>
      </c>
      <c r="E125">
        <v>10</v>
      </c>
      <c r="F125">
        <v>2.7</v>
      </c>
      <c r="G125">
        <v>59400</v>
      </c>
      <c r="H125" t="s">
        <v>1532</v>
      </c>
      <c r="I125" t="s">
        <v>1338</v>
      </c>
      <c r="J125" t="s">
        <v>1442</v>
      </c>
      <c r="K125" t="s">
        <v>1447</v>
      </c>
      <c r="L125" t="s">
        <v>1454</v>
      </c>
      <c r="M125" t="s">
        <v>1462</v>
      </c>
      <c r="N125" t="s">
        <v>1468</v>
      </c>
    </row>
    <row r="126" spans="1:14" x14ac:dyDescent="0.25">
      <c r="A126" t="s">
        <v>138</v>
      </c>
      <c r="B126">
        <v>25</v>
      </c>
      <c r="C126">
        <v>5</v>
      </c>
      <c r="D126">
        <v>23000</v>
      </c>
      <c r="E126">
        <v>0</v>
      </c>
      <c r="F126">
        <v>3.6</v>
      </c>
      <c r="G126">
        <v>115000</v>
      </c>
      <c r="H126" t="s">
        <v>1532</v>
      </c>
      <c r="I126" t="s">
        <v>1339</v>
      </c>
      <c r="J126" t="s">
        <v>1444</v>
      </c>
      <c r="K126" t="s">
        <v>1449</v>
      </c>
      <c r="L126" t="s">
        <v>1456</v>
      </c>
      <c r="M126" t="s">
        <v>1463</v>
      </c>
      <c r="N126" t="s">
        <v>1467</v>
      </c>
    </row>
    <row r="127" spans="1:14" x14ac:dyDescent="0.25">
      <c r="A127" t="s">
        <v>139</v>
      </c>
      <c r="B127">
        <v>24</v>
      </c>
      <c r="C127">
        <v>2</v>
      </c>
      <c r="D127">
        <v>18000</v>
      </c>
      <c r="E127">
        <v>5</v>
      </c>
      <c r="F127">
        <v>1.5</v>
      </c>
      <c r="G127">
        <v>34200</v>
      </c>
      <c r="H127" t="s">
        <v>1532</v>
      </c>
      <c r="I127" t="s">
        <v>1286</v>
      </c>
      <c r="J127" t="s">
        <v>1442</v>
      </c>
      <c r="K127" t="s">
        <v>1447</v>
      </c>
      <c r="L127" t="s">
        <v>1460</v>
      </c>
      <c r="M127" t="s">
        <v>1463</v>
      </c>
      <c r="N127" t="s">
        <v>1466</v>
      </c>
    </row>
    <row r="128" spans="1:14" x14ac:dyDescent="0.25">
      <c r="A128" t="s">
        <v>140</v>
      </c>
      <c r="B128">
        <v>17</v>
      </c>
      <c r="C128">
        <v>1</v>
      </c>
      <c r="D128">
        <v>30000</v>
      </c>
      <c r="E128">
        <v>0</v>
      </c>
      <c r="F128">
        <v>1.9</v>
      </c>
      <c r="G128">
        <v>30000</v>
      </c>
      <c r="H128" t="s">
        <v>1533</v>
      </c>
      <c r="I128" t="s">
        <v>1340</v>
      </c>
      <c r="J128" t="s">
        <v>1445</v>
      </c>
      <c r="K128" t="s">
        <v>1450</v>
      </c>
      <c r="L128" t="s">
        <v>1453</v>
      </c>
      <c r="M128" t="s">
        <v>1463</v>
      </c>
      <c r="N128" t="s">
        <v>1467</v>
      </c>
    </row>
    <row r="129" spans="1:14" x14ac:dyDescent="0.25">
      <c r="A129" t="s">
        <v>141</v>
      </c>
      <c r="B129">
        <v>40</v>
      </c>
      <c r="C129">
        <v>3</v>
      </c>
      <c r="D129">
        <v>27000</v>
      </c>
      <c r="E129">
        <v>0</v>
      </c>
      <c r="F129">
        <v>3.5</v>
      </c>
      <c r="G129">
        <v>81000</v>
      </c>
      <c r="H129" t="s">
        <v>1534</v>
      </c>
      <c r="I129" t="s">
        <v>1341</v>
      </c>
      <c r="J129" t="s">
        <v>1444</v>
      </c>
      <c r="K129" t="s">
        <v>1449</v>
      </c>
      <c r="L129" t="s">
        <v>1458</v>
      </c>
      <c r="M129" t="s">
        <v>1464</v>
      </c>
      <c r="N129" t="s">
        <v>1468</v>
      </c>
    </row>
    <row r="130" spans="1:14" x14ac:dyDescent="0.25">
      <c r="A130" t="s">
        <v>142</v>
      </c>
      <c r="B130">
        <v>22</v>
      </c>
      <c r="C130">
        <v>5</v>
      </c>
      <c r="D130">
        <v>28000</v>
      </c>
      <c r="E130">
        <v>20</v>
      </c>
      <c r="F130">
        <v>1.4</v>
      </c>
      <c r="G130">
        <v>112000</v>
      </c>
      <c r="H130" t="s">
        <v>1535</v>
      </c>
      <c r="I130" t="s">
        <v>1258</v>
      </c>
      <c r="J130" t="s">
        <v>1444</v>
      </c>
      <c r="K130" t="s">
        <v>1449</v>
      </c>
      <c r="L130" t="s">
        <v>1455</v>
      </c>
      <c r="M130" t="s">
        <v>1464</v>
      </c>
      <c r="N130" t="s">
        <v>1467</v>
      </c>
    </row>
    <row r="131" spans="1:14" x14ac:dyDescent="0.25">
      <c r="A131" t="s">
        <v>143</v>
      </c>
      <c r="B131">
        <v>23</v>
      </c>
      <c r="C131">
        <v>2</v>
      </c>
      <c r="D131">
        <v>18000</v>
      </c>
      <c r="E131">
        <v>10</v>
      </c>
      <c r="F131">
        <v>1.3</v>
      </c>
      <c r="G131">
        <v>32400</v>
      </c>
      <c r="H131" t="s">
        <v>1536</v>
      </c>
      <c r="I131" t="s">
        <v>1342</v>
      </c>
      <c r="J131" t="s">
        <v>1445</v>
      </c>
      <c r="K131" t="s">
        <v>1450</v>
      </c>
      <c r="L131" t="s">
        <v>1461</v>
      </c>
      <c r="M131" t="s">
        <v>1462</v>
      </c>
      <c r="N131" t="s">
        <v>1465</v>
      </c>
    </row>
    <row r="132" spans="1:14" x14ac:dyDescent="0.25">
      <c r="A132" t="s">
        <v>144</v>
      </c>
      <c r="B132">
        <v>39</v>
      </c>
      <c r="C132">
        <v>4</v>
      </c>
      <c r="D132">
        <v>32000</v>
      </c>
      <c r="E132">
        <v>0</v>
      </c>
      <c r="F132">
        <v>1.1000000000000001</v>
      </c>
      <c r="G132">
        <v>128000</v>
      </c>
      <c r="H132" t="s">
        <v>1537</v>
      </c>
      <c r="I132" t="s">
        <v>1331</v>
      </c>
      <c r="J132" t="s">
        <v>1442</v>
      </c>
      <c r="K132" t="s">
        <v>1447</v>
      </c>
      <c r="L132" t="s">
        <v>1457</v>
      </c>
      <c r="M132" t="s">
        <v>1463</v>
      </c>
      <c r="N132" t="s">
        <v>1465</v>
      </c>
    </row>
    <row r="133" spans="1:14" x14ac:dyDescent="0.25">
      <c r="A133" t="s">
        <v>145</v>
      </c>
      <c r="B133">
        <v>17</v>
      </c>
      <c r="C133">
        <v>2</v>
      </c>
      <c r="D133">
        <v>18000</v>
      </c>
      <c r="E133">
        <v>10</v>
      </c>
      <c r="F133">
        <v>1.5</v>
      </c>
      <c r="G133">
        <v>32400</v>
      </c>
      <c r="H133" t="s">
        <v>1538</v>
      </c>
      <c r="I133" t="s">
        <v>1343</v>
      </c>
      <c r="J133" t="s">
        <v>1442</v>
      </c>
      <c r="K133" t="s">
        <v>1447</v>
      </c>
      <c r="L133" t="s">
        <v>1460</v>
      </c>
      <c r="M133" t="s">
        <v>1463</v>
      </c>
      <c r="N133" t="s">
        <v>1465</v>
      </c>
    </row>
    <row r="134" spans="1:14" x14ac:dyDescent="0.25">
      <c r="A134" t="s">
        <v>146</v>
      </c>
      <c r="B134">
        <v>18</v>
      </c>
      <c r="C134">
        <v>1</v>
      </c>
      <c r="D134">
        <v>20000</v>
      </c>
      <c r="E134">
        <v>15</v>
      </c>
      <c r="F134">
        <v>2.6</v>
      </c>
      <c r="G134">
        <v>17000</v>
      </c>
      <c r="H134" t="s">
        <v>1538</v>
      </c>
      <c r="I134" t="s">
        <v>1344</v>
      </c>
      <c r="J134" t="s">
        <v>1442</v>
      </c>
      <c r="K134" t="s">
        <v>1447</v>
      </c>
      <c r="L134" t="s">
        <v>1459</v>
      </c>
      <c r="M134" t="s">
        <v>1462</v>
      </c>
      <c r="N134" t="s">
        <v>1467</v>
      </c>
    </row>
    <row r="135" spans="1:14" x14ac:dyDescent="0.25">
      <c r="A135" t="s">
        <v>147</v>
      </c>
      <c r="B135">
        <v>37</v>
      </c>
      <c r="C135">
        <v>5</v>
      </c>
      <c r="D135">
        <v>18000</v>
      </c>
      <c r="E135">
        <v>0</v>
      </c>
      <c r="F135">
        <v>4.4000000000000004</v>
      </c>
      <c r="G135">
        <v>90000</v>
      </c>
      <c r="H135" t="s">
        <v>1539</v>
      </c>
      <c r="I135" t="s">
        <v>1345</v>
      </c>
      <c r="J135" t="s">
        <v>1444</v>
      </c>
      <c r="K135" t="s">
        <v>1449</v>
      </c>
      <c r="L135" t="s">
        <v>1460</v>
      </c>
      <c r="M135" t="s">
        <v>1463</v>
      </c>
      <c r="N135" t="s">
        <v>1467</v>
      </c>
    </row>
    <row r="136" spans="1:14" x14ac:dyDescent="0.25">
      <c r="A136" t="s">
        <v>148</v>
      </c>
      <c r="B136">
        <v>44</v>
      </c>
      <c r="C136">
        <v>1</v>
      </c>
      <c r="D136">
        <v>27000</v>
      </c>
      <c r="E136">
        <v>10</v>
      </c>
      <c r="F136">
        <v>3.5</v>
      </c>
      <c r="G136">
        <v>24300</v>
      </c>
      <c r="H136" t="s">
        <v>1540</v>
      </c>
      <c r="I136" t="s">
        <v>1346</v>
      </c>
      <c r="J136" t="s">
        <v>1444</v>
      </c>
      <c r="K136" t="s">
        <v>1449</v>
      </c>
      <c r="L136" t="s">
        <v>1458</v>
      </c>
      <c r="M136" t="s">
        <v>1464</v>
      </c>
      <c r="N136" t="s">
        <v>1467</v>
      </c>
    </row>
    <row r="137" spans="1:14" x14ac:dyDescent="0.25">
      <c r="A137" t="s">
        <v>149</v>
      </c>
      <c r="B137">
        <v>20</v>
      </c>
      <c r="C137">
        <v>3</v>
      </c>
      <c r="D137">
        <v>30000</v>
      </c>
      <c r="E137">
        <v>0</v>
      </c>
      <c r="F137">
        <v>1.9</v>
      </c>
      <c r="G137">
        <v>90000</v>
      </c>
      <c r="H137" t="s">
        <v>1541</v>
      </c>
      <c r="I137" t="s">
        <v>1347</v>
      </c>
      <c r="J137" t="s">
        <v>1441</v>
      </c>
      <c r="K137" t="s">
        <v>1446</v>
      </c>
      <c r="L137" t="s">
        <v>1453</v>
      </c>
      <c r="M137" t="s">
        <v>1463</v>
      </c>
      <c r="N137" t="s">
        <v>1465</v>
      </c>
    </row>
    <row r="138" spans="1:14" x14ac:dyDescent="0.25">
      <c r="A138" t="s">
        <v>150</v>
      </c>
      <c r="B138">
        <v>19</v>
      </c>
      <c r="C138">
        <v>2</v>
      </c>
      <c r="D138">
        <v>23000</v>
      </c>
      <c r="E138">
        <v>0</v>
      </c>
      <c r="F138">
        <v>1.4</v>
      </c>
      <c r="G138">
        <v>46000</v>
      </c>
      <c r="H138" t="s">
        <v>1542</v>
      </c>
      <c r="I138" t="s">
        <v>1317</v>
      </c>
      <c r="J138" t="s">
        <v>1445</v>
      </c>
      <c r="K138" t="s">
        <v>1450</v>
      </c>
      <c r="L138" t="s">
        <v>1456</v>
      </c>
      <c r="M138" t="s">
        <v>1463</v>
      </c>
      <c r="N138" t="s">
        <v>1467</v>
      </c>
    </row>
    <row r="139" spans="1:14" x14ac:dyDescent="0.25">
      <c r="A139" t="s">
        <v>151</v>
      </c>
      <c r="B139">
        <v>23</v>
      </c>
      <c r="C139">
        <v>2</v>
      </c>
      <c r="D139">
        <v>23000</v>
      </c>
      <c r="E139">
        <v>0</v>
      </c>
      <c r="F139">
        <v>4.7</v>
      </c>
      <c r="G139">
        <v>46000</v>
      </c>
      <c r="H139" t="s">
        <v>1542</v>
      </c>
      <c r="I139" t="s">
        <v>1323</v>
      </c>
      <c r="J139" t="s">
        <v>1442</v>
      </c>
      <c r="K139" t="s">
        <v>1447</v>
      </c>
      <c r="L139" t="s">
        <v>1456</v>
      </c>
      <c r="M139" t="s">
        <v>1463</v>
      </c>
      <c r="N139" t="s">
        <v>1467</v>
      </c>
    </row>
    <row r="140" spans="1:14" x14ac:dyDescent="0.25">
      <c r="A140" t="s">
        <v>152</v>
      </c>
      <c r="B140">
        <v>23</v>
      </c>
      <c r="C140">
        <v>4</v>
      </c>
      <c r="D140">
        <v>32000</v>
      </c>
      <c r="E140">
        <v>5</v>
      </c>
      <c r="F140">
        <v>4.7</v>
      </c>
      <c r="G140">
        <v>121600</v>
      </c>
      <c r="H140" t="s">
        <v>1542</v>
      </c>
      <c r="I140" t="s">
        <v>1348</v>
      </c>
      <c r="J140" t="s">
        <v>1445</v>
      </c>
      <c r="K140" t="s">
        <v>1450</v>
      </c>
      <c r="L140" t="s">
        <v>1457</v>
      </c>
      <c r="M140" t="s">
        <v>1463</v>
      </c>
      <c r="N140" t="s">
        <v>1468</v>
      </c>
    </row>
    <row r="141" spans="1:14" x14ac:dyDescent="0.25">
      <c r="A141" t="s">
        <v>153</v>
      </c>
      <c r="B141">
        <v>47</v>
      </c>
      <c r="C141">
        <v>1</v>
      </c>
      <c r="D141">
        <v>18000</v>
      </c>
      <c r="E141">
        <v>0</v>
      </c>
      <c r="F141">
        <v>4</v>
      </c>
      <c r="G141">
        <v>18000</v>
      </c>
      <c r="H141" t="s">
        <v>1543</v>
      </c>
      <c r="I141" t="s">
        <v>1349</v>
      </c>
      <c r="J141" t="s">
        <v>1444</v>
      </c>
      <c r="K141" t="s">
        <v>1449</v>
      </c>
      <c r="L141" t="s">
        <v>1460</v>
      </c>
      <c r="M141" t="s">
        <v>1463</v>
      </c>
      <c r="N141" t="s">
        <v>1466</v>
      </c>
    </row>
    <row r="142" spans="1:14" x14ac:dyDescent="0.25">
      <c r="A142" t="s">
        <v>154</v>
      </c>
      <c r="B142">
        <v>22</v>
      </c>
      <c r="C142">
        <v>2</v>
      </c>
      <c r="D142">
        <v>20000</v>
      </c>
      <c r="E142">
        <v>0</v>
      </c>
      <c r="F142">
        <v>3.1</v>
      </c>
      <c r="G142">
        <v>40000</v>
      </c>
      <c r="H142" t="s">
        <v>1544</v>
      </c>
      <c r="I142" t="s">
        <v>1258</v>
      </c>
      <c r="J142" t="s">
        <v>1441</v>
      </c>
      <c r="K142" t="s">
        <v>1446</v>
      </c>
      <c r="L142" t="s">
        <v>1459</v>
      </c>
      <c r="M142" t="s">
        <v>1462</v>
      </c>
      <c r="N142" t="s">
        <v>1466</v>
      </c>
    </row>
    <row r="143" spans="1:14" x14ac:dyDescent="0.25">
      <c r="A143" t="s">
        <v>155</v>
      </c>
      <c r="B143">
        <v>40</v>
      </c>
      <c r="C143">
        <v>2</v>
      </c>
      <c r="D143">
        <v>30000</v>
      </c>
      <c r="E143">
        <v>15</v>
      </c>
      <c r="F143">
        <v>3</v>
      </c>
      <c r="G143">
        <v>51000</v>
      </c>
      <c r="H143" t="s">
        <v>1545</v>
      </c>
      <c r="I143" t="s">
        <v>1350</v>
      </c>
      <c r="J143" t="s">
        <v>1444</v>
      </c>
      <c r="K143" t="s">
        <v>1449</v>
      </c>
      <c r="L143" t="s">
        <v>1453</v>
      </c>
      <c r="M143" t="s">
        <v>1463</v>
      </c>
      <c r="N143" t="s">
        <v>1467</v>
      </c>
    </row>
    <row r="144" spans="1:14" x14ac:dyDescent="0.25">
      <c r="A144" t="s">
        <v>156</v>
      </c>
      <c r="B144">
        <v>43</v>
      </c>
      <c r="C144">
        <v>5</v>
      </c>
      <c r="D144">
        <v>28000</v>
      </c>
      <c r="E144">
        <v>5</v>
      </c>
      <c r="F144">
        <v>2.8</v>
      </c>
      <c r="G144">
        <v>133000</v>
      </c>
      <c r="H144" t="s">
        <v>1546</v>
      </c>
      <c r="I144" t="s">
        <v>1278</v>
      </c>
      <c r="J144" t="s">
        <v>1445</v>
      </c>
      <c r="K144" t="s">
        <v>1450</v>
      </c>
      <c r="L144" t="s">
        <v>1455</v>
      </c>
      <c r="M144" t="s">
        <v>1464</v>
      </c>
      <c r="N144" t="s">
        <v>1465</v>
      </c>
    </row>
    <row r="145" spans="1:14" x14ac:dyDescent="0.25">
      <c r="A145" t="s">
        <v>157</v>
      </c>
      <c r="B145">
        <v>39</v>
      </c>
      <c r="C145">
        <v>5</v>
      </c>
      <c r="D145">
        <v>22000</v>
      </c>
      <c r="E145">
        <v>15</v>
      </c>
      <c r="F145">
        <v>4.4000000000000004</v>
      </c>
      <c r="G145">
        <v>93500</v>
      </c>
      <c r="H145" t="s">
        <v>1547</v>
      </c>
      <c r="I145" t="s">
        <v>1351</v>
      </c>
      <c r="J145" t="s">
        <v>1441</v>
      </c>
      <c r="K145" t="s">
        <v>1446</v>
      </c>
      <c r="L145" t="s">
        <v>1454</v>
      </c>
      <c r="M145" t="s">
        <v>1462</v>
      </c>
      <c r="N145" t="s">
        <v>1468</v>
      </c>
    </row>
    <row r="146" spans="1:14" x14ac:dyDescent="0.25">
      <c r="A146" t="s">
        <v>158</v>
      </c>
      <c r="B146">
        <v>40</v>
      </c>
      <c r="C146">
        <v>2</v>
      </c>
      <c r="D146">
        <v>30000</v>
      </c>
      <c r="E146">
        <v>10</v>
      </c>
      <c r="F146">
        <v>1.4</v>
      </c>
      <c r="G146">
        <v>54000</v>
      </c>
      <c r="H146" t="s">
        <v>1547</v>
      </c>
      <c r="I146" t="s">
        <v>1352</v>
      </c>
      <c r="J146" t="s">
        <v>1443</v>
      </c>
      <c r="K146" t="s">
        <v>1448</v>
      </c>
      <c r="L146" t="s">
        <v>1453</v>
      </c>
      <c r="M146" t="s">
        <v>1463</v>
      </c>
      <c r="N146" t="s">
        <v>1468</v>
      </c>
    </row>
    <row r="147" spans="1:14" x14ac:dyDescent="0.25">
      <c r="A147" t="s">
        <v>159</v>
      </c>
      <c r="B147">
        <v>35</v>
      </c>
      <c r="C147">
        <v>3</v>
      </c>
      <c r="D147">
        <v>18000</v>
      </c>
      <c r="E147">
        <v>10</v>
      </c>
      <c r="F147">
        <v>3.1</v>
      </c>
      <c r="G147">
        <v>48600</v>
      </c>
      <c r="H147" t="s">
        <v>1547</v>
      </c>
      <c r="I147" t="s">
        <v>1259</v>
      </c>
      <c r="J147" t="s">
        <v>1441</v>
      </c>
      <c r="K147" t="s">
        <v>1446</v>
      </c>
      <c r="L147" t="s">
        <v>1461</v>
      </c>
      <c r="M147" t="s">
        <v>1462</v>
      </c>
      <c r="N147" t="s">
        <v>1468</v>
      </c>
    </row>
    <row r="148" spans="1:14" x14ac:dyDescent="0.25">
      <c r="A148" t="s">
        <v>160</v>
      </c>
      <c r="B148">
        <v>19</v>
      </c>
      <c r="C148">
        <v>1</v>
      </c>
      <c r="D148">
        <v>20000</v>
      </c>
      <c r="E148">
        <v>0</v>
      </c>
      <c r="F148">
        <v>3.8</v>
      </c>
      <c r="G148">
        <v>20000</v>
      </c>
      <c r="H148" t="s">
        <v>1547</v>
      </c>
      <c r="I148" t="s">
        <v>1353</v>
      </c>
      <c r="J148" t="s">
        <v>1442</v>
      </c>
      <c r="K148" t="s">
        <v>1447</v>
      </c>
      <c r="L148" t="s">
        <v>1459</v>
      </c>
      <c r="M148" t="s">
        <v>1462</v>
      </c>
      <c r="N148" t="s">
        <v>1468</v>
      </c>
    </row>
    <row r="149" spans="1:14" x14ac:dyDescent="0.25">
      <c r="A149" t="s">
        <v>161</v>
      </c>
      <c r="B149">
        <v>17</v>
      </c>
      <c r="C149">
        <v>5</v>
      </c>
      <c r="D149">
        <v>30000</v>
      </c>
      <c r="E149">
        <v>0</v>
      </c>
      <c r="F149">
        <v>4.5999999999999996</v>
      </c>
      <c r="G149">
        <v>150000</v>
      </c>
      <c r="H149" t="s">
        <v>1548</v>
      </c>
      <c r="I149" t="s">
        <v>1340</v>
      </c>
      <c r="J149" t="s">
        <v>1445</v>
      </c>
      <c r="K149" t="s">
        <v>1450</v>
      </c>
      <c r="L149" t="s">
        <v>1453</v>
      </c>
      <c r="M149" t="s">
        <v>1463</v>
      </c>
      <c r="N149" t="s">
        <v>1466</v>
      </c>
    </row>
    <row r="150" spans="1:14" x14ac:dyDescent="0.25">
      <c r="A150" t="s">
        <v>162</v>
      </c>
      <c r="B150">
        <v>43</v>
      </c>
      <c r="C150">
        <v>1</v>
      </c>
      <c r="D150">
        <v>28000</v>
      </c>
      <c r="E150">
        <v>15</v>
      </c>
      <c r="F150">
        <v>5</v>
      </c>
      <c r="G150">
        <v>23800</v>
      </c>
      <c r="H150" t="s">
        <v>1548</v>
      </c>
      <c r="I150" t="s">
        <v>1303</v>
      </c>
      <c r="J150" t="s">
        <v>1443</v>
      </c>
      <c r="K150" t="s">
        <v>1448</v>
      </c>
      <c r="L150" t="s">
        <v>1455</v>
      </c>
      <c r="M150" t="s">
        <v>1464</v>
      </c>
      <c r="N150" t="s">
        <v>1465</v>
      </c>
    </row>
    <row r="151" spans="1:14" x14ac:dyDescent="0.25">
      <c r="A151" t="s">
        <v>163</v>
      </c>
      <c r="B151">
        <v>53</v>
      </c>
      <c r="C151">
        <v>1</v>
      </c>
      <c r="D151">
        <v>28000</v>
      </c>
      <c r="E151">
        <v>0</v>
      </c>
      <c r="F151">
        <v>2</v>
      </c>
      <c r="G151">
        <v>28000</v>
      </c>
      <c r="H151" t="s">
        <v>1548</v>
      </c>
      <c r="I151" t="s">
        <v>1245</v>
      </c>
      <c r="J151" t="s">
        <v>1441</v>
      </c>
      <c r="K151" t="s">
        <v>1446</v>
      </c>
      <c r="L151" t="s">
        <v>1455</v>
      </c>
      <c r="M151" t="s">
        <v>1464</v>
      </c>
      <c r="N151" t="s">
        <v>1465</v>
      </c>
    </row>
    <row r="152" spans="1:14" x14ac:dyDescent="0.25">
      <c r="A152" t="s">
        <v>164</v>
      </c>
      <c r="B152">
        <v>22</v>
      </c>
      <c r="C152">
        <v>1</v>
      </c>
      <c r="D152">
        <v>20000</v>
      </c>
      <c r="E152">
        <v>0</v>
      </c>
      <c r="F152">
        <v>4.7</v>
      </c>
      <c r="G152">
        <v>20000</v>
      </c>
      <c r="H152" t="s">
        <v>1549</v>
      </c>
      <c r="I152" t="s">
        <v>1252</v>
      </c>
      <c r="J152" t="s">
        <v>1444</v>
      </c>
      <c r="K152" t="s">
        <v>1449</v>
      </c>
      <c r="L152" t="s">
        <v>1459</v>
      </c>
      <c r="M152" t="s">
        <v>1462</v>
      </c>
      <c r="N152" t="s">
        <v>1467</v>
      </c>
    </row>
    <row r="153" spans="1:14" x14ac:dyDescent="0.25">
      <c r="A153" t="s">
        <v>165</v>
      </c>
      <c r="B153">
        <v>43</v>
      </c>
      <c r="C153">
        <v>2</v>
      </c>
      <c r="D153">
        <v>23000</v>
      </c>
      <c r="E153">
        <v>10</v>
      </c>
      <c r="F153">
        <v>1.5</v>
      </c>
      <c r="G153">
        <v>41400</v>
      </c>
      <c r="H153" t="s">
        <v>1550</v>
      </c>
      <c r="I153" t="s">
        <v>1354</v>
      </c>
      <c r="J153" t="s">
        <v>1445</v>
      </c>
      <c r="K153" t="s">
        <v>1450</v>
      </c>
      <c r="L153" t="s">
        <v>1456</v>
      </c>
      <c r="M153" t="s">
        <v>1463</v>
      </c>
      <c r="N153" t="s">
        <v>1467</v>
      </c>
    </row>
    <row r="154" spans="1:14" x14ac:dyDescent="0.25">
      <c r="A154" t="s">
        <v>166</v>
      </c>
      <c r="B154">
        <v>53</v>
      </c>
      <c r="C154">
        <v>5</v>
      </c>
      <c r="D154">
        <v>25000</v>
      </c>
      <c r="E154">
        <v>10</v>
      </c>
      <c r="F154">
        <v>2.2999999999999998</v>
      </c>
      <c r="G154">
        <v>112500</v>
      </c>
      <c r="H154" t="s">
        <v>1551</v>
      </c>
      <c r="I154" t="s">
        <v>1315</v>
      </c>
      <c r="J154" t="s">
        <v>1444</v>
      </c>
      <c r="K154" t="s">
        <v>1449</v>
      </c>
      <c r="L154" t="s">
        <v>1452</v>
      </c>
      <c r="M154" t="s">
        <v>1462</v>
      </c>
      <c r="N154" t="s">
        <v>1468</v>
      </c>
    </row>
    <row r="155" spans="1:14" x14ac:dyDescent="0.25">
      <c r="A155" t="s">
        <v>167</v>
      </c>
      <c r="B155">
        <v>49</v>
      </c>
      <c r="C155">
        <v>5</v>
      </c>
      <c r="D155">
        <v>32000</v>
      </c>
      <c r="E155">
        <v>0</v>
      </c>
      <c r="F155">
        <v>3.1</v>
      </c>
      <c r="G155">
        <v>160000</v>
      </c>
      <c r="H155" t="s">
        <v>1551</v>
      </c>
      <c r="I155" t="s">
        <v>1288</v>
      </c>
      <c r="J155" t="s">
        <v>1443</v>
      </c>
      <c r="K155" t="s">
        <v>1448</v>
      </c>
      <c r="L155" t="s">
        <v>1457</v>
      </c>
      <c r="M155" t="s">
        <v>1463</v>
      </c>
      <c r="N155" t="s">
        <v>1467</v>
      </c>
    </row>
    <row r="156" spans="1:14" x14ac:dyDescent="0.25">
      <c r="A156" t="s">
        <v>168</v>
      </c>
      <c r="B156">
        <v>30</v>
      </c>
      <c r="C156">
        <v>1</v>
      </c>
      <c r="D156">
        <v>20000</v>
      </c>
      <c r="E156">
        <v>0</v>
      </c>
      <c r="F156">
        <v>4.3</v>
      </c>
      <c r="G156">
        <v>20000</v>
      </c>
      <c r="H156" t="s">
        <v>1551</v>
      </c>
      <c r="I156" t="s">
        <v>1355</v>
      </c>
      <c r="J156" t="s">
        <v>1444</v>
      </c>
      <c r="K156" t="s">
        <v>1449</v>
      </c>
      <c r="L156" t="s">
        <v>1459</v>
      </c>
      <c r="M156" t="s">
        <v>1462</v>
      </c>
      <c r="N156" t="s">
        <v>1467</v>
      </c>
    </row>
    <row r="157" spans="1:14" x14ac:dyDescent="0.25">
      <c r="A157" t="s">
        <v>169</v>
      </c>
      <c r="B157">
        <v>29</v>
      </c>
      <c r="C157">
        <v>1</v>
      </c>
      <c r="D157">
        <v>30000</v>
      </c>
      <c r="E157">
        <v>0</v>
      </c>
      <c r="F157">
        <v>4.0999999999999996</v>
      </c>
      <c r="G157">
        <v>30000</v>
      </c>
      <c r="H157" t="s">
        <v>1551</v>
      </c>
      <c r="I157" t="s">
        <v>1356</v>
      </c>
      <c r="J157" t="s">
        <v>1441</v>
      </c>
      <c r="K157" t="s">
        <v>1446</v>
      </c>
      <c r="L157" t="s">
        <v>1453</v>
      </c>
      <c r="M157" t="s">
        <v>1463</v>
      </c>
      <c r="N157" t="s">
        <v>1466</v>
      </c>
    </row>
    <row r="158" spans="1:14" x14ac:dyDescent="0.25">
      <c r="A158" t="s">
        <v>170</v>
      </c>
      <c r="B158">
        <v>53</v>
      </c>
      <c r="C158">
        <v>5</v>
      </c>
      <c r="D158">
        <v>30000</v>
      </c>
      <c r="E158">
        <v>15</v>
      </c>
      <c r="F158">
        <v>1.6</v>
      </c>
      <c r="G158">
        <v>127500</v>
      </c>
      <c r="H158" t="s">
        <v>1551</v>
      </c>
      <c r="I158" t="s">
        <v>1284</v>
      </c>
      <c r="J158" t="s">
        <v>1442</v>
      </c>
      <c r="K158" t="s">
        <v>1447</v>
      </c>
      <c r="L158" t="s">
        <v>1453</v>
      </c>
      <c r="M158" t="s">
        <v>1463</v>
      </c>
      <c r="N158" t="s">
        <v>1466</v>
      </c>
    </row>
    <row r="159" spans="1:14" x14ac:dyDescent="0.25">
      <c r="A159" t="s">
        <v>171</v>
      </c>
      <c r="B159">
        <v>47</v>
      </c>
      <c r="C159">
        <v>2</v>
      </c>
      <c r="D159">
        <v>28000</v>
      </c>
      <c r="E159">
        <v>10</v>
      </c>
      <c r="F159">
        <v>1.4</v>
      </c>
      <c r="G159">
        <v>50400</v>
      </c>
      <c r="H159" t="s">
        <v>1551</v>
      </c>
      <c r="I159" t="s">
        <v>1349</v>
      </c>
      <c r="J159" t="s">
        <v>1443</v>
      </c>
      <c r="K159" t="s">
        <v>1448</v>
      </c>
      <c r="L159" t="s">
        <v>1455</v>
      </c>
      <c r="M159" t="s">
        <v>1464</v>
      </c>
      <c r="N159" t="s">
        <v>1465</v>
      </c>
    </row>
    <row r="160" spans="1:14" x14ac:dyDescent="0.25">
      <c r="A160" t="s">
        <v>172</v>
      </c>
      <c r="B160">
        <v>25</v>
      </c>
      <c r="C160">
        <v>2</v>
      </c>
      <c r="D160">
        <v>32000</v>
      </c>
      <c r="E160">
        <v>15</v>
      </c>
      <c r="F160">
        <v>4</v>
      </c>
      <c r="G160">
        <v>54400</v>
      </c>
      <c r="H160" t="s">
        <v>1551</v>
      </c>
      <c r="I160" t="s">
        <v>1308</v>
      </c>
      <c r="J160" t="s">
        <v>1442</v>
      </c>
      <c r="K160" t="s">
        <v>1447</v>
      </c>
      <c r="L160" t="s">
        <v>1457</v>
      </c>
      <c r="M160" t="s">
        <v>1463</v>
      </c>
      <c r="N160" t="s">
        <v>1468</v>
      </c>
    </row>
    <row r="161" spans="1:14" x14ac:dyDescent="0.25">
      <c r="A161" t="s">
        <v>173</v>
      </c>
      <c r="B161">
        <v>18</v>
      </c>
      <c r="C161">
        <v>2</v>
      </c>
      <c r="D161">
        <v>22000</v>
      </c>
      <c r="E161">
        <v>0</v>
      </c>
      <c r="F161">
        <v>2</v>
      </c>
      <c r="G161">
        <v>44000</v>
      </c>
      <c r="H161" t="s">
        <v>1552</v>
      </c>
      <c r="I161" t="s">
        <v>1337</v>
      </c>
      <c r="J161" t="s">
        <v>1445</v>
      </c>
      <c r="K161" t="s">
        <v>1450</v>
      </c>
      <c r="L161" t="s">
        <v>1454</v>
      </c>
      <c r="M161" t="s">
        <v>1462</v>
      </c>
      <c r="N161" t="s">
        <v>1466</v>
      </c>
    </row>
    <row r="162" spans="1:14" x14ac:dyDescent="0.25">
      <c r="A162" t="s">
        <v>174</v>
      </c>
      <c r="B162">
        <v>49</v>
      </c>
      <c r="C162">
        <v>2</v>
      </c>
      <c r="D162">
        <v>22000</v>
      </c>
      <c r="E162">
        <v>15</v>
      </c>
      <c r="F162">
        <v>1.1000000000000001</v>
      </c>
      <c r="G162">
        <v>37400</v>
      </c>
      <c r="H162" t="s">
        <v>1553</v>
      </c>
      <c r="I162" t="s">
        <v>1330</v>
      </c>
      <c r="J162" t="s">
        <v>1444</v>
      </c>
      <c r="K162" t="s">
        <v>1449</v>
      </c>
      <c r="L162" t="s">
        <v>1454</v>
      </c>
      <c r="M162" t="s">
        <v>1462</v>
      </c>
      <c r="N162" t="s">
        <v>1465</v>
      </c>
    </row>
    <row r="163" spans="1:14" x14ac:dyDescent="0.25">
      <c r="A163" t="s">
        <v>175</v>
      </c>
      <c r="B163">
        <v>30</v>
      </c>
      <c r="C163">
        <v>4</v>
      </c>
      <c r="D163">
        <v>23000</v>
      </c>
      <c r="E163">
        <v>10</v>
      </c>
      <c r="F163">
        <v>1</v>
      </c>
      <c r="G163">
        <v>82800</v>
      </c>
      <c r="H163" t="s">
        <v>1553</v>
      </c>
      <c r="I163" t="s">
        <v>1357</v>
      </c>
      <c r="J163" t="s">
        <v>1442</v>
      </c>
      <c r="K163" t="s">
        <v>1447</v>
      </c>
      <c r="L163" t="s">
        <v>1456</v>
      </c>
      <c r="M163" t="s">
        <v>1463</v>
      </c>
      <c r="N163" t="s">
        <v>1465</v>
      </c>
    </row>
    <row r="164" spans="1:14" x14ac:dyDescent="0.25">
      <c r="A164" t="s">
        <v>176</v>
      </c>
      <c r="B164">
        <v>36</v>
      </c>
      <c r="C164">
        <v>1</v>
      </c>
      <c r="D164">
        <v>18000</v>
      </c>
      <c r="E164">
        <v>15</v>
      </c>
      <c r="F164">
        <v>3.9</v>
      </c>
      <c r="G164">
        <v>15300</v>
      </c>
      <c r="H164" t="s">
        <v>1554</v>
      </c>
      <c r="I164" t="s">
        <v>1358</v>
      </c>
      <c r="J164" t="s">
        <v>1442</v>
      </c>
      <c r="K164" t="s">
        <v>1447</v>
      </c>
      <c r="L164" t="s">
        <v>1460</v>
      </c>
      <c r="M164" t="s">
        <v>1463</v>
      </c>
      <c r="N164" t="s">
        <v>1468</v>
      </c>
    </row>
    <row r="165" spans="1:14" x14ac:dyDescent="0.25">
      <c r="A165" t="s">
        <v>177</v>
      </c>
      <c r="B165">
        <v>29</v>
      </c>
      <c r="C165">
        <v>1</v>
      </c>
      <c r="D165">
        <v>23000</v>
      </c>
      <c r="E165">
        <v>0</v>
      </c>
      <c r="F165">
        <v>3.7</v>
      </c>
      <c r="G165">
        <v>23000</v>
      </c>
      <c r="H165" t="s">
        <v>1554</v>
      </c>
      <c r="I165" t="s">
        <v>1292</v>
      </c>
      <c r="J165" t="s">
        <v>1444</v>
      </c>
      <c r="K165" t="s">
        <v>1449</v>
      </c>
      <c r="L165" t="s">
        <v>1456</v>
      </c>
      <c r="M165" t="s">
        <v>1463</v>
      </c>
      <c r="N165" t="s">
        <v>1467</v>
      </c>
    </row>
    <row r="166" spans="1:14" x14ac:dyDescent="0.25">
      <c r="A166" t="s">
        <v>178</v>
      </c>
      <c r="B166">
        <v>42</v>
      </c>
      <c r="C166">
        <v>1</v>
      </c>
      <c r="D166">
        <v>30000</v>
      </c>
      <c r="E166">
        <v>10</v>
      </c>
      <c r="F166">
        <v>3.5</v>
      </c>
      <c r="G166">
        <v>27000</v>
      </c>
      <c r="H166" t="s">
        <v>1554</v>
      </c>
      <c r="I166" t="s">
        <v>1359</v>
      </c>
      <c r="J166" t="s">
        <v>1442</v>
      </c>
      <c r="K166" t="s">
        <v>1447</v>
      </c>
      <c r="L166" t="s">
        <v>1453</v>
      </c>
      <c r="M166" t="s">
        <v>1463</v>
      </c>
      <c r="N166" t="s">
        <v>1468</v>
      </c>
    </row>
    <row r="167" spans="1:14" x14ac:dyDescent="0.25">
      <c r="A167" t="s">
        <v>179</v>
      </c>
      <c r="B167">
        <v>48</v>
      </c>
      <c r="C167">
        <v>5</v>
      </c>
      <c r="D167">
        <v>27000</v>
      </c>
      <c r="E167">
        <v>0</v>
      </c>
      <c r="F167">
        <v>2.1</v>
      </c>
      <c r="G167">
        <v>135000</v>
      </c>
      <c r="H167" t="s">
        <v>1555</v>
      </c>
      <c r="I167" t="s">
        <v>1307</v>
      </c>
      <c r="J167" t="s">
        <v>1441</v>
      </c>
      <c r="K167" t="s">
        <v>1446</v>
      </c>
      <c r="L167" t="s">
        <v>1458</v>
      </c>
      <c r="M167" t="s">
        <v>1464</v>
      </c>
      <c r="N167" t="s">
        <v>1466</v>
      </c>
    </row>
    <row r="168" spans="1:14" x14ac:dyDescent="0.25">
      <c r="A168" t="s">
        <v>180</v>
      </c>
      <c r="B168">
        <v>48</v>
      </c>
      <c r="C168">
        <v>5</v>
      </c>
      <c r="D168">
        <v>20000</v>
      </c>
      <c r="E168">
        <v>0</v>
      </c>
      <c r="F168">
        <v>2.2000000000000002</v>
      </c>
      <c r="G168">
        <v>100000</v>
      </c>
      <c r="H168" t="s">
        <v>1556</v>
      </c>
      <c r="I168" t="s">
        <v>1298</v>
      </c>
      <c r="J168" t="s">
        <v>1442</v>
      </c>
      <c r="K168" t="s">
        <v>1447</v>
      </c>
      <c r="L168" t="s">
        <v>1459</v>
      </c>
      <c r="M168" t="s">
        <v>1462</v>
      </c>
      <c r="N168" t="s">
        <v>1467</v>
      </c>
    </row>
    <row r="169" spans="1:14" x14ac:dyDescent="0.25">
      <c r="A169" t="s">
        <v>181</v>
      </c>
      <c r="B169">
        <v>31</v>
      </c>
      <c r="C169">
        <v>3</v>
      </c>
      <c r="D169">
        <v>27000</v>
      </c>
      <c r="E169">
        <v>15</v>
      </c>
      <c r="F169">
        <v>3.1</v>
      </c>
      <c r="G169">
        <v>68850</v>
      </c>
      <c r="H169" t="s">
        <v>1556</v>
      </c>
      <c r="I169" t="s">
        <v>1360</v>
      </c>
      <c r="J169" t="s">
        <v>1441</v>
      </c>
      <c r="K169" t="s">
        <v>1446</v>
      </c>
      <c r="L169" t="s">
        <v>1458</v>
      </c>
      <c r="M169" t="s">
        <v>1464</v>
      </c>
      <c r="N169" t="s">
        <v>1468</v>
      </c>
    </row>
    <row r="170" spans="1:14" x14ac:dyDescent="0.25">
      <c r="A170" t="s">
        <v>182</v>
      </c>
      <c r="B170">
        <v>34</v>
      </c>
      <c r="C170">
        <v>3</v>
      </c>
      <c r="D170">
        <v>18000</v>
      </c>
      <c r="E170">
        <v>0</v>
      </c>
      <c r="F170">
        <v>3.9</v>
      </c>
      <c r="G170">
        <v>54000</v>
      </c>
      <c r="H170" t="s">
        <v>1556</v>
      </c>
      <c r="I170" t="s">
        <v>1361</v>
      </c>
      <c r="J170" t="s">
        <v>1445</v>
      </c>
      <c r="K170" t="s">
        <v>1450</v>
      </c>
      <c r="L170" t="s">
        <v>1460</v>
      </c>
      <c r="M170" t="s">
        <v>1463</v>
      </c>
      <c r="N170" t="s">
        <v>1468</v>
      </c>
    </row>
    <row r="171" spans="1:14" x14ac:dyDescent="0.25">
      <c r="A171" t="s">
        <v>183</v>
      </c>
      <c r="B171">
        <v>53</v>
      </c>
      <c r="C171">
        <v>1</v>
      </c>
      <c r="D171">
        <v>32000</v>
      </c>
      <c r="E171">
        <v>15</v>
      </c>
      <c r="F171">
        <v>3.7</v>
      </c>
      <c r="G171">
        <v>27200</v>
      </c>
      <c r="H171" t="s">
        <v>1557</v>
      </c>
      <c r="I171" t="s">
        <v>1284</v>
      </c>
      <c r="J171" t="s">
        <v>1444</v>
      </c>
      <c r="K171" t="s">
        <v>1449</v>
      </c>
      <c r="L171" t="s">
        <v>1457</v>
      </c>
      <c r="M171" t="s">
        <v>1463</v>
      </c>
      <c r="N171" t="s">
        <v>1467</v>
      </c>
    </row>
    <row r="172" spans="1:14" x14ac:dyDescent="0.25">
      <c r="A172" t="s">
        <v>184</v>
      </c>
      <c r="B172">
        <v>48</v>
      </c>
      <c r="C172">
        <v>1</v>
      </c>
      <c r="D172">
        <v>23000</v>
      </c>
      <c r="E172">
        <v>5</v>
      </c>
      <c r="F172">
        <v>3.5</v>
      </c>
      <c r="G172">
        <v>21850</v>
      </c>
      <c r="H172" t="s">
        <v>1558</v>
      </c>
      <c r="I172" t="s">
        <v>1362</v>
      </c>
      <c r="J172" t="s">
        <v>1444</v>
      </c>
      <c r="K172" t="s">
        <v>1449</v>
      </c>
      <c r="L172" t="s">
        <v>1456</v>
      </c>
      <c r="M172" t="s">
        <v>1463</v>
      </c>
      <c r="N172" t="s">
        <v>1465</v>
      </c>
    </row>
    <row r="173" spans="1:14" x14ac:dyDescent="0.25">
      <c r="A173" t="s">
        <v>185</v>
      </c>
      <c r="B173">
        <v>40</v>
      </c>
      <c r="C173">
        <v>1</v>
      </c>
      <c r="D173">
        <v>23000</v>
      </c>
      <c r="E173">
        <v>0</v>
      </c>
      <c r="F173">
        <v>1.4</v>
      </c>
      <c r="G173">
        <v>23000</v>
      </c>
      <c r="H173" t="s">
        <v>1558</v>
      </c>
      <c r="I173" t="s">
        <v>1363</v>
      </c>
      <c r="J173" t="s">
        <v>1443</v>
      </c>
      <c r="K173" t="s">
        <v>1448</v>
      </c>
      <c r="L173" t="s">
        <v>1456</v>
      </c>
      <c r="M173" t="s">
        <v>1463</v>
      </c>
      <c r="N173" t="s">
        <v>1467</v>
      </c>
    </row>
    <row r="174" spans="1:14" x14ac:dyDescent="0.25">
      <c r="A174" t="s">
        <v>186</v>
      </c>
      <c r="B174">
        <v>46</v>
      </c>
      <c r="C174">
        <v>4</v>
      </c>
      <c r="D174">
        <v>18000</v>
      </c>
      <c r="E174">
        <v>15</v>
      </c>
      <c r="F174">
        <v>3.3</v>
      </c>
      <c r="G174">
        <v>61200</v>
      </c>
      <c r="H174" t="s">
        <v>1559</v>
      </c>
      <c r="I174" t="s">
        <v>1255</v>
      </c>
      <c r="J174" t="s">
        <v>1443</v>
      </c>
      <c r="K174" t="s">
        <v>1448</v>
      </c>
      <c r="L174" t="s">
        <v>1461</v>
      </c>
      <c r="M174" t="s">
        <v>1462</v>
      </c>
      <c r="N174" t="s">
        <v>1466</v>
      </c>
    </row>
    <row r="175" spans="1:14" x14ac:dyDescent="0.25">
      <c r="A175" t="s">
        <v>187</v>
      </c>
      <c r="B175">
        <v>27</v>
      </c>
      <c r="C175">
        <v>2</v>
      </c>
      <c r="D175">
        <v>25000</v>
      </c>
      <c r="E175">
        <v>15</v>
      </c>
      <c r="F175">
        <v>4</v>
      </c>
      <c r="G175">
        <v>42500</v>
      </c>
      <c r="H175" t="s">
        <v>1559</v>
      </c>
      <c r="I175" t="s">
        <v>1364</v>
      </c>
      <c r="J175" t="s">
        <v>1441</v>
      </c>
      <c r="K175" t="s">
        <v>1446</v>
      </c>
      <c r="L175" t="s">
        <v>1452</v>
      </c>
      <c r="M175" t="s">
        <v>1462</v>
      </c>
      <c r="N175" t="s">
        <v>1468</v>
      </c>
    </row>
    <row r="176" spans="1:14" x14ac:dyDescent="0.25">
      <c r="A176" t="s">
        <v>188</v>
      </c>
      <c r="B176">
        <v>37</v>
      </c>
      <c r="C176">
        <v>5</v>
      </c>
      <c r="D176">
        <v>22000</v>
      </c>
      <c r="E176">
        <v>0</v>
      </c>
      <c r="F176">
        <v>2.7</v>
      </c>
      <c r="G176">
        <v>110000</v>
      </c>
      <c r="H176" t="s">
        <v>1559</v>
      </c>
      <c r="I176" t="s">
        <v>1300</v>
      </c>
      <c r="J176" t="s">
        <v>1443</v>
      </c>
      <c r="K176" t="s">
        <v>1448</v>
      </c>
      <c r="L176" t="s">
        <v>1454</v>
      </c>
      <c r="M176" t="s">
        <v>1462</v>
      </c>
      <c r="N176" t="s">
        <v>1468</v>
      </c>
    </row>
    <row r="177" spans="1:14" x14ac:dyDescent="0.25">
      <c r="A177" t="s">
        <v>189</v>
      </c>
      <c r="B177">
        <v>36</v>
      </c>
      <c r="C177">
        <v>2</v>
      </c>
      <c r="D177">
        <v>25000</v>
      </c>
      <c r="E177">
        <v>0</v>
      </c>
      <c r="F177">
        <v>4</v>
      </c>
      <c r="G177">
        <v>50000</v>
      </c>
      <c r="H177" t="s">
        <v>1560</v>
      </c>
      <c r="I177" t="s">
        <v>1358</v>
      </c>
      <c r="J177" t="s">
        <v>1444</v>
      </c>
      <c r="K177" t="s">
        <v>1449</v>
      </c>
      <c r="L177" t="s">
        <v>1452</v>
      </c>
      <c r="M177" t="s">
        <v>1462</v>
      </c>
      <c r="N177" t="s">
        <v>1467</v>
      </c>
    </row>
    <row r="178" spans="1:14" x14ac:dyDescent="0.25">
      <c r="A178" t="s">
        <v>190</v>
      </c>
      <c r="B178">
        <v>52</v>
      </c>
      <c r="C178">
        <v>5</v>
      </c>
      <c r="D178">
        <v>27000</v>
      </c>
      <c r="E178">
        <v>10</v>
      </c>
      <c r="F178">
        <v>4.9000000000000004</v>
      </c>
      <c r="G178">
        <v>121500</v>
      </c>
      <c r="H178" t="s">
        <v>1561</v>
      </c>
      <c r="I178" t="s">
        <v>1365</v>
      </c>
      <c r="J178" t="s">
        <v>1443</v>
      </c>
      <c r="K178" t="s">
        <v>1448</v>
      </c>
      <c r="L178" t="s">
        <v>1458</v>
      </c>
      <c r="M178" t="s">
        <v>1464</v>
      </c>
      <c r="N178" t="s">
        <v>1466</v>
      </c>
    </row>
    <row r="179" spans="1:14" x14ac:dyDescent="0.25">
      <c r="A179" t="s">
        <v>191</v>
      </c>
      <c r="B179">
        <v>32</v>
      </c>
      <c r="C179">
        <v>5</v>
      </c>
      <c r="D179">
        <v>25000</v>
      </c>
      <c r="E179">
        <v>15</v>
      </c>
      <c r="F179">
        <v>2.4</v>
      </c>
      <c r="G179">
        <v>106250</v>
      </c>
      <c r="H179" t="s">
        <v>1561</v>
      </c>
      <c r="I179" t="s">
        <v>1366</v>
      </c>
      <c r="J179" t="s">
        <v>1444</v>
      </c>
      <c r="K179" t="s">
        <v>1449</v>
      </c>
      <c r="L179" t="s">
        <v>1452</v>
      </c>
      <c r="M179" t="s">
        <v>1462</v>
      </c>
      <c r="N179" t="s">
        <v>1468</v>
      </c>
    </row>
    <row r="180" spans="1:14" x14ac:dyDescent="0.25">
      <c r="A180" t="s">
        <v>192</v>
      </c>
      <c r="B180">
        <v>48</v>
      </c>
      <c r="C180">
        <v>3</v>
      </c>
      <c r="D180">
        <v>27000</v>
      </c>
      <c r="E180">
        <v>15</v>
      </c>
      <c r="F180">
        <v>1</v>
      </c>
      <c r="G180">
        <v>68850</v>
      </c>
      <c r="H180" t="s">
        <v>1562</v>
      </c>
      <c r="I180" t="s">
        <v>1293</v>
      </c>
      <c r="J180" t="s">
        <v>1441</v>
      </c>
      <c r="K180" t="s">
        <v>1446</v>
      </c>
      <c r="L180" t="s">
        <v>1458</v>
      </c>
      <c r="M180" t="s">
        <v>1464</v>
      </c>
      <c r="N180" t="s">
        <v>1467</v>
      </c>
    </row>
    <row r="181" spans="1:14" x14ac:dyDescent="0.25">
      <c r="A181" t="s">
        <v>193</v>
      </c>
      <c r="B181">
        <v>25</v>
      </c>
      <c r="C181">
        <v>2</v>
      </c>
      <c r="D181">
        <v>23000</v>
      </c>
      <c r="E181">
        <v>0</v>
      </c>
      <c r="F181">
        <v>4</v>
      </c>
      <c r="G181">
        <v>46000</v>
      </c>
      <c r="H181" t="s">
        <v>1563</v>
      </c>
      <c r="I181" t="s">
        <v>1367</v>
      </c>
      <c r="J181" t="s">
        <v>1443</v>
      </c>
      <c r="K181" t="s">
        <v>1448</v>
      </c>
      <c r="L181" t="s">
        <v>1456</v>
      </c>
      <c r="M181" t="s">
        <v>1463</v>
      </c>
      <c r="N181" t="s">
        <v>1468</v>
      </c>
    </row>
    <row r="182" spans="1:14" x14ac:dyDescent="0.25">
      <c r="A182" t="s">
        <v>194</v>
      </c>
      <c r="B182">
        <v>22</v>
      </c>
      <c r="C182">
        <v>1</v>
      </c>
      <c r="D182">
        <v>27000</v>
      </c>
      <c r="E182">
        <v>0</v>
      </c>
      <c r="F182">
        <v>2.2999999999999998</v>
      </c>
      <c r="G182">
        <v>27000</v>
      </c>
      <c r="H182" t="s">
        <v>1564</v>
      </c>
      <c r="I182" t="s">
        <v>1258</v>
      </c>
      <c r="J182" t="s">
        <v>1441</v>
      </c>
      <c r="K182" t="s">
        <v>1446</v>
      </c>
      <c r="L182" t="s">
        <v>1458</v>
      </c>
      <c r="M182" t="s">
        <v>1464</v>
      </c>
      <c r="N182" t="s">
        <v>1465</v>
      </c>
    </row>
    <row r="183" spans="1:14" x14ac:dyDescent="0.25">
      <c r="A183" t="s">
        <v>195</v>
      </c>
      <c r="B183">
        <v>29</v>
      </c>
      <c r="C183">
        <v>5</v>
      </c>
      <c r="D183">
        <v>32000</v>
      </c>
      <c r="E183">
        <v>0</v>
      </c>
      <c r="F183">
        <v>2.2000000000000002</v>
      </c>
      <c r="G183">
        <v>160000</v>
      </c>
      <c r="H183" t="s">
        <v>1565</v>
      </c>
      <c r="I183" t="s">
        <v>1292</v>
      </c>
      <c r="J183" t="s">
        <v>1443</v>
      </c>
      <c r="K183" t="s">
        <v>1448</v>
      </c>
      <c r="L183" t="s">
        <v>1457</v>
      </c>
      <c r="M183" t="s">
        <v>1463</v>
      </c>
      <c r="N183" t="s">
        <v>1468</v>
      </c>
    </row>
    <row r="184" spans="1:14" x14ac:dyDescent="0.25">
      <c r="A184" t="s">
        <v>196</v>
      </c>
      <c r="B184">
        <v>48</v>
      </c>
      <c r="C184">
        <v>2</v>
      </c>
      <c r="D184">
        <v>22000</v>
      </c>
      <c r="E184">
        <v>20</v>
      </c>
      <c r="F184">
        <v>4</v>
      </c>
      <c r="G184">
        <v>35200</v>
      </c>
      <c r="H184" t="s">
        <v>1565</v>
      </c>
      <c r="I184" t="s">
        <v>1266</v>
      </c>
      <c r="J184" t="s">
        <v>1441</v>
      </c>
      <c r="K184" t="s">
        <v>1446</v>
      </c>
      <c r="L184" t="s">
        <v>1454</v>
      </c>
      <c r="M184" t="s">
        <v>1462</v>
      </c>
      <c r="N184" t="s">
        <v>1467</v>
      </c>
    </row>
    <row r="185" spans="1:14" x14ac:dyDescent="0.25">
      <c r="A185" t="s">
        <v>197</v>
      </c>
      <c r="B185">
        <v>21</v>
      </c>
      <c r="C185">
        <v>1</v>
      </c>
      <c r="D185">
        <v>20000</v>
      </c>
      <c r="E185">
        <v>15</v>
      </c>
      <c r="F185">
        <v>1.1000000000000001</v>
      </c>
      <c r="G185">
        <v>17000</v>
      </c>
      <c r="H185" t="s">
        <v>1565</v>
      </c>
      <c r="I185" t="s">
        <v>1368</v>
      </c>
      <c r="J185" t="s">
        <v>1441</v>
      </c>
      <c r="K185" t="s">
        <v>1446</v>
      </c>
      <c r="L185" t="s">
        <v>1459</v>
      </c>
      <c r="M185" t="s">
        <v>1462</v>
      </c>
      <c r="N185" t="s">
        <v>1468</v>
      </c>
    </row>
    <row r="186" spans="1:14" x14ac:dyDescent="0.25">
      <c r="A186" t="s">
        <v>198</v>
      </c>
      <c r="B186">
        <v>48</v>
      </c>
      <c r="C186">
        <v>1</v>
      </c>
      <c r="D186">
        <v>18000</v>
      </c>
      <c r="E186">
        <v>0</v>
      </c>
      <c r="F186">
        <v>2.7</v>
      </c>
      <c r="G186">
        <v>18000</v>
      </c>
      <c r="H186" t="s">
        <v>1566</v>
      </c>
      <c r="I186" t="s">
        <v>1293</v>
      </c>
      <c r="J186" t="s">
        <v>1442</v>
      </c>
      <c r="K186" t="s">
        <v>1447</v>
      </c>
      <c r="L186" t="s">
        <v>1460</v>
      </c>
      <c r="M186" t="s">
        <v>1463</v>
      </c>
      <c r="N186" t="s">
        <v>1467</v>
      </c>
    </row>
    <row r="187" spans="1:14" x14ac:dyDescent="0.25">
      <c r="A187" t="s">
        <v>199</v>
      </c>
      <c r="B187">
        <v>36</v>
      </c>
      <c r="C187">
        <v>1</v>
      </c>
      <c r="D187">
        <v>23000</v>
      </c>
      <c r="E187">
        <v>10</v>
      </c>
      <c r="F187">
        <v>4</v>
      </c>
      <c r="G187">
        <v>20700</v>
      </c>
      <c r="H187" t="s">
        <v>1566</v>
      </c>
      <c r="I187" t="s">
        <v>1358</v>
      </c>
      <c r="J187" t="s">
        <v>1441</v>
      </c>
      <c r="K187" t="s">
        <v>1446</v>
      </c>
      <c r="L187" t="s">
        <v>1456</v>
      </c>
      <c r="M187" t="s">
        <v>1463</v>
      </c>
      <c r="N187" t="s">
        <v>1466</v>
      </c>
    </row>
    <row r="188" spans="1:14" x14ac:dyDescent="0.25">
      <c r="A188" t="s">
        <v>200</v>
      </c>
      <c r="B188">
        <v>31</v>
      </c>
      <c r="C188">
        <v>1</v>
      </c>
      <c r="D188">
        <v>32000</v>
      </c>
      <c r="E188">
        <v>10</v>
      </c>
      <c r="F188">
        <v>3.3</v>
      </c>
      <c r="G188">
        <v>28800</v>
      </c>
      <c r="H188" t="s">
        <v>1566</v>
      </c>
      <c r="I188" t="s">
        <v>1369</v>
      </c>
      <c r="J188" t="s">
        <v>1442</v>
      </c>
      <c r="K188" t="s">
        <v>1447</v>
      </c>
      <c r="L188" t="s">
        <v>1457</v>
      </c>
      <c r="M188" t="s">
        <v>1463</v>
      </c>
      <c r="N188" t="s">
        <v>1468</v>
      </c>
    </row>
    <row r="189" spans="1:14" x14ac:dyDescent="0.25">
      <c r="A189" t="s">
        <v>201</v>
      </c>
      <c r="B189">
        <v>53</v>
      </c>
      <c r="C189">
        <v>4</v>
      </c>
      <c r="D189">
        <v>25000</v>
      </c>
      <c r="E189">
        <v>0</v>
      </c>
      <c r="F189">
        <v>1</v>
      </c>
      <c r="G189">
        <v>100000</v>
      </c>
      <c r="H189" t="s">
        <v>1566</v>
      </c>
      <c r="I189" t="s">
        <v>1284</v>
      </c>
      <c r="J189" t="s">
        <v>1443</v>
      </c>
      <c r="K189" t="s">
        <v>1448</v>
      </c>
      <c r="L189" t="s">
        <v>1452</v>
      </c>
      <c r="M189" t="s">
        <v>1462</v>
      </c>
      <c r="N189" t="s">
        <v>1466</v>
      </c>
    </row>
    <row r="190" spans="1:14" x14ac:dyDescent="0.25">
      <c r="A190" t="s">
        <v>202</v>
      </c>
      <c r="B190">
        <v>42</v>
      </c>
      <c r="C190">
        <v>1</v>
      </c>
      <c r="D190">
        <v>20000</v>
      </c>
      <c r="E190">
        <v>0</v>
      </c>
      <c r="F190">
        <v>4.0999999999999996</v>
      </c>
      <c r="G190">
        <v>20000</v>
      </c>
      <c r="H190" t="s">
        <v>1566</v>
      </c>
      <c r="I190" t="s">
        <v>1370</v>
      </c>
      <c r="J190" t="s">
        <v>1443</v>
      </c>
      <c r="K190" t="s">
        <v>1448</v>
      </c>
      <c r="L190" t="s">
        <v>1459</v>
      </c>
      <c r="M190" t="s">
        <v>1462</v>
      </c>
      <c r="N190" t="s">
        <v>1465</v>
      </c>
    </row>
    <row r="191" spans="1:14" x14ac:dyDescent="0.25">
      <c r="A191" t="s">
        <v>203</v>
      </c>
      <c r="B191">
        <v>30</v>
      </c>
      <c r="C191">
        <v>5</v>
      </c>
      <c r="D191">
        <v>27000</v>
      </c>
      <c r="E191">
        <v>0</v>
      </c>
      <c r="F191">
        <v>4.3</v>
      </c>
      <c r="G191">
        <v>135000</v>
      </c>
      <c r="H191" t="s">
        <v>1567</v>
      </c>
      <c r="I191" t="s">
        <v>1371</v>
      </c>
      <c r="J191" t="s">
        <v>1444</v>
      </c>
      <c r="K191" t="s">
        <v>1449</v>
      </c>
      <c r="L191" t="s">
        <v>1458</v>
      </c>
      <c r="M191" t="s">
        <v>1464</v>
      </c>
      <c r="N191" t="s">
        <v>1468</v>
      </c>
    </row>
    <row r="192" spans="1:14" x14ac:dyDescent="0.25">
      <c r="A192" t="s">
        <v>204</v>
      </c>
      <c r="B192">
        <v>39</v>
      </c>
      <c r="C192">
        <v>1</v>
      </c>
      <c r="D192">
        <v>32000</v>
      </c>
      <c r="E192">
        <v>0</v>
      </c>
      <c r="F192">
        <v>4.4000000000000004</v>
      </c>
      <c r="G192">
        <v>32000</v>
      </c>
      <c r="H192" t="s">
        <v>1568</v>
      </c>
      <c r="I192" t="s">
        <v>1372</v>
      </c>
      <c r="J192" t="s">
        <v>1441</v>
      </c>
      <c r="K192" t="s">
        <v>1446</v>
      </c>
      <c r="L192" t="s">
        <v>1457</v>
      </c>
      <c r="M192" t="s">
        <v>1463</v>
      </c>
      <c r="N192" t="s">
        <v>1467</v>
      </c>
    </row>
    <row r="193" spans="1:14" x14ac:dyDescent="0.25">
      <c r="A193" t="s">
        <v>205</v>
      </c>
      <c r="B193">
        <v>18</v>
      </c>
      <c r="C193">
        <v>2</v>
      </c>
      <c r="D193">
        <v>18000</v>
      </c>
      <c r="E193">
        <v>5</v>
      </c>
      <c r="F193">
        <v>2.2999999999999998</v>
      </c>
      <c r="G193">
        <v>34200</v>
      </c>
      <c r="H193" t="s">
        <v>1568</v>
      </c>
      <c r="I193" t="s">
        <v>1373</v>
      </c>
      <c r="J193" t="s">
        <v>1443</v>
      </c>
      <c r="K193" t="s">
        <v>1448</v>
      </c>
      <c r="L193" t="s">
        <v>1461</v>
      </c>
      <c r="M193" t="s">
        <v>1462</v>
      </c>
      <c r="N193" t="s">
        <v>1466</v>
      </c>
    </row>
    <row r="194" spans="1:14" x14ac:dyDescent="0.25">
      <c r="A194" t="s">
        <v>206</v>
      </c>
      <c r="B194">
        <v>43</v>
      </c>
      <c r="C194">
        <v>3</v>
      </c>
      <c r="D194">
        <v>30000</v>
      </c>
      <c r="E194">
        <v>20</v>
      </c>
      <c r="F194">
        <v>1.8</v>
      </c>
      <c r="G194">
        <v>72000</v>
      </c>
      <c r="H194" t="s">
        <v>1568</v>
      </c>
      <c r="I194" t="s">
        <v>1354</v>
      </c>
      <c r="J194" t="s">
        <v>1444</v>
      </c>
      <c r="K194" t="s">
        <v>1449</v>
      </c>
      <c r="L194" t="s">
        <v>1453</v>
      </c>
      <c r="M194" t="s">
        <v>1463</v>
      </c>
      <c r="N194" t="s">
        <v>1468</v>
      </c>
    </row>
    <row r="195" spans="1:14" x14ac:dyDescent="0.25">
      <c r="A195" t="s">
        <v>207</v>
      </c>
      <c r="B195">
        <v>40</v>
      </c>
      <c r="C195">
        <v>1</v>
      </c>
      <c r="D195">
        <v>30000</v>
      </c>
      <c r="E195">
        <v>0</v>
      </c>
      <c r="F195">
        <v>1.9</v>
      </c>
      <c r="G195">
        <v>30000</v>
      </c>
      <c r="H195" t="s">
        <v>1569</v>
      </c>
      <c r="I195" t="s">
        <v>1251</v>
      </c>
      <c r="J195" t="s">
        <v>1443</v>
      </c>
      <c r="K195" t="s">
        <v>1448</v>
      </c>
      <c r="L195" t="s">
        <v>1453</v>
      </c>
      <c r="M195" t="s">
        <v>1463</v>
      </c>
      <c r="N195" t="s">
        <v>1465</v>
      </c>
    </row>
    <row r="196" spans="1:14" x14ac:dyDescent="0.25">
      <c r="A196" t="s">
        <v>208</v>
      </c>
      <c r="B196">
        <v>42</v>
      </c>
      <c r="C196">
        <v>4</v>
      </c>
      <c r="D196">
        <v>27000</v>
      </c>
      <c r="E196">
        <v>20</v>
      </c>
      <c r="F196">
        <v>2.1</v>
      </c>
      <c r="G196">
        <v>86400</v>
      </c>
      <c r="H196" t="s">
        <v>1570</v>
      </c>
      <c r="I196" t="s">
        <v>1374</v>
      </c>
      <c r="J196" t="s">
        <v>1442</v>
      </c>
      <c r="K196" t="s">
        <v>1447</v>
      </c>
      <c r="L196" t="s">
        <v>1458</v>
      </c>
      <c r="M196" t="s">
        <v>1464</v>
      </c>
      <c r="N196" t="s">
        <v>1465</v>
      </c>
    </row>
    <row r="197" spans="1:14" x14ac:dyDescent="0.25">
      <c r="A197" t="s">
        <v>209</v>
      </c>
      <c r="B197">
        <v>19</v>
      </c>
      <c r="C197">
        <v>1</v>
      </c>
      <c r="D197">
        <v>27000</v>
      </c>
      <c r="E197">
        <v>0</v>
      </c>
      <c r="F197">
        <v>2.7</v>
      </c>
      <c r="G197">
        <v>27000</v>
      </c>
      <c r="H197" t="s">
        <v>1571</v>
      </c>
      <c r="I197" t="s">
        <v>1317</v>
      </c>
      <c r="J197" t="s">
        <v>1441</v>
      </c>
      <c r="K197" t="s">
        <v>1446</v>
      </c>
      <c r="L197" t="s">
        <v>1458</v>
      </c>
      <c r="M197" t="s">
        <v>1464</v>
      </c>
      <c r="N197" t="s">
        <v>1465</v>
      </c>
    </row>
    <row r="198" spans="1:14" x14ac:dyDescent="0.25">
      <c r="A198" t="s">
        <v>210</v>
      </c>
      <c r="B198">
        <v>28</v>
      </c>
      <c r="C198">
        <v>1</v>
      </c>
      <c r="D198">
        <v>27000</v>
      </c>
      <c r="E198">
        <v>5</v>
      </c>
      <c r="F198">
        <v>2.2000000000000002</v>
      </c>
      <c r="G198">
        <v>25650</v>
      </c>
      <c r="H198" t="s">
        <v>1572</v>
      </c>
      <c r="I198" t="s">
        <v>1375</v>
      </c>
      <c r="J198" t="s">
        <v>1442</v>
      </c>
      <c r="K198" t="s">
        <v>1447</v>
      </c>
      <c r="L198" t="s">
        <v>1458</v>
      </c>
      <c r="M198" t="s">
        <v>1464</v>
      </c>
      <c r="N198" t="s">
        <v>1468</v>
      </c>
    </row>
    <row r="199" spans="1:14" x14ac:dyDescent="0.25">
      <c r="A199" t="s">
        <v>211</v>
      </c>
      <c r="B199">
        <v>19</v>
      </c>
      <c r="C199">
        <v>2</v>
      </c>
      <c r="D199">
        <v>18000</v>
      </c>
      <c r="E199">
        <v>0</v>
      </c>
      <c r="F199">
        <v>2.4</v>
      </c>
      <c r="G199">
        <v>36000</v>
      </c>
      <c r="H199" t="s">
        <v>1572</v>
      </c>
      <c r="I199" t="s">
        <v>1317</v>
      </c>
      <c r="J199" t="s">
        <v>1444</v>
      </c>
      <c r="K199" t="s">
        <v>1449</v>
      </c>
      <c r="L199" t="s">
        <v>1460</v>
      </c>
      <c r="M199" t="s">
        <v>1463</v>
      </c>
      <c r="N199" t="s">
        <v>1465</v>
      </c>
    </row>
    <row r="200" spans="1:14" x14ac:dyDescent="0.25">
      <c r="A200" t="s">
        <v>212</v>
      </c>
      <c r="B200">
        <v>38</v>
      </c>
      <c r="C200">
        <v>3</v>
      </c>
      <c r="D200">
        <v>30000</v>
      </c>
      <c r="E200">
        <v>0</v>
      </c>
      <c r="F200">
        <v>1.9</v>
      </c>
      <c r="G200">
        <v>90000</v>
      </c>
      <c r="H200" t="s">
        <v>1572</v>
      </c>
      <c r="I200" t="s">
        <v>1376</v>
      </c>
      <c r="J200" t="s">
        <v>1443</v>
      </c>
      <c r="K200" t="s">
        <v>1448</v>
      </c>
      <c r="L200" t="s">
        <v>1453</v>
      </c>
      <c r="M200" t="s">
        <v>1463</v>
      </c>
      <c r="N200" t="s">
        <v>1467</v>
      </c>
    </row>
    <row r="201" spans="1:14" x14ac:dyDescent="0.25">
      <c r="A201" t="s">
        <v>213</v>
      </c>
      <c r="B201">
        <v>33</v>
      </c>
      <c r="C201">
        <v>3</v>
      </c>
      <c r="D201">
        <v>30000</v>
      </c>
      <c r="E201">
        <v>0</v>
      </c>
      <c r="F201">
        <v>3.5</v>
      </c>
      <c r="G201">
        <v>90000</v>
      </c>
      <c r="H201" t="s">
        <v>1573</v>
      </c>
      <c r="I201" t="s">
        <v>1264</v>
      </c>
      <c r="J201" t="s">
        <v>1441</v>
      </c>
      <c r="K201" t="s">
        <v>1446</v>
      </c>
      <c r="L201" t="s">
        <v>1453</v>
      </c>
      <c r="M201" t="s">
        <v>1463</v>
      </c>
      <c r="N201" t="s">
        <v>1465</v>
      </c>
    </row>
    <row r="202" spans="1:14" x14ac:dyDescent="0.25">
      <c r="A202" t="s">
        <v>214</v>
      </c>
      <c r="B202">
        <v>29</v>
      </c>
      <c r="C202">
        <v>3</v>
      </c>
      <c r="D202">
        <v>27000</v>
      </c>
      <c r="E202">
        <v>10</v>
      </c>
      <c r="F202">
        <v>4.3</v>
      </c>
      <c r="G202">
        <v>72900</v>
      </c>
      <c r="H202" t="s">
        <v>1573</v>
      </c>
      <c r="I202" t="s">
        <v>1377</v>
      </c>
      <c r="J202" t="s">
        <v>1443</v>
      </c>
      <c r="K202" t="s">
        <v>1448</v>
      </c>
      <c r="L202" t="s">
        <v>1458</v>
      </c>
      <c r="M202" t="s">
        <v>1464</v>
      </c>
      <c r="N202" t="s">
        <v>1468</v>
      </c>
    </row>
    <row r="203" spans="1:14" x14ac:dyDescent="0.25">
      <c r="A203" t="s">
        <v>215</v>
      </c>
      <c r="B203">
        <v>48</v>
      </c>
      <c r="C203">
        <v>3</v>
      </c>
      <c r="D203">
        <v>23000</v>
      </c>
      <c r="E203">
        <v>15</v>
      </c>
      <c r="F203">
        <v>4</v>
      </c>
      <c r="G203">
        <v>58650</v>
      </c>
      <c r="H203" t="s">
        <v>1574</v>
      </c>
      <c r="I203" t="s">
        <v>1378</v>
      </c>
      <c r="J203" t="s">
        <v>1442</v>
      </c>
      <c r="K203" t="s">
        <v>1447</v>
      </c>
      <c r="L203" t="s">
        <v>1456</v>
      </c>
      <c r="M203" t="s">
        <v>1463</v>
      </c>
      <c r="N203" t="s">
        <v>1468</v>
      </c>
    </row>
    <row r="204" spans="1:14" x14ac:dyDescent="0.25">
      <c r="A204" t="s">
        <v>216</v>
      </c>
      <c r="B204">
        <v>44</v>
      </c>
      <c r="C204">
        <v>2</v>
      </c>
      <c r="D204">
        <v>28000</v>
      </c>
      <c r="E204">
        <v>0</v>
      </c>
      <c r="F204">
        <v>2.7</v>
      </c>
      <c r="G204">
        <v>56000</v>
      </c>
      <c r="H204" t="s">
        <v>1575</v>
      </c>
      <c r="I204" t="s">
        <v>1379</v>
      </c>
      <c r="J204" t="s">
        <v>1442</v>
      </c>
      <c r="K204" t="s">
        <v>1447</v>
      </c>
      <c r="L204" t="s">
        <v>1455</v>
      </c>
      <c r="M204" t="s">
        <v>1464</v>
      </c>
      <c r="N204" t="s">
        <v>1467</v>
      </c>
    </row>
    <row r="205" spans="1:14" x14ac:dyDescent="0.25">
      <c r="A205" t="s">
        <v>217</v>
      </c>
      <c r="B205">
        <v>22</v>
      </c>
      <c r="C205">
        <v>1</v>
      </c>
      <c r="D205">
        <v>30000</v>
      </c>
      <c r="E205">
        <v>0</v>
      </c>
      <c r="F205">
        <v>1.4</v>
      </c>
      <c r="G205">
        <v>30000</v>
      </c>
      <c r="H205" t="s">
        <v>1576</v>
      </c>
      <c r="I205" t="s">
        <v>1325</v>
      </c>
      <c r="J205" t="s">
        <v>1444</v>
      </c>
      <c r="K205" t="s">
        <v>1449</v>
      </c>
      <c r="L205" t="s">
        <v>1453</v>
      </c>
      <c r="M205" t="s">
        <v>1463</v>
      </c>
      <c r="N205" t="s">
        <v>1468</v>
      </c>
    </row>
    <row r="206" spans="1:14" x14ac:dyDescent="0.25">
      <c r="A206" t="s">
        <v>218</v>
      </c>
      <c r="B206">
        <v>34</v>
      </c>
      <c r="C206">
        <v>5</v>
      </c>
      <c r="D206">
        <v>25000</v>
      </c>
      <c r="E206">
        <v>15</v>
      </c>
      <c r="F206">
        <v>3.3</v>
      </c>
      <c r="G206">
        <v>106250</v>
      </c>
      <c r="H206" t="s">
        <v>1577</v>
      </c>
      <c r="I206" t="s">
        <v>1336</v>
      </c>
      <c r="J206" t="s">
        <v>1445</v>
      </c>
      <c r="K206" t="s">
        <v>1450</v>
      </c>
      <c r="L206" t="s">
        <v>1452</v>
      </c>
      <c r="M206" t="s">
        <v>1462</v>
      </c>
      <c r="N206" t="s">
        <v>1467</v>
      </c>
    </row>
    <row r="207" spans="1:14" x14ac:dyDescent="0.25">
      <c r="A207" t="s">
        <v>219</v>
      </c>
      <c r="B207">
        <v>45</v>
      </c>
      <c r="C207">
        <v>2</v>
      </c>
      <c r="D207">
        <v>18000</v>
      </c>
      <c r="E207">
        <v>5</v>
      </c>
      <c r="F207">
        <v>1</v>
      </c>
      <c r="G207">
        <v>34200</v>
      </c>
      <c r="H207" t="s">
        <v>1577</v>
      </c>
      <c r="I207" t="s">
        <v>1249</v>
      </c>
      <c r="J207" t="s">
        <v>1444</v>
      </c>
      <c r="K207" t="s">
        <v>1449</v>
      </c>
      <c r="L207" t="s">
        <v>1460</v>
      </c>
      <c r="M207" t="s">
        <v>1463</v>
      </c>
      <c r="N207" t="s">
        <v>1465</v>
      </c>
    </row>
    <row r="208" spans="1:14" x14ac:dyDescent="0.25">
      <c r="A208" t="s">
        <v>220</v>
      </c>
      <c r="B208">
        <v>49</v>
      </c>
      <c r="C208">
        <v>5</v>
      </c>
      <c r="D208">
        <v>23000</v>
      </c>
      <c r="E208">
        <v>5</v>
      </c>
      <c r="F208">
        <v>2.8</v>
      </c>
      <c r="G208">
        <v>109250</v>
      </c>
      <c r="H208" t="s">
        <v>1578</v>
      </c>
      <c r="I208" t="s">
        <v>1288</v>
      </c>
      <c r="J208" t="s">
        <v>1441</v>
      </c>
      <c r="K208" t="s">
        <v>1446</v>
      </c>
      <c r="L208" t="s">
        <v>1456</v>
      </c>
      <c r="M208" t="s">
        <v>1463</v>
      </c>
      <c r="N208" t="s">
        <v>1465</v>
      </c>
    </row>
    <row r="209" spans="1:14" x14ac:dyDescent="0.25">
      <c r="A209" t="s">
        <v>221</v>
      </c>
      <c r="B209">
        <v>42</v>
      </c>
      <c r="C209">
        <v>2</v>
      </c>
      <c r="D209">
        <v>32000</v>
      </c>
      <c r="E209">
        <v>5</v>
      </c>
      <c r="F209">
        <v>4.5999999999999996</v>
      </c>
      <c r="G209">
        <v>60800</v>
      </c>
      <c r="H209" t="s">
        <v>1578</v>
      </c>
      <c r="I209" t="s">
        <v>1280</v>
      </c>
      <c r="J209" t="s">
        <v>1445</v>
      </c>
      <c r="K209" t="s">
        <v>1450</v>
      </c>
      <c r="L209" t="s">
        <v>1457</v>
      </c>
      <c r="M209" t="s">
        <v>1463</v>
      </c>
      <c r="N209" t="s">
        <v>1466</v>
      </c>
    </row>
    <row r="210" spans="1:14" x14ac:dyDescent="0.25">
      <c r="A210" t="s">
        <v>222</v>
      </c>
      <c r="B210">
        <v>37</v>
      </c>
      <c r="C210">
        <v>4</v>
      </c>
      <c r="D210">
        <v>23000</v>
      </c>
      <c r="E210">
        <v>0</v>
      </c>
      <c r="F210">
        <v>4.5999999999999996</v>
      </c>
      <c r="G210">
        <v>92000</v>
      </c>
      <c r="H210" t="s">
        <v>1578</v>
      </c>
      <c r="I210" t="s">
        <v>1282</v>
      </c>
      <c r="J210" t="s">
        <v>1444</v>
      </c>
      <c r="K210" t="s">
        <v>1449</v>
      </c>
      <c r="L210" t="s">
        <v>1456</v>
      </c>
      <c r="M210" t="s">
        <v>1463</v>
      </c>
      <c r="N210" t="s">
        <v>1465</v>
      </c>
    </row>
    <row r="211" spans="1:14" x14ac:dyDescent="0.25">
      <c r="A211" t="s">
        <v>223</v>
      </c>
      <c r="B211">
        <v>22</v>
      </c>
      <c r="C211">
        <v>4</v>
      </c>
      <c r="D211">
        <v>20000</v>
      </c>
      <c r="E211">
        <v>0</v>
      </c>
      <c r="F211">
        <v>2.2999999999999998</v>
      </c>
      <c r="G211">
        <v>80000</v>
      </c>
      <c r="H211" t="s">
        <v>1579</v>
      </c>
      <c r="I211" t="s">
        <v>1380</v>
      </c>
      <c r="J211" t="s">
        <v>1441</v>
      </c>
      <c r="K211" t="s">
        <v>1446</v>
      </c>
      <c r="L211" t="s">
        <v>1459</v>
      </c>
      <c r="M211" t="s">
        <v>1462</v>
      </c>
      <c r="N211" t="s">
        <v>1466</v>
      </c>
    </row>
    <row r="212" spans="1:14" x14ac:dyDescent="0.25">
      <c r="A212" t="s">
        <v>224</v>
      </c>
      <c r="B212">
        <v>46</v>
      </c>
      <c r="C212">
        <v>4</v>
      </c>
      <c r="D212">
        <v>27000</v>
      </c>
      <c r="E212">
        <v>0</v>
      </c>
      <c r="F212">
        <v>2</v>
      </c>
      <c r="G212">
        <v>108000</v>
      </c>
      <c r="H212" t="s">
        <v>1579</v>
      </c>
      <c r="I212" t="s">
        <v>1255</v>
      </c>
      <c r="J212" t="s">
        <v>1445</v>
      </c>
      <c r="K212" t="s">
        <v>1450</v>
      </c>
      <c r="L212" t="s">
        <v>1458</v>
      </c>
      <c r="M212" t="s">
        <v>1464</v>
      </c>
      <c r="N212" t="s">
        <v>1466</v>
      </c>
    </row>
    <row r="213" spans="1:14" x14ac:dyDescent="0.25">
      <c r="A213" t="s">
        <v>225</v>
      </c>
      <c r="B213">
        <v>49</v>
      </c>
      <c r="C213">
        <v>1</v>
      </c>
      <c r="D213">
        <v>28000</v>
      </c>
      <c r="E213">
        <v>10</v>
      </c>
      <c r="F213">
        <v>3.1</v>
      </c>
      <c r="G213">
        <v>25200</v>
      </c>
      <c r="H213" t="s">
        <v>1580</v>
      </c>
      <c r="I213" t="s">
        <v>1381</v>
      </c>
      <c r="J213" t="s">
        <v>1442</v>
      </c>
      <c r="K213" t="s">
        <v>1447</v>
      </c>
      <c r="L213" t="s">
        <v>1455</v>
      </c>
      <c r="M213" t="s">
        <v>1464</v>
      </c>
      <c r="N213" t="s">
        <v>1466</v>
      </c>
    </row>
    <row r="214" spans="1:14" x14ac:dyDescent="0.25">
      <c r="A214" t="s">
        <v>226</v>
      </c>
      <c r="B214">
        <v>25</v>
      </c>
      <c r="C214">
        <v>5</v>
      </c>
      <c r="D214">
        <v>18000</v>
      </c>
      <c r="E214">
        <v>0</v>
      </c>
      <c r="F214">
        <v>2.4</v>
      </c>
      <c r="G214">
        <v>90000</v>
      </c>
      <c r="H214" t="s">
        <v>1581</v>
      </c>
      <c r="I214" t="s">
        <v>1367</v>
      </c>
      <c r="J214" t="s">
        <v>1441</v>
      </c>
      <c r="K214" t="s">
        <v>1446</v>
      </c>
      <c r="L214" t="s">
        <v>1461</v>
      </c>
      <c r="M214" t="s">
        <v>1462</v>
      </c>
      <c r="N214" t="s">
        <v>1465</v>
      </c>
    </row>
    <row r="215" spans="1:14" x14ac:dyDescent="0.25">
      <c r="A215" t="s">
        <v>227</v>
      </c>
      <c r="B215">
        <v>52</v>
      </c>
      <c r="C215">
        <v>3</v>
      </c>
      <c r="D215">
        <v>27000</v>
      </c>
      <c r="E215">
        <v>5</v>
      </c>
      <c r="F215">
        <v>3.2</v>
      </c>
      <c r="G215">
        <v>76950</v>
      </c>
      <c r="H215" t="s">
        <v>1581</v>
      </c>
      <c r="I215" t="s">
        <v>1365</v>
      </c>
      <c r="J215" t="s">
        <v>1444</v>
      </c>
      <c r="K215" t="s">
        <v>1449</v>
      </c>
      <c r="L215" t="s">
        <v>1458</v>
      </c>
      <c r="M215" t="s">
        <v>1464</v>
      </c>
      <c r="N215" t="s">
        <v>1467</v>
      </c>
    </row>
    <row r="216" spans="1:14" x14ac:dyDescent="0.25">
      <c r="A216" t="s">
        <v>228</v>
      </c>
      <c r="B216">
        <v>51</v>
      </c>
      <c r="C216">
        <v>2</v>
      </c>
      <c r="D216">
        <v>32000</v>
      </c>
      <c r="E216">
        <v>0</v>
      </c>
      <c r="F216">
        <v>2.7</v>
      </c>
      <c r="G216">
        <v>64000</v>
      </c>
      <c r="H216" t="s">
        <v>1581</v>
      </c>
      <c r="I216" t="s">
        <v>1382</v>
      </c>
      <c r="J216" t="s">
        <v>1443</v>
      </c>
      <c r="K216" t="s">
        <v>1448</v>
      </c>
      <c r="L216" t="s">
        <v>1457</v>
      </c>
      <c r="M216" t="s">
        <v>1463</v>
      </c>
      <c r="N216" t="s">
        <v>1467</v>
      </c>
    </row>
    <row r="217" spans="1:14" x14ac:dyDescent="0.25">
      <c r="A217" t="s">
        <v>229</v>
      </c>
      <c r="B217">
        <v>33</v>
      </c>
      <c r="C217">
        <v>2</v>
      </c>
      <c r="D217">
        <v>18000</v>
      </c>
      <c r="E217">
        <v>10</v>
      </c>
      <c r="F217">
        <v>1.2</v>
      </c>
      <c r="G217">
        <v>32400</v>
      </c>
      <c r="H217" t="s">
        <v>1582</v>
      </c>
      <c r="I217" t="s">
        <v>1264</v>
      </c>
      <c r="J217" t="s">
        <v>1443</v>
      </c>
      <c r="K217" t="s">
        <v>1448</v>
      </c>
      <c r="L217" t="s">
        <v>1460</v>
      </c>
      <c r="M217" t="s">
        <v>1463</v>
      </c>
      <c r="N217" t="s">
        <v>1468</v>
      </c>
    </row>
    <row r="218" spans="1:14" x14ac:dyDescent="0.25">
      <c r="A218" t="s">
        <v>230</v>
      </c>
      <c r="B218">
        <v>31</v>
      </c>
      <c r="C218">
        <v>4</v>
      </c>
      <c r="D218">
        <v>18000</v>
      </c>
      <c r="E218">
        <v>0</v>
      </c>
      <c r="F218">
        <v>4.5999999999999996</v>
      </c>
      <c r="G218">
        <v>72000</v>
      </c>
      <c r="H218" t="s">
        <v>1583</v>
      </c>
      <c r="I218" t="s">
        <v>1383</v>
      </c>
      <c r="J218" t="s">
        <v>1443</v>
      </c>
      <c r="K218" t="s">
        <v>1448</v>
      </c>
      <c r="L218" t="s">
        <v>1460</v>
      </c>
      <c r="M218" t="s">
        <v>1463</v>
      </c>
      <c r="N218" t="s">
        <v>1467</v>
      </c>
    </row>
    <row r="219" spans="1:14" x14ac:dyDescent="0.25">
      <c r="A219" t="s">
        <v>231</v>
      </c>
      <c r="B219">
        <v>27</v>
      </c>
      <c r="C219">
        <v>3</v>
      </c>
      <c r="D219">
        <v>22000</v>
      </c>
      <c r="E219">
        <v>0</v>
      </c>
      <c r="F219">
        <v>4.3</v>
      </c>
      <c r="G219">
        <v>66000</v>
      </c>
      <c r="H219" t="s">
        <v>1584</v>
      </c>
      <c r="I219" t="s">
        <v>1384</v>
      </c>
      <c r="J219" t="s">
        <v>1445</v>
      </c>
      <c r="K219" t="s">
        <v>1450</v>
      </c>
      <c r="L219" t="s">
        <v>1454</v>
      </c>
      <c r="M219" t="s">
        <v>1462</v>
      </c>
      <c r="N219" t="s">
        <v>1466</v>
      </c>
    </row>
    <row r="220" spans="1:14" x14ac:dyDescent="0.25">
      <c r="A220" t="s">
        <v>232</v>
      </c>
      <c r="B220">
        <v>31</v>
      </c>
      <c r="C220">
        <v>1</v>
      </c>
      <c r="D220">
        <v>22000</v>
      </c>
      <c r="E220">
        <v>0</v>
      </c>
      <c r="F220">
        <v>3</v>
      </c>
      <c r="G220">
        <v>22000</v>
      </c>
      <c r="H220" t="s">
        <v>1585</v>
      </c>
      <c r="I220" t="s">
        <v>1385</v>
      </c>
      <c r="J220" t="s">
        <v>1442</v>
      </c>
      <c r="K220" t="s">
        <v>1447</v>
      </c>
      <c r="L220" t="s">
        <v>1454</v>
      </c>
      <c r="M220" t="s">
        <v>1462</v>
      </c>
      <c r="N220" t="s">
        <v>1467</v>
      </c>
    </row>
    <row r="221" spans="1:14" x14ac:dyDescent="0.25">
      <c r="A221" t="s">
        <v>233</v>
      </c>
      <c r="B221">
        <v>48</v>
      </c>
      <c r="C221">
        <v>4</v>
      </c>
      <c r="D221">
        <v>22000</v>
      </c>
      <c r="E221">
        <v>0</v>
      </c>
      <c r="F221">
        <v>2.8</v>
      </c>
      <c r="G221">
        <v>88000</v>
      </c>
      <c r="H221" t="s">
        <v>1585</v>
      </c>
      <c r="I221" t="s">
        <v>1293</v>
      </c>
      <c r="J221" t="s">
        <v>1441</v>
      </c>
      <c r="K221" t="s">
        <v>1446</v>
      </c>
      <c r="L221" t="s">
        <v>1454</v>
      </c>
      <c r="M221" t="s">
        <v>1462</v>
      </c>
      <c r="N221" t="s">
        <v>1468</v>
      </c>
    </row>
    <row r="222" spans="1:14" x14ac:dyDescent="0.25">
      <c r="A222" t="s">
        <v>234</v>
      </c>
      <c r="B222">
        <v>51</v>
      </c>
      <c r="C222">
        <v>4</v>
      </c>
      <c r="D222">
        <v>28000</v>
      </c>
      <c r="E222">
        <v>20</v>
      </c>
      <c r="F222">
        <v>2.1</v>
      </c>
      <c r="G222">
        <v>89600</v>
      </c>
      <c r="H222" t="s">
        <v>1586</v>
      </c>
      <c r="I222" t="s">
        <v>1277</v>
      </c>
      <c r="J222" t="s">
        <v>1443</v>
      </c>
      <c r="K222" t="s">
        <v>1448</v>
      </c>
      <c r="L222" t="s">
        <v>1455</v>
      </c>
      <c r="M222" t="s">
        <v>1464</v>
      </c>
      <c r="N222" t="s">
        <v>1465</v>
      </c>
    </row>
    <row r="223" spans="1:14" x14ac:dyDescent="0.25">
      <c r="A223" t="s">
        <v>235</v>
      </c>
      <c r="B223">
        <v>30</v>
      </c>
      <c r="C223">
        <v>2</v>
      </c>
      <c r="D223">
        <v>18000</v>
      </c>
      <c r="E223">
        <v>15</v>
      </c>
      <c r="F223">
        <v>2.6</v>
      </c>
      <c r="G223">
        <v>30600</v>
      </c>
      <c r="H223" t="s">
        <v>1586</v>
      </c>
      <c r="I223" t="s">
        <v>1357</v>
      </c>
      <c r="J223" t="s">
        <v>1443</v>
      </c>
      <c r="K223" t="s">
        <v>1448</v>
      </c>
      <c r="L223" t="s">
        <v>1460</v>
      </c>
      <c r="M223" t="s">
        <v>1463</v>
      </c>
      <c r="N223" t="s">
        <v>1466</v>
      </c>
    </row>
    <row r="224" spans="1:14" x14ac:dyDescent="0.25">
      <c r="A224" t="s">
        <v>236</v>
      </c>
      <c r="B224">
        <v>18</v>
      </c>
      <c r="C224">
        <v>3</v>
      </c>
      <c r="D224">
        <v>18000</v>
      </c>
      <c r="E224">
        <v>0</v>
      </c>
      <c r="F224">
        <v>3.3</v>
      </c>
      <c r="G224">
        <v>54000</v>
      </c>
      <c r="H224" t="s">
        <v>1586</v>
      </c>
      <c r="I224" t="s">
        <v>1386</v>
      </c>
      <c r="J224" t="s">
        <v>1442</v>
      </c>
      <c r="K224" t="s">
        <v>1447</v>
      </c>
      <c r="L224" t="s">
        <v>1460</v>
      </c>
      <c r="M224" t="s">
        <v>1463</v>
      </c>
      <c r="N224" t="s">
        <v>1468</v>
      </c>
    </row>
    <row r="225" spans="1:14" x14ac:dyDescent="0.25">
      <c r="A225" t="s">
        <v>237</v>
      </c>
      <c r="B225">
        <v>31</v>
      </c>
      <c r="C225">
        <v>1</v>
      </c>
      <c r="D225">
        <v>27000</v>
      </c>
      <c r="E225">
        <v>0</v>
      </c>
      <c r="F225">
        <v>2.4</v>
      </c>
      <c r="G225">
        <v>27000</v>
      </c>
      <c r="H225" t="s">
        <v>1587</v>
      </c>
      <c r="I225" t="s">
        <v>1383</v>
      </c>
      <c r="J225" t="s">
        <v>1444</v>
      </c>
      <c r="K225" t="s">
        <v>1449</v>
      </c>
      <c r="L225" t="s">
        <v>1458</v>
      </c>
      <c r="M225" t="s">
        <v>1464</v>
      </c>
      <c r="N225" t="s">
        <v>1466</v>
      </c>
    </row>
    <row r="226" spans="1:14" x14ac:dyDescent="0.25">
      <c r="A226" t="s">
        <v>238</v>
      </c>
      <c r="B226">
        <v>45</v>
      </c>
      <c r="C226">
        <v>4</v>
      </c>
      <c r="D226">
        <v>25000</v>
      </c>
      <c r="E226">
        <v>20</v>
      </c>
      <c r="F226">
        <v>2.4</v>
      </c>
      <c r="G226">
        <v>80000</v>
      </c>
      <c r="H226" t="s">
        <v>1587</v>
      </c>
      <c r="I226" t="s">
        <v>1387</v>
      </c>
      <c r="J226" t="s">
        <v>1442</v>
      </c>
      <c r="K226" t="s">
        <v>1447</v>
      </c>
      <c r="L226" t="s">
        <v>1452</v>
      </c>
      <c r="M226" t="s">
        <v>1462</v>
      </c>
      <c r="N226" t="s">
        <v>1466</v>
      </c>
    </row>
    <row r="227" spans="1:14" x14ac:dyDescent="0.25">
      <c r="A227" t="s">
        <v>239</v>
      </c>
      <c r="B227">
        <v>40</v>
      </c>
      <c r="C227">
        <v>4</v>
      </c>
      <c r="D227">
        <v>32000</v>
      </c>
      <c r="E227">
        <v>5</v>
      </c>
      <c r="F227">
        <v>2.8</v>
      </c>
      <c r="G227">
        <v>121600</v>
      </c>
      <c r="H227" t="s">
        <v>1587</v>
      </c>
      <c r="I227" t="s">
        <v>1350</v>
      </c>
      <c r="J227" t="s">
        <v>1445</v>
      </c>
      <c r="K227" t="s">
        <v>1450</v>
      </c>
      <c r="L227" t="s">
        <v>1457</v>
      </c>
      <c r="M227" t="s">
        <v>1463</v>
      </c>
      <c r="N227" t="s">
        <v>1466</v>
      </c>
    </row>
    <row r="228" spans="1:14" x14ac:dyDescent="0.25">
      <c r="A228" t="s">
        <v>240</v>
      </c>
      <c r="B228">
        <v>38</v>
      </c>
      <c r="C228">
        <v>4</v>
      </c>
      <c r="D228">
        <v>30000</v>
      </c>
      <c r="E228">
        <v>15</v>
      </c>
      <c r="F228">
        <v>4.8</v>
      </c>
      <c r="G228">
        <v>102000</v>
      </c>
      <c r="H228" t="s">
        <v>1587</v>
      </c>
      <c r="I228" t="s">
        <v>1376</v>
      </c>
      <c r="J228" t="s">
        <v>1441</v>
      </c>
      <c r="K228" t="s">
        <v>1446</v>
      </c>
      <c r="L228" t="s">
        <v>1453</v>
      </c>
      <c r="M228" t="s">
        <v>1463</v>
      </c>
      <c r="N228" t="s">
        <v>1465</v>
      </c>
    </row>
    <row r="229" spans="1:14" x14ac:dyDescent="0.25">
      <c r="A229" t="s">
        <v>241</v>
      </c>
      <c r="B229">
        <v>19</v>
      </c>
      <c r="C229">
        <v>2</v>
      </c>
      <c r="D229">
        <v>18000</v>
      </c>
      <c r="E229">
        <v>0</v>
      </c>
      <c r="F229">
        <v>3.7</v>
      </c>
      <c r="G229">
        <v>36000</v>
      </c>
      <c r="H229" t="s">
        <v>1588</v>
      </c>
      <c r="I229" t="s">
        <v>1317</v>
      </c>
      <c r="J229" t="s">
        <v>1445</v>
      </c>
      <c r="K229" t="s">
        <v>1450</v>
      </c>
      <c r="L229" t="s">
        <v>1461</v>
      </c>
      <c r="M229" t="s">
        <v>1462</v>
      </c>
      <c r="N229" t="s">
        <v>1465</v>
      </c>
    </row>
    <row r="230" spans="1:14" x14ac:dyDescent="0.25">
      <c r="A230" t="s">
        <v>242</v>
      </c>
      <c r="B230">
        <v>18</v>
      </c>
      <c r="C230">
        <v>2</v>
      </c>
      <c r="D230">
        <v>22000</v>
      </c>
      <c r="E230">
        <v>10</v>
      </c>
      <c r="F230">
        <v>3.1</v>
      </c>
      <c r="G230">
        <v>39600</v>
      </c>
      <c r="H230" t="s">
        <v>1588</v>
      </c>
      <c r="I230" t="s">
        <v>1373</v>
      </c>
      <c r="J230" t="s">
        <v>1445</v>
      </c>
      <c r="K230" t="s">
        <v>1450</v>
      </c>
      <c r="L230" t="s">
        <v>1454</v>
      </c>
      <c r="M230" t="s">
        <v>1462</v>
      </c>
      <c r="N230" t="s">
        <v>1465</v>
      </c>
    </row>
    <row r="231" spans="1:14" x14ac:dyDescent="0.25">
      <c r="A231" t="s">
        <v>243</v>
      </c>
      <c r="B231">
        <v>36</v>
      </c>
      <c r="C231">
        <v>5</v>
      </c>
      <c r="D231">
        <v>32000</v>
      </c>
      <c r="E231">
        <v>20</v>
      </c>
      <c r="F231">
        <v>2.8</v>
      </c>
      <c r="G231">
        <v>128000</v>
      </c>
      <c r="H231" t="s">
        <v>1588</v>
      </c>
      <c r="I231" t="s">
        <v>1267</v>
      </c>
      <c r="J231" t="s">
        <v>1445</v>
      </c>
      <c r="K231" t="s">
        <v>1450</v>
      </c>
      <c r="L231" t="s">
        <v>1457</v>
      </c>
      <c r="M231" t="s">
        <v>1463</v>
      </c>
      <c r="N231" t="s">
        <v>1466</v>
      </c>
    </row>
    <row r="232" spans="1:14" x14ac:dyDescent="0.25">
      <c r="A232" t="s">
        <v>244</v>
      </c>
      <c r="B232">
        <v>51</v>
      </c>
      <c r="C232">
        <v>3</v>
      </c>
      <c r="D232">
        <v>27000</v>
      </c>
      <c r="E232">
        <v>10</v>
      </c>
      <c r="F232">
        <v>4</v>
      </c>
      <c r="G232">
        <v>72900</v>
      </c>
      <c r="H232" t="s">
        <v>1588</v>
      </c>
      <c r="I232" t="s">
        <v>1254</v>
      </c>
      <c r="J232" t="s">
        <v>1441</v>
      </c>
      <c r="K232" t="s">
        <v>1446</v>
      </c>
      <c r="L232" t="s">
        <v>1458</v>
      </c>
      <c r="M232" t="s">
        <v>1464</v>
      </c>
      <c r="N232" t="s">
        <v>1466</v>
      </c>
    </row>
    <row r="233" spans="1:14" x14ac:dyDescent="0.25">
      <c r="A233" t="s">
        <v>245</v>
      </c>
      <c r="B233">
        <v>53</v>
      </c>
      <c r="C233">
        <v>5</v>
      </c>
      <c r="D233">
        <v>30000</v>
      </c>
      <c r="E233">
        <v>20</v>
      </c>
      <c r="F233">
        <v>4.8</v>
      </c>
      <c r="G233">
        <v>120000</v>
      </c>
      <c r="H233" t="s">
        <v>1589</v>
      </c>
      <c r="I233" t="s">
        <v>1301</v>
      </c>
      <c r="J233" t="s">
        <v>1445</v>
      </c>
      <c r="K233" t="s">
        <v>1450</v>
      </c>
      <c r="L233" t="s">
        <v>1453</v>
      </c>
      <c r="M233" t="s">
        <v>1463</v>
      </c>
      <c r="N233" t="s">
        <v>1465</v>
      </c>
    </row>
    <row r="234" spans="1:14" x14ac:dyDescent="0.25">
      <c r="A234" t="s">
        <v>246</v>
      </c>
      <c r="B234">
        <v>27</v>
      </c>
      <c r="C234">
        <v>5</v>
      </c>
      <c r="D234">
        <v>18000</v>
      </c>
      <c r="E234">
        <v>0</v>
      </c>
      <c r="F234">
        <v>3.1</v>
      </c>
      <c r="G234">
        <v>90000</v>
      </c>
      <c r="H234" t="s">
        <v>1589</v>
      </c>
      <c r="I234" t="s">
        <v>1388</v>
      </c>
      <c r="J234" t="s">
        <v>1441</v>
      </c>
      <c r="K234" t="s">
        <v>1446</v>
      </c>
      <c r="L234" t="s">
        <v>1461</v>
      </c>
      <c r="M234" t="s">
        <v>1462</v>
      </c>
      <c r="N234" t="s">
        <v>1465</v>
      </c>
    </row>
    <row r="235" spans="1:14" x14ac:dyDescent="0.25">
      <c r="A235" t="s">
        <v>247</v>
      </c>
      <c r="B235">
        <v>40</v>
      </c>
      <c r="C235">
        <v>2</v>
      </c>
      <c r="D235">
        <v>32000</v>
      </c>
      <c r="E235">
        <v>0</v>
      </c>
      <c r="F235">
        <v>4.3</v>
      </c>
      <c r="G235">
        <v>64000</v>
      </c>
      <c r="H235" t="s">
        <v>1590</v>
      </c>
      <c r="I235" t="s">
        <v>1341</v>
      </c>
      <c r="J235" t="s">
        <v>1445</v>
      </c>
      <c r="K235" t="s">
        <v>1450</v>
      </c>
      <c r="L235" t="s">
        <v>1457</v>
      </c>
      <c r="M235" t="s">
        <v>1463</v>
      </c>
      <c r="N235" t="s">
        <v>1465</v>
      </c>
    </row>
    <row r="236" spans="1:14" x14ac:dyDescent="0.25">
      <c r="A236" t="s">
        <v>248</v>
      </c>
      <c r="B236">
        <v>31</v>
      </c>
      <c r="C236">
        <v>1</v>
      </c>
      <c r="D236">
        <v>22000</v>
      </c>
      <c r="E236">
        <v>5</v>
      </c>
      <c r="F236">
        <v>4</v>
      </c>
      <c r="G236">
        <v>20900</v>
      </c>
      <c r="H236" t="s">
        <v>1591</v>
      </c>
      <c r="I236" t="s">
        <v>1383</v>
      </c>
      <c r="J236" t="s">
        <v>1441</v>
      </c>
      <c r="K236" t="s">
        <v>1446</v>
      </c>
      <c r="L236" t="s">
        <v>1454</v>
      </c>
      <c r="M236" t="s">
        <v>1462</v>
      </c>
      <c r="N236" t="s">
        <v>1468</v>
      </c>
    </row>
    <row r="237" spans="1:14" x14ac:dyDescent="0.25">
      <c r="A237" t="s">
        <v>249</v>
      </c>
      <c r="B237">
        <v>30</v>
      </c>
      <c r="C237">
        <v>1</v>
      </c>
      <c r="D237">
        <v>20000</v>
      </c>
      <c r="E237">
        <v>0</v>
      </c>
      <c r="F237">
        <v>1.5</v>
      </c>
      <c r="G237">
        <v>20000</v>
      </c>
      <c r="H237" t="s">
        <v>1592</v>
      </c>
      <c r="I237" t="s">
        <v>1246</v>
      </c>
      <c r="J237" t="s">
        <v>1445</v>
      </c>
      <c r="K237" t="s">
        <v>1450</v>
      </c>
      <c r="L237" t="s">
        <v>1459</v>
      </c>
      <c r="M237" t="s">
        <v>1462</v>
      </c>
      <c r="N237" t="s">
        <v>1468</v>
      </c>
    </row>
    <row r="238" spans="1:14" x14ac:dyDescent="0.25">
      <c r="A238" t="s">
        <v>250</v>
      </c>
      <c r="B238">
        <v>25</v>
      </c>
      <c r="C238">
        <v>1</v>
      </c>
      <c r="D238">
        <v>20000</v>
      </c>
      <c r="E238">
        <v>15</v>
      </c>
      <c r="F238">
        <v>3.7</v>
      </c>
      <c r="G238">
        <v>17000</v>
      </c>
      <c r="H238" t="s">
        <v>1593</v>
      </c>
      <c r="I238" t="s">
        <v>1339</v>
      </c>
      <c r="J238" t="s">
        <v>1445</v>
      </c>
      <c r="K238" t="s">
        <v>1450</v>
      </c>
      <c r="L238" t="s">
        <v>1459</v>
      </c>
      <c r="M238" t="s">
        <v>1462</v>
      </c>
      <c r="N238" t="s">
        <v>1466</v>
      </c>
    </row>
    <row r="239" spans="1:14" x14ac:dyDescent="0.25">
      <c r="A239" t="s">
        <v>251</v>
      </c>
      <c r="B239">
        <v>38</v>
      </c>
      <c r="C239">
        <v>2</v>
      </c>
      <c r="D239">
        <v>27000</v>
      </c>
      <c r="E239">
        <v>0</v>
      </c>
      <c r="F239">
        <v>4.7</v>
      </c>
      <c r="G239">
        <v>54000</v>
      </c>
      <c r="H239" t="s">
        <v>1593</v>
      </c>
      <c r="I239" t="s">
        <v>1309</v>
      </c>
      <c r="J239" t="s">
        <v>1441</v>
      </c>
      <c r="K239" t="s">
        <v>1446</v>
      </c>
      <c r="L239" t="s">
        <v>1458</v>
      </c>
      <c r="M239" t="s">
        <v>1464</v>
      </c>
      <c r="N239" t="s">
        <v>1468</v>
      </c>
    </row>
    <row r="240" spans="1:14" x14ac:dyDescent="0.25">
      <c r="A240" t="s">
        <v>252</v>
      </c>
      <c r="B240">
        <v>21</v>
      </c>
      <c r="C240">
        <v>2</v>
      </c>
      <c r="D240">
        <v>32000</v>
      </c>
      <c r="E240">
        <v>0</v>
      </c>
      <c r="F240">
        <v>3.5</v>
      </c>
      <c r="G240">
        <v>64000</v>
      </c>
      <c r="H240" t="s">
        <v>1594</v>
      </c>
      <c r="I240" t="s">
        <v>1329</v>
      </c>
      <c r="J240" t="s">
        <v>1441</v>
      </c>
      <c r="K240" t="s">
        <v>1446</v>
      </c>
      <c r="L240" t="s">
        <v>1457</v>
      </c>
      <c r="M240" t="s">
        <v>1463</v>
      </c>
      <c r="N240" t="s">
        <v>1465</v>
      </c>
    </row>
    <row r="241" spans="1:14" x14ac:dyDescent="0.25">
      <c r="A241" t="s">
        <v>253</v>
      </c>
      <c r="B241">
        <v>38</v>
      </c>
      <c r="C241">
        <v>5</v>
      </c>
      <c r="D241">
        <v>18000</v>
      </c>
      <c r="E241">
        <v>10</v>
      </c>
      <c r="F241">
        <v>2.1</v>
      </c>
      <c r="G241">
        <v>81000</v>
      </c>
      <c r="H241" t="s">
        <v>1595</v>
      </c>
      <c r="I241" t="s">
        <v>1299</v>
      </c>
      <c r="J241" t="s">
        <v>1441</v>
      </c>
      <c r="K241" t="s">
        <v>1446</v>
      </c>
      <c r="L241" t="s">
        <v>1461</v>
      </c>
      <c r="M241" t="s">
        <v>1462</v>
      </c>
      <c r="N241" t="s">
        <v>1465</v>
      </c>
    </row>
    <row r="242" spans="1:14" x14ac:dyDescent="0.25">
      <c r="A242" t="s">
        <v>254</v>
      </c>
      <c r="B242">
        <v>43</v>
      </c>
      <c r="C242">
        <v>4</v>
      </c>
      <c r="D242">
        <v>30000</v>
      </c>
      <c r="E242">
        <v>0</v>
      </c>
      <c r="F242">
        <v>4.5999999999999996</v>
      </c>
      <c r="G242">
        <v>120000</v>
      </c>
      <c r="H242" t="s">
        <v>1596</v>
      </c>
      <c r="I242" t="s">
        <v>1354</v>
      </c>
      <c r="J242" t="s">
        <v>1442</v>
      </c>
      <c r="K242" t="s">
        <v>1447</v>
      </c>
      <c r="L242" t="s">
        <v>1453</v>
      </c>
      <c r="M242" t="s">
        <v>1463</v>
      </c>
      <c r="N242" t="s">
        <v>1466</v>
      </c>
    </row>
    <row r="243" spans="1:14" x14ac:dyDescent="0.25">
      <c r="A243" t="s">
        <v>255</v>
      </c>
      <c r="B243">
        <v>35</v>
      </c>
      <c r="C243">
        <v>5</v>
      </c>
      <c r="D243">
        <v>20000</v>
      </c>
      <c r="E243">
        <v>10</v>
      </c>
      <c r="F243">
        <v>2.2000000000000002</v>
      </c>
      <c r="G243">
        <v>90000</v>
      </c>
      <c r="H243" t="s">
        <v>1596</v>
      </c>
      <c r="I243" t="s">
        <v>1389</v>
      </c>
      <c r="J243" t="s">
        <v>1443</v>
      </c>
      <c r="K243" t="s">
        <v>1448</v>
      </c>
      <c r="L243" t="s">
        <v>1459</v>
      </c>
      <c r="M243" t="s">
        <v>1462</v>
      </c>
      <c r="N243" t="s">
        <v>1465</v>
      </c>
    </row>
    <row r="244" spans="1:14" x14ac:dyDescent="0.25">
      <c r="A244" t="s">
        <v>256</v>
      </c>
      <c r="B244">
        <v>40</v>
      </c>
      <c r="C244">
        <v>5</v>
      </c>
      <c r="D244">
        <v>30000</v>
      </c>
      <c r="E244">
        <v>5</v>
      </c>
      <c r="F244">
        <v>2.6</v>
      </c>
      <c r="G244">
        <v>142500</v>
      </c>
      <c r="H244" t="s">
        <v>1597</v>
      </c>
      <c r="I244" t="s">
        <v>1251</v>
      </c>
      <c r="J244" t="s">
        <v>1443</v>
      </c>
      <c r="K244" t="s">
        <v>1448</v>
      </c>
      <c r="L244" t="s">
        <v>1453</v>
      </c>
      <c r="M244" t="s">
        <v>1463</v>
      </c>
      <c r="N244" t="s">
        <v>1467</v>
      </c>
    </row>
    <row r="245" spans="1:14" x14ac:dyDescent="0.25">
      <c r="A245" t="s">
        <v>257</v>
      </c>
      <c r="B245">
        <v>43</v>
      </c>
      <c r="C245">
        <v>2</v>
      </c>
      <c r="D245">
        <v>18000</v>
      </c>
      <c r="E245">
        <v>0</v>
      </c>
      <c r="F245">
        <v>3.4</v>
      </c>
      <c r="G245">
        <v>36000</v>
      </c>
      <c r="H245" t="s">
        <v>1598</v>
      </c>
      <c r="I245" t="s">
        <v>1390</v>
      </c>
      <c r="J245" t="s">
        <v>1441</v>
      </c>
      <c r="K245" t="s">
        <v>1446</v>
      </c>
      <c r="L245" t="s">
        <v>1461</v>
      </c>
      <c r="M245" t="s">
        <v>1462</v>
      </c>
      <c r="N245" t="s">
        <v>1467</v>
      </c>
    </row>
    <row r="246" spans="1:14" x14ac:dyDescent="0.25">
      <c r="A246" t="s">
        <v>258</v>
      </c>
      <c r="B246">
        <v>22</v>
      </c>
      <c r="C246">
        <v>1</v>
      </c>
      <c r="D246">
        <v>28000</v>
      </c>
      <c r="E246">
        <v>0</v>
      </c>
      <c r="F246">
        <v>1.7</v>
      </c>
      <c r="G246">
        <v>28000</v>
      </c>
      <c r="H246" t="s">
        <v>1599</v>
      </c>
      <c r="I246" t="s">
        <v>1380</v>
      </c>
      <c r="J246" t="s">
        <v>1441</v>
      </c>
      <c r="K246" t="s">
        <v>1446</v>
      </c>
      <c r="L246" t="s">
        <v>1455</v>
      </c>
      <c r="M246" t="s">
        <v>1464</v>
      </c>
      <c r="N246" t="s">
        <v>1466</v>
      </c>
    </row>
    <row r="247" spans="1:14" x14ac:dyDescent="0.25">
      <c r="A247" t="s">
        <v>259</v>
      </c>
      <c r="B247">
        <v>45</v>
      </c>
      <c r="C247">
        <v>2</v>
      </c>
      <c r="D247">
        <v>20000</v>
      </c>
      <c r="E247">
        <v>0</v>
      </c>
      <c r="F247">
        <v>3.1</v>
      </c>
      <c r="G247">
        <v>40000</v>
      </c>
      <c r="H247" t="s">
        <v>1599</v>
      </c>
      <c r="I247" t="s">
        <v>1256</v>
      </c>
      <c r="J247" t="s">
        <v>1442</v>
      </c>
      <c r="K247" t="s">
        <v>1447</v>
      </c>
      <c r="L247" t="s">
        <v>1459</v>
      </c>
      <c r="M247" t="s">
        <v>1462</v>
      </c>
      <c r="N247" t="s">
        <v>1465</v>
      </c>
    </row>
    <row r="248" spans="1:14" x14ac:dyDescent="0.25">
      <c r="A248" t="s">
        <v>260</v>
      </c>
      <c r="B248">
        <v>52</v>
      </c>
      <c r="C248">
        <v>1</v>
      </c>
      <c r="D248">
        <v>27000</v>
      </c>
      <c r="E248">
        <v>0</v>
      </c>
      <c r="F248">
        <v>4.0999999999999996</v>
      </c>
      <c r="G248">
        <v>27000</v>
      </c>
      <c r="H248" t="s">
        <v>1599</v>
      </c>
      <c r="I248" t="s">
        <v>1333</v>
      </c>
      <c r="J248" t="s">
        <v>1442</v>
      </c>
      <c r="K248" t="s">
        <v>1447</v>
      </c>
      <c r="L248" t="s">
        <v>1458</v>
      </c>
      <c r="M248" t="s">
        <v>1464</v>
      </c>
      <c r="N248" t="s">
        <v>1465</v>
      </c>
    </row>
    <row r="249" spans="1:14" x14ac:dyDescent="0.25">
      <c r="A249" t="s">
        <v>261</v>
      </c>
      <c r="B249">
        <v>42</v>
      </c>
      <c r="C249">
        <v>4</v>
      </c>
      <c r="D249">
        <v>32000</v>
      </c>
      <c r="E249">
        <v>20</v>
      </c>
      <c r="F249">
        <v>1.3</v>
      </c>
      <c r="G249">
        <v>102400</v>
      </c>
      <c r="H249" t="s">
        <v>1600</v>
      </c>
      <c r="I249" t="s">
        <v>1391</v>
      </c>
      <c r="J249" t="s">
        <v>1444</v>
      </c>
      <c r="K249" t="s">
        <v>1449</v>
      </c>
      <c r="L249" t="s">
        <v>1457</v>
      </c>
      <c r="M249" t="s">
        <v>1463</v>
      </c>
      <c r="N249" t="s">
        <v>1468</v>
      </c>
    </row>
    <row r="250" spans="1:14" x14ac:dyDescent="0.25">
      <c r="A250" t="s">
        <v>262</v>
      </c>
      <c r="B250">
        <v>51</v>
      </c>
      <c r="C250">
        <v>3</v>
      </c>
      <c r="D250">
        <v>18000</v>
      </c>
      <c r="E250">
        <v>15</v>
      </c>
      <c r="F250">
        <v>3.5</v>
      </c>
      <c r="G250">
        <v>45900</v>
      </c>
      <c r="H250" t="s">
        <v>1601</v>
      </c>
      <c r="I250" t="s">
        <v>1254</v>
      </c>
      <c r="J250" t="s">
        <v>1444</v>
      </c>
      <c r="K250" t="s">
        <v>1449</v>
      </c>
      <c r="L250" t="s">
        <v>1461</v>
      </c>
      <c r="M250" t="s">
        <v>1462</v>
      </c>
      <c r="N250" t="s">
        <v>1465</v>
      </c>
    </row>
    <row r="251" spans="1:14" x14ac:dyDescent="0.25">
      <c r="A251" t="s">
        <v>263</v>
      </c>
      <c r="B251">
        <v>52</v>
      </c>
      <c r="C251">
        <v>5</v>
      </c>
      <c r="D251">
        <v>18000</v>
      </c>
      <c r="E251">
        <v>15</v>
      </c>
      <c r="F251">
        <v>3.2</v>
      </c>
      <c r="G251">
        <v>76500</v>
      </c>
      <c r="H251" t="s">
        <v>1602</v>
      </c>
      <c r="I251" t="s">
        <v>1392</v>
      </c>
      <c r="J251" t="s">
        <v>1444</v>
      </c>
      <c r="K251" t="s">
        <v>1449</v>
      </c>
      <c r="L251" t="s">
        <v>1460</v>
      </c>
      <c r="M251" t="s">
        <v>1463</v>
      </c>
      <c r="N251" t="s">
        <v>1465</v>
      </c>
    </row>
    <row r="252" spans="1:14" x14ac:dyDescent="0.25">
      <c r="A252" t="s">
        <v>264</v>
      </c>
      <c r="B252">
        <v>49</v>
      </c>
      <c r="C252">
        <v>3</v>
      </c>
      <c r="D252">
        <v>30000</v>
      </c>
      <c r="E252">
        <v>15</v>
      </c>
      <c r="F252">
        <v>2.7</v>
      </c>
      <c r="G252">
        <v>76500</v>
      </c>
      <c r="H252" t="s">
        <v>1602</v>
      </c>
      <c r="I252" t="s">
        <v>1338</v>
      </c>
      <c r="J252" t="s">
        <v>1441</v>
      </c>
      <c r="K252" t="s">
        <v>1446</v>
      </c>
      <c r="L252" t="s">
        <v>1453</v>
      </c>
      <c r="M252" t="s">
        <v>1463</v>
      </c>
      <c r="N252" t="s">
        <v>1467</v>
      </c>
    </row>
    <row r="253" spans="1:14" x14ac:dyDescent="0.25">
      <c r="A253" t="s">
        <v>265</v>
      </c>
      <c r="B253">
        <v>38</v>
      </c>
      <c r="C253">
        <v>5</v>
      </c>
      <c r="D253">
        <v>25000</v>
      </c>
      <c r="E253">
        <v>0</v>
      </c>
      <c r="F253">
        <v>4</v>
      </c>
      <c r="G253">
        <v>125000</v>
      </c>
      <c r="H253" t="s">
        <v>1603</v>
      </c>
      <c r="I253" t="s">
        <v>1309</v>
      </c>
      <c r="J253" t="s">
        <v>1443</v>
      </c>
      <c r="K253" t="s">
        <v>1448</v>
      </c>
      <c r="L253" t="s">
        <v>1452</v>
      </c>
      <c r="M253" t="s">
        <v>1462</v>
      </c>
      <c r="N253" t="s">
        <v>1465</v>
      </c>
    </row>
    <row r="254" spans="1:14" x14ac:dyDescent="0.25">
      <c r="A254" t="s">
        <v>266</v>
      </c>
      <c r="B254">
        <v>18</v>
      </c>
      <c r="C254">
        <v>3</v>
      </c>
      <c r="D254">
        <v>18000</v>
      </c>
      <c r="E254">
        <v>20</v>
      </c>
      <c r="F254">
        <v>2.8</v>
      </c>
      <c r="G254">
        <v>43200</v>
      </c>
      <c r="H254" t="s">
        <v>1603</v>
      </c>
      <c r="I254" t="s">
        <v>1332</v>
      </c>
      <c r="J254" t="s">
        <v>1442</v>
      </c>
      <c r="K254" t="s">
        <v>1447</v>
      </c>
      <c r="L254" t="s">
        <v>1461</v>
      </c>
      <c r="M254" t="s">
        <v>1462</v>
      </c>
      <c r="N254" t="s">
        <v>1467</v>
      </c>
    </row>
    <row r="255" spans="1:14" x14ac:dyDescent="0.25">
      <c r="A255" t="s">
        <v>267</v>
      </c>
      <c r="B255">
        <v>38</v>
      </c>
      <c r="C255">
        <v>1</v>
      </c>
      <c r="D255">
        <v>27000</v>
      </c>
      <c r="E255">
        <v>0</v>
      </c>
      <c r="F255">
        <v>2.8</v>
      </c>
      <c r="G255">
        <v>27000</v>
      </c>
      <c r="H255" t="s">
        <v>1603</v>
      </c>
      <c r="I255" t="s">
        <v>1309</v>
      </c>
      <c r="J255" t="s">
        <v>1444</v>
      </c>
      <c r="K255" t="s">
        <v>1449</v>
      </c>
      <c r="L255" t="s">
        <v>1458</v>
      </c>
      <c r="M255" t="s">
        <v>1464</v>
      </c>
      <c r="N255" t="s">
        <v>1468</v>
      </c>
    </row>
    <row r="256" spans="1:14" x14ac:dyDescent="0.25">
      <c r="A256" t="s">
        <v>268</v>
      </c>
      <c r="B256">
        <v>28</v>
      </c>
      <c r="C256">
        <v>2</v>
      </c>
      <c r="D256">
        <v>30000</v>
      </c>
      <c r="E256">
        <v>0</v>
      </c>
      <c r="F256">
        <v>5</v>
      </c>
      <c r="G256">
        <v>60000</v>
      </c>
      <c r="H256" t="s">
        <v>1604</v>
      </c>
      <c r="I256" t="s">
        <v>1375</v>
      </c>
      <c r="J256" t="s">
        <v>1443</v>
      </c>
      <c r="K256" t="s">
        <v>1448</v>
      </c>
      <c r="L256" t="s">
        <v>1453</v>
      </c>
      <c r="M256" t="s">
        <v>1463</v>
      </c>
      <c r="N256" t="s">
        <v>1465</v>
      </c>
    </row>
    <row r="257" spans="1:14" x14ac:dyDescent="0.25">
      <c r="A257" t="s">
        <v>269</v>
      </c>
      <c r="B257">
        <v>40</v>
      </c>
      <c r="C257">
        <v>5</v>
      </c>
      <c r="D257">
        <v>32000</v>
      </c>
      <c r="E257">
        <v>0</v>
      </c>
      <c r="F257">
        <v>4.0999999999999996</v>
      </c>
      <c r="G257">
        <v>160000</v>
      </c>
      <c r="H257" t="s">
        <v>1605</v>
      </c>
      <c r="I257" t="s">
        <v>1341</v>
      </c>
      <c r="J257" t="s">
        <v>1445</v>
      </c>
      <c r="K257" t="s">
        <v>1450</v>
      </c>
      <c r="L257" t="s">
        <v>1457</v>
      </c>
      <c r="M257" t="s">
        <v>1463</v>
      </c>
      <c r="N257" t="s">
        <v>1466</v>
      </c>
    </row>
    <row r="258" spans="1:14" x14ac:dyDescent="0.25">
      <c r="A258" t="s">
        <v>270</v>
      </c>
      <c r="B258">
        <v>25</v>
      </c>
      <c r="C258">
        <v>1</v>
      </c>
      <c r="D258">
        <v>28000</v>
      </c>
      <c r="E258">
        <v>0</v>
      </c>
      <c r="F258">
        <v>4.3</v>
      </c>
      <c r="G258">
        <v>28000</v>
      </c>
      <c r="H258" t="s">
        <v>1605</v>
      </c>
      <c r="I258" t="s">
        <v>1393</v>
      </c>
      <c r="J258" t="s">
        <v>1441</v>
      </c>
      <c r="K258" t="s">
        <v>1446</v>
      </c>
      <c r="L258" t="s">
        <v>1455</v>
      </c>
      <c r="M258" t="s">
        <v>1464</v>
      </c>
      <c r="N258" t="s">
        <v>1467</v>
      </c>
    </row>
    <row r="259" spans="1:14" x14ac:dyDescent="0.25">
      <c r="A259" t="s">
        <v>271</v>
      </c>
      <c r="B259">
        <v>42</v>
      </c>
      <c r="C259">
        <v>3</v>
      </c>
      <c r="D259">
        <v>30000</v>
      </c>
      <c r="E259">
        <v>5</v>
      </c>
      <c r="F259">
        <v>1.3</v>
      </c>
      <c r="G259">
        <v>85500</v>
      </c>
      <c r="H259" t="s">
        <v>1606</v>
      </c>
      <c r="I259" t="s">
        <v>1359</v>
      </c>
      <c r="J259" t="s">
        <v>1443</v>
      </c>
      <c r="K259" t="s">
        <v>1448</v>
      </c>
      <c r="L259" t="s">
        <v>1453</v>
      </c>
      <c r="M259" t="s">
        <v>1463</v>
      </c>
      <c r="N259" t="s">
        <v>1466</v>
      </c>
    </row>
    <row r="260" spans="1:14" x14ac:dyDescent="0.25">
      <c r="A260" t="s">
        <v>272</v>
      </c>
      <c r="B260">
        <v>23</v>
      </c>
      <c r="C260">
        <v>2</v>
      </c>
      <c r="D260">
        <v>18000</v>
      </c>
      <c r="E260">
        <v>0</v>
      </c>
      <c r="F260">
        <v>1.3</v>
      </c>
      <c r="G260">
        <v>36000</v>
      </c>
      <c r="H260" t="s">
        <v>1606</v>
      </c>
      <c r="I260" t="s">
        <v>1342</v>
      </c>
      <c r="J260" t="s">
        <v>1443</v>
      </c>
      <c r="K260" t="s">
        <v>1448</v>
      </c>
      <c r="L260" t="s">
        <v>1461</v>
      </c>
      <c r="M260" t="s">
        <v>1462</v>
      </c>
      <c r="N260" t="s">
        <v>1467</v>
      </c>
    </row>
    <row r="261" spans="1:14" x14ac:dyDescent="0.25">
      <c r="A261" t="s">
        <v>273</v>
      </c>
      <c r="B261">
        <v>19</v>
      </c>
      <c r="C261">
        <v>3</v>
      </c>
      <c r="D261">
        <v>23000</v>
      </c>
      <c r="E261">
        <v>20</v>
      </c>
      <c r="F261">
        <v>2.7</v>
      </c>
      <c r="G261">
        <v>55200</v>
      </c>
      <c r="H261" t="s">
        <v>1606</v>
      </c>
      <c r="I261" t="s">
        <v>1247</v>
      </c>
      <c r="J261" t="s">
        <v>1445</v>
      </c>
      <c r="K261" t="s">
        <v>1450</v>
      </c>
      <c r="L261" t="s">
        <v>1456</v>
      </c>
      <c r="M261" t="s">
        <v>1463</v>
      </c>
      <c r="N261" t="s">
        <v>1468</v>
      </c>
    </row>
    <row r="262" spans="1:14" x14ac:dyDescent="0.25">
      <c r="A262" t="s">
        <v>274</v>
      </c>
      <c r="B262">
        <v>40</v>
      </c>
      <c r="C262">
        <v>3</v>
      </c>
      <c r="D262">
        <v>27000</v>
      </c>
      <c r="E262">
        <v>0</v>
      </c>
      <c r="F262">
        <v>2.8</v>
      </c>
      <c r="G262">
        <v>81000</v>
      </c>
      <c r="H262" t="s">
        <v>1607</v>
      </c>
      <c r="I262" t="s">
        <v>1326</v>
      </c>
      <c r="J262" t="s">
        <v>1444</v>
      </c>
      <c r="K262" t="s">
        <v>1449</v>
      </c>
      <c r="L262" t="s">
        <v>1458</v>
      </c>
      <c r="M262" t="s">
        <v>1464</v>
      </c>
      <c r="N262" t="s">
        <v>1466</v>
      </c>
    </row>
    <row r="263" spans="1:14" x14ac:dyDescent="0.25">
      <c r="A263" t="s">
        <v>275</v>
      </c>
      <c r="B263">
        <v>51</v>
      </c>
      <c r="C263">
        <v>2</v>
      </c>
      <c r="D263">
        <v>18000</v>
      </c>
      <c r="E263">
        <v>0</v>
      </c>
      <c r="F263">
        <v>3.8</v>
      </c>
      <c r="G263">
        <v>36000</v>
      </c>
      <c r="H263" t="s">
        <v>1608</v>
      </c>
      <c r="I263" t="s">
        <v>1304</v>
      </c>
      <c r="J263" t="s">
        <v>1445</v>
      </c>
      <c r="K263" t="s">
        <v>1450</v>
      </c>
      <c r="L263" t="s">
        <v>1460</v>
      </c>
      <c r="M263" t="s">
        <v>1463</v>
      </c>
      <c r="N263" t="s">
        <v>1467</v>
      </c>
    </row>
    <row r="264" spans="1:14" x14ac:dyDescent="0.25">
      <c r="A264" t="s">
        <v>276</v>
      </c>
      <c r="B264">
        <v>48</v>
      </c>
      <c r="C264">
        <v>5</v>
      </c>
      <c r="D264">
        <v>30000</v>
      </c>
      <c r="E264">
        <v>0</v>
      </c>
      <c r="F264">
        <v>3.8</v>
      </c>
      <c r="G264">
        <v>150000</v>
      </c>
      <c r="H264" t="s">
        <v>1609</v>
      </c>
      <c r="I264" t="s">
        <v>1266</v>
      </c>
      <c r="J264" t="s">
        <v>1441</v>
      </c>
      <c r="K264" t="s">
        <v>1446</v>
      </c>
      <c r="L264" t="s">
        <v>1453</v>
      </c>
      <c r="M264" t="s">
        <v>1463</v>
      </c>
      <c r="N264" t="s">
        <v>1468</v>
      </c>
    </row>
    <row r="265" spans="1:14" x14ac:dyDescent="0.25">
      <c r="A265" t="s">
        <v>277</v>
      </c>
      <c r="B265">
        <v>18</v>
      </c>
      <c r="C265">
        <v>5</v>
      </c>
      <c r="D265">
        <v>20000</v>
      </c>
      <c r="E265">
        <v>15</v>
      </c>
      <c r="F265">
        <v>1.9</v>
      </c>
      <c r="G265">
        <v>85000</v>
      </c>
      <c r="H265" t="s">
        <v>1609</v>
      </c>
      <c r="I265" t="s">
        <v>1373</v>
      </c>
      <c r="J265" t="s">
        <v>1441</v>
      </c>
      <c r="K265" t="s">
        <v>1446</v>
      </c>
      <c r="L265" t="s">
        <v>1459</v>
      </c>
      <c r="M265" t="s">
        <v>1462</v>
      </c>
      <c r="N265" t="s">
        <v>1465</v>
      </c>
    </row>
    <row r="266" spans="1:14" x14ac:dyDescent="0.25">
      <c r="A266" t="s">
        <v>278</v>
      </c>
      <c r="B266">
        <v>42</v>
      </c>
      <c r="C266">
        <v>4</v>
      </c>
      <c r="D266">
        <v>23000</v>
      </c>
      <c r="E266">
        <v>0</v>
      </c>
      <c r="F266">
        <v>2.8</v>
      </c>
      <c r="G266">
        <v>92000</v>
      </c>
      <c r="H266" t="s">
        <v>1609</v>
      </c>
      <c r="I266" t="s">
        <v>1374</v>
      </c>
      <c r="J266" t="s">
        <v>1443</v>
      </c>
      <c r="K266" t="s">
        <v>1448</v>
      </c>
      <c r="L266" t="s">
        <v>1456</v>
      </c>
      <c r="M266" t="s">
        <v>1463</v>
      </c>
      <c r="N266" t="s">
        <v>1466</v>
      </c>
    </row>
    <row r="267" spans="1:14" x14ac:dyDescent="0.25">
      <c r="A267" t="s">
        <v>279</v>
      </c>
      <c r="B267">
        <v>25</v>
      </c>
      <c r="C267">
        <v>2</v>
      </c>
      <c r="D267">
        <v>20000</v>
      </c>
      <c r="E267">
        <v>5</v>
      </c>
      <c r="F267">
        <v>3.4</v>
      </c>
      <c r="G267">
        <v>38000</v>
      </c>
      <c r="H267" t="s">
        <v>1610</v>
      </c>
      <c r="I267" t="s">
        <v>1367</v>
      </c>
      <c r="J267" t="s">
        <v>1441</v>
      </c>
      <c r="K267" t="s">
        <v>1446</v>
      </c>
      <c r="L267" t="s">
        <v>1459</v>
      </c>
      <c r="M267" t="s">
        <v>1462</v>
      </c>
      <c r="N267" t="s">
        <v>1466</v>
      </c>
    </row>
    <row r="268" spans="1:14" x14ac:dyDescent="0.25">
      <c r="A268" t="s">
        <v>280</v>
      </c>
      <c r="B268">
        <v>29</v>
      </c>
      <c r="C268">
        <v>3</v>
      </c>
      <c r="D268">
        <v>25000</v>
      </c>
      <c r="E268">
        <v>20</v>
      </c>
      <c r="F268">
        <v>1.8</v>
      </c>
      <c r="G268">
        <v>60000</v>
      </c>
      <c r="H268" t="s">
        <v>1611</v>
      </c>
      <c r="I268" t="s">
        <v>1356</v>
      </c>
      <c r="J268" t="s">
        <v>1441</v>
      </c>
      <c r="K268" t="s">
        <v>1446</v>
      </c>
      <c r="L268" t="s">
        <v>1452</v>
      </c>
      <c r="M268" t="s">
        <v>1462</v>
      </c>
      <c r="N268" t="s">
        <v>1467</v>
      </c>
    </row>
    <row r="269" spans="1:14" x14ac:dyDescent="0.25">
      <c r="A269" t="s">
        <v>281</v>
      </c>
      <c r="B269">
        <v>37</v>
      </c>
      <c r="C269">
        <v>4</v>
      </c>
      <c r="D269">
        <v>22000</v>
      </c>
      <c r="E269">
        <v>0</v>
      </c>
      <c r="F269">
        <v>4.2</v>
      </c>
      <c r="G269">
        <v>88000</v>
      </c>
      <c r="H269" t="s">
        <v>1611</v>
      </c>
      <c r="I269" t="s">
        <v>1300</v>
      </c>
      <c r="J269" t="s">
        <v>1445</v>
      </c>
      <c r="K269" t="s">
        <v>1450</v>
      </c>
      <c r="L269" t="s">
        <v>1454</v>
      </c>
      <c r="M269" t="s">
        <v>1462</v>
      </c>
      <c r="N269" t="s">
        <v>1467</v>
      </c>
    </row>
    <row r="270" spans="1:14" x14ac:dyDescent="0.25">
      <c r="A270" t="s">
        <v>282</v>
      </c>
      <c r="B270">
        <v>51</v>
      </c>
      <c r="C270">
        <v>3</v>
      </c>
      <c r="D270">
        <v>28000</v>
      </c>
      <c r="E270">
        <v>0</v>
      </c>
      <c r="F270">
        <v>1.8</v>
      </c>
      <c r="G270">
        <v>84000</v>
      </c>
      <c r="H270" t="s">
        <v>1612</v>
      </c>
      <c r="I270" t="s">
        <v>1322</v>
      </c>
      <c r="J270" t="s">
        <v>1442</v>
      </c>
      <c r="K270" t="s">
        <v>1447</v>
      </c>
      <c r="L270" t="s">
        <v>1455</v>
      </c>
      <c r="M270" t="s">
        <v>1464</v>
      </c>
      <c r="N270" t="s">
        <v>1467</v>
      </c>
    </row>
    <row r="271" spans="1:14" x14ac:dyDescent="0.25">
      <c r="A271" t="s">
        <v>283</v>
      </c>
      <c r="B271">
        <v>25</v>
      </c>
      <c r="C271">
        <v>3</v>
      </c>
      <c r="D271">
        <v>18000</v>
      </c>
      <c r="E271">
        <v>0</v>
      </c>
      <c r="F271">
        <v>1.1000000000000001</v>
      </c>
      <c r="G271">
        <v>54000</v>
      </c>
      <c r="H271" t="s">
        <v>1612</v>
      </c>
      <c r="I271" t="s">
        <v>1393</v>
      </c>
      <c r="J271" t="s">
        <v>1442</v>
      </c>
      <c r="K271" t="s">
        <v>1447</v>
      </c>
      <c r="L271" t="s">
        <v>1461</v>
      </c>
      <c r="M271" t="s">
        <v>1462</v>
      </c>
      <c r="N271" t="s">
        <v>1466</v>
      </c>
    </row>
    <row r="272" spans="1:14" x14ac:dyDescent="0.25">
      <c r="A272" t="s">
        <v>284</v>
      </c>
      <c r="B272">
        <v>30</v>
      </c>
      <c r="C272">
        <v>2</v>
      </c>
      <c r="D272">
        <v>20000</v>
      </c>
      <c r="E272">
        <v>20</v>
      </c>
      <c r="F272">
        <v>1.4</v>
      </c>
      <c r="G272">
        <v>32000</v>
      </c>
      <c r="H272" t="s">
        <v>1612</v>
      </c>
      <c r="I272" t="s">
        <v>1265</v>
      </c>
      <c r="J272" t="s">
        <v>1442</v>
      </c>
      <c r="K272" t="s">
        <v>1447</v>
      </c>
      <c r="L272" t="s">
        <v>1459</v>
      </c>
      <c r="M272" t="s">
        <v>1462</v>
      </c>
      <c r="N272" t="s">
        <v>1465</v>
      </c>
    </row>
    <row r="273" spans="1:14" x14ac:dyDescent="0.25">
      <c r="A273" t="s">
        <v>285</v>
      </c>
      <c r="B273">
        <v>24</v>
      </c>
      <c r="C273">
        <v>3</v>
      </c>
      <c r="D273">
        <v>28000</v>
      </c>
      <c r="E273">
        <v>0</v>
      </c>
      <c r="F273">
        <v>4.8</v>
      </c>
      <c r="G273">
        <v>84000</v>
      </c>
      <c r="H273" t="s">
        <v>1613</v>
      </c>
      <c r="I273" t="s">
        <v>1286</v>
      </c>
      <c r="J273" t="s">
        <v>1444</v>
      </c>
      <c r="K273" t="s">
        <v>1449</v>
      </c>
      <c r="L273" t="s">
        <v>1455</v>
      </c>
      <c r="M273" t="s">
        <v>1464</v>
      </c>
      <c r="N273" t="s">
        <v>1465</v>
      </c>
    </row>
    <row r="274" spans="1:14" x14ac:dyDescent="0.25">
      <c r="A274" t="s">
        <v>286</v>
      </c>
      <c r="B274">
        <v>31</v>
      </c>
      <c r="C274">
        <v>5</v>
      </c>
      <c r="D274">
        <v>32000</v>
      </c>
      <c r="E274">
        <v>0</v>
      </c>
      <c r="F274">
        <v>4.9000000000000004</v>
      </c>
      <c r="G274">
        <v>160000</v>
      </c>
      <c r="H274" t="s">
        <v>1614</v>
      </c>
      <c r="I274" t="s">
        <v>1360</v>
      </c>
      <c r="J274" t="s">
        <v>1441</v>
      </c>
      <c r="K274" t="s">
        <v>1446</v>
      </c>
      <c r="L274" t="s">
        <v>1457</v>
      </c>
      <c r="M274" t="s">
        <v>1463</v>
      </c>
      <c r="N274" t="s">
        <v>1466</v>
      </c>
    </row>
    <row r="275" spans="1:14" x14ac:dyDescent="0.25">
      <c r="A275" t="s">
        <v>287</v>
      </c>
      <c r="B275">
        <v>24</v>
      </c>
      <c r="C275">
        <v>3</v>
      </c>
      <c r="D275">
        <v>18000</v>
      </c>
      <c r="E275">
        <v>10</v>
      </c>
      <c r="F275">
        <v>2</v>
      </c>
      <c r="G275">
        <v>48600</v>
      </c>
      <c r="H275" t="s">
        <v>1615</v>
      </c>
      <c r="I275" t="s">
        <v>1394</v>
      </c>
      <c r="J275" t="s">
        <v>1444</v>
      </c>
      <c r="K275" t="s">
        <v>1449</v>
      </c>
      <c r="L275" t="s">
        <v>1460</v>
      </c>
      <c r="M275" t="s">
        <v>1463</v>
      </c>
      <c r="N275" t="s">
        <v>1468</v>
      </c>
    </row>
    <row r="276" spans="1:14" x14ac:dyDescent="0.25">
      <c r="A276" t="s">
        <v>288</v>
      </c>
      <c r="B276">
        <v>18</v>
      </c>
      <c r="C276">
        <v>5</v>
      </c>
      <c r="D276">
        <v>28000</v>
      </c>
      <c r="E276">
        <v>0</v>
      </c>
      <c r="F276">
        <v>1.5</v>
      </c>
      <c r="G276">
        <v>140000</v>
      </c>
      <c r="H276" t="s">
        <v>1616</v>
      </c>
      <c r="I276" t="s">
        <v>1291</v>
      </c>
      <c r="J276" t="s">
        <v>1441</v>
      </c>
      <c r="K276" t="s">
        <v>1446</v>
      </c>
      <c r="L276" t="s">
        <v>1455</v>
      </c>
      <c r="M276" t="s">
        <v>1464</v>
      </c>
      <c r="N276" t="s">
        <v>1465</v>
      </c>
    </row>
    <row r="277" spans="1:14" x14ac:dyDescent="0.25">
      <c r="A277" t="s">
        <v>289</v>
      </c>
      <c r="B277">
        <v>40</v>
      </c>
      <c r="C277">
        <v>5</v>
      </c>
      <c r="D277">
        <v>27000</v>
      </c>
      <c r="E277">
        <v>5</v>
      </c>
      <c r="F277">
        <v>1.3</v>
      </c>
      <c r="G277">
        <v>128250</v>
      </c>
      <c r="H277" t="s">
        <v>1616</v>
      </c>
      <c r="I277" t="s">
        <v>1341</v>
      </c>
      <c r="J277" t="s">
        <v>1441</v>
      </c>
      <c r="K277" t="s">
        <v>1446</v>
      </c>
      <c r="L277" t="s">
        <v>1458</v>
      </c>
      <c r="M277" t="s">
        <v>1464</v>
      </c>
      <c r="N277" t="s">
        <v>1467</v>
      </c>
    </row>
    <row r="278" spans="1:14" x14ac:dyDescent="0.25">
      <c r="A278" t="s">
        <v>290</v>
      </c>
      <c r="B278">
        <v>43</v>
      </c>
      <c r="C278">
        <v>5</v>
      </c>
      <c r="D278">
        <v>18000</v>
      </c>
      <c r="E278">
        <v>20</v>
      </c>
      <c r="F278">
        <v>1.3</v>
      </c>
      <c r="G278">
        <v>72000</v>
      </c>
      <c r="H278" t="s">
        <v>1616</v>
      </c>
      <c r="I278" t="s">
        <v>1278</v>
      </c>
      <c r="J278" t="s">
        <v>1441</v>
      </c>
      <c r="K278" t="s">
        <v>1446</v>
      </c>
      <c r="L278" t="s">
        <v>1460</v>
      </c>
      <c r="M278" t="s">
        <v>1463</v>
      </c>
      <c r="N278" t="s">
        <v>1467</v>
      </c>
    </row>
    <row r="279" spans="1:14" x14ac:dyDescent="0.25">
      <c r="A279" t="s">
        <v>291</v>
      </c>
      <c r="B279">
        <v>29</v>
      </c>
      <c r="C279">
        <v>5</v>
      </c>
      <c r="D279">
        <v>32000</v>
      </c>
      <c r="E279">
        <v>0</v>
      </c>
      <c r="F279">
        <v>1.8</v>
      </c>
      <c r="G279">
        <v>160000</v>
      </c>
      <c r="H279" t="s">
        <v>1617</v>
      </c>
      <c r="I279" t="s">
        <v>1356</v>
      </c>
      <c r="J279" t="s">
        <v>1444</v>
      </c>
      <c r="K279" t="s">
        <v>1449</v>
      </c>
      <c r="L279" t="s">
        <v>1457</v>
      </c>
      <c r="M279" t="s">
        <v>1463</v>
      </c>
      <c r="N279" t="s">
        <v>1468</v>
      </c>
    </row>
    <row r="280" spans="1:14" x14ac:dyDescent="0.25">
      <c r="A280" t="s">
        <v>292</v>
      </c>
      <c r="B280">
        <v>20</v>
      </c>
      <c r="C280">
        <v>3</v>
      </c>
      <c r="D280">
        <v>30000</v>
      </c>
      <c r="E280">
        <v>20</v>
      </c>
      <c r="F280">
        <v>1.2</v>
      </c>
      <c r="G280">
        <v>72000</v>
      </c>
      <c r="H280" t="s">
        <v>1617</v>
      </c>
      <c r="I280" t="s">
        <v>1347</v>
      </c>
      <c r="J280" t="s">
        <v>1442</v>
      </c>
      <c r="K280" t="s">
        <v>1447</v>
      </c>
      <c r="L280" t="s">
        <v>1453</v>
      </c>
      <c r="M280" t="s">
        <v>1463</v>
      </c>
      <c r="N280" t="s">
        <v>1468</v>
      </c>
    </row>
    <row r="281" spans="1:14" x14ac:dyDescent="0.25">
      <c r="A281" t="s">
        <v>293</v>
      </c>
      <c r="B281">
        <v>53</v>
      </c>
      <c r="C281">
        <v>1</v>
      </c>
      <c r="D281">
        <v>22000</v>
      </c>
      <c r="E281">
        <v>10</v>
      </c>
      <c r="F281">
        <v>2.4</v>
      </c>
      <c r="G281">
        <v>19800</v>
      </c>
      <c r="H281" t="s">
        <v>1618</v>
      </c>
      <c r="I281" t="s">
        <v>1301</v>
      </c>
      <c r="J281" t="s">
        <v>1445</v>
      </c>
      <c r="K281" t="s">
        <v>1450</v>
      </c>
      <c r="L281" t="s">
        <v>1454</v>
      </c>
      <c r="M281" t="s">
        <v>1462</v>
      </c>
      <c r="N281" t="s">
        <v>1467</v>
      </c>
    </row>
    <row r="282" spans="1:14" x14ac:dyDescent="0.25">
      <c r="A282" t="s">
        <v>294</v>
      </c>
      <c r="B282">
        <v>40</v>
      </c>
      <c r="C282">
        <v>4</v>
      </c>
      <c r="D282">
        <v>25000</v>
      </c>
      <c r="E282">
        <v>0</v>
      </c>
      <c r="F282">
        <v>3.2</v>
      </c>
      <c r="G282">
        <v>100000</v>
      </c>
      <c r="H282" t="s">
        <v>1618</v>
      </c>
      <c r="I282" t="s">
        <v>1395</v>
      </c>
      <c r="J282" t="s">
        <v>1442</v>
      </c>
      <c r="K282" t="s">
        <v>1447</v>
      </c>
      <c r="L282" t="s">
        <v>1452</v>
      </c>
      <c r="M282" t="s">
        <v>1462</v>
      </c>
      <c r="N282" t="s">
        <v>1466</v>
      </c>
    </row>
    <row r="283" spans="1:14" x14ac:dyDescent="0.25">
      <c r="A283" t="s">
        <v>295</v>
      </c>
      <c r="B283">
        <v>25</v>
      </c>
      <c r="C283">
        <v>4</v>
      </c>
      <c r="D283">
        <v>20000</v>
      </c>
      <c r="E283">
        <v>0</v>
      </c>
      <c r="F283">
        <v>4.5999999999999996</v>
      </c>
      <c r="G283">
        <v>80000</v>
      </c>
      <c r="H283" t="s">
        <v>1619</v>
      </c>
      <c r="I283" t="s">
        <v>1339</v>
      </c>
      <c r="J283" t="s">
        <v>1444</v>
      </c>
      <c r="K283" t="s">
        <v>1449</v>
      </c>
      <c r="L283" t="s">
        <v>1459</v>
      </c>
      <c r="M283" t="s">
        <v>1462</v>
      </c>
      <c r="N283" t="s">
        <v>1466</v>
      </c>
    </row>
    <row r="284" spans="1:14" x14ac:dyDescent="0.25">
      <c r="A284" t="s">
        <v>296</v>
      </c>
      <c r="B284">
        <v>53</v>
      </c>
      <c r="C284">
        <v>5</v>
      </c>
      <c r="D284">
        <v>28000</v>
      </c>
      <c r="E284">
        <v>0</v>
      </c>
      <c r="F284">
        <v>1.8</v>
      </c>
      <c r="G284">
        <v>140000</v>
      </c>
      <c r="H284" t="s">
        <v>1619</v>
      </c>
      <c r="I284" t="s">
        <v>1257</v>
      </c>
      <c r="J284" t="s">
        <v>1442</v>
      </c>
      <c r="K284" t="s">
        <v>1447</v>
      </c>
      <c r="L284" t="s">
        <v>1455</v>
      </c>
      <c r="M284" t="s">
        <v>1464</v>
      </c>
      <c r="N284" t="s">
        <v>1466</v>
      </c>
    </row>
    <row r="285" spans="1:14" x14ac:dyDescent="0.25">
      <c r="A285" t="s">
        <v>297</v>
      </c>
      <c r="B285">
        <v>36</v>
      </c>
      <c r="C285">
        <v>4</v>
      </c>
      <c r="D285">
        <v>27000</v>
      </c>
      <c r="E285">
        <v>15</v>
      </c>
      <c r="F285">
        <v>3.5</v>
      </c>
      <c r="G285">
        <v>91800</v>
      </c>
      <c r="H285" t="s">
        <v>1620</v>
      </c>
      <c r="I285" t="s">
        <v>1358</v>
      </c>
      <c r="J285" t="s">
        <v>1442</v>
      </c>
      <c r="K285" t="s">
        <v>1447</v>
      </c>
      <c r="L285" t="s">
        <v>1458</v>
      </c>
      <c r="M285" t="s">
        <v>1464</v>
      </c>
      <c r="N285" t="s">
        <v>1465</v>
      </c>
    </row>
    <row r="286" spans="1:14" x14ac:dyDescent="0.25">
      <c r="A286" t="s">
        <v>298</v>
      </c>
      <c r="B286">
        <v>50</v>
      </c>
      <c r="C286">
        <v>2</v>
      </c>
      <c r="D286">
        <v>18000</v>
      </c>
      <c r="E286">
        <v>15</v>
      </c>
      <c r="F286">
        <v>3.1</v>
      </c>
      <c r="G286">
        <v>30600</v>
      </c>
      <c r="H286" t="s">
        <v>1621</v>
      </c>
      <c r="I286" t="s">
        <v>1396</v>
      </c>
      <c r="J286" t="s">
        <v>1442</v>
      </c>
      <c r="K286" t="s">
        <v>1447</v>
      </c>
      <c r="L286" t="s">
        <v>1460</v>
      </c>
      <c r="M286" t="s">
        <v>1463</v>
      </c>
      <c r="N286" t="s">
        <v>1467</v>
      </c>
    </row>
    <row r="287" spans="1:14" x14ac:dyDescent="0.25">
      <c r="A287" t="s">
        <v>299</v>
      </c>
      <c r="B287">
        <v>23</v>
      </c>
      <c r="C287">
        <v>3</v>
      </c>
      <c r="D287">
        <v>28000</v>
      </c>
      <c r="E287">
        <v>10</v>
      </c>
      <c r="F287">
        <v>1.2</v>
      </c>
      <c r="G287">
        <v>75600</v>
      </c>
      <c r="H287" t="s">
        <v>1621</v>
      </c>
      <c r="I287" t="s">
        <v>1335</v>
      </c>
      <c r="J287" t="s">
        <v>1442</v>
      </c>
      <c r="K287" t="s">
        <v>1447</v>
      </c>
      <c r="L287" t="s">
        <v>1455</v>
      </c>
      <c r="M287" t="s">
        <v>1464</v>
      </c>
      <c r="N287" t="s">
        <v>1466</v>
      </c>
    </row>
    <row r="288" spans="1:14" x14ac:dyDescent="0.25">
      <c r="A288" t="s">
        <v>300</v>
      </c>
      <c r="B288">
        <v>18</v>
      </c>
      <c r="C288">
        <v>3</v>
      </c>
      <c r="D288">
        <v>32000</v>
      </c>
      <c r="E288">
        <v>0</v>
      </c>
      <c r="F288">
        <v>3.7</v>
      </c>
      <c r="G288">
        <v>96000</v>
      </c>
      <c r="H288" t="s">
        <v>1621</v>
      </c>
      <c r="I288" t="s">
        <v>1344</v>
      </c>
      <c r="J288" t="s">
        <v>1443</v>
      </c>
      <c r="K288" t="s">
        <v>1448</v>
      </c>
      <c r="L288" t="s">
        <v>1457</v>
      </c>
      <c r="M288" t="s">
        <v>1463</v>
      </c>
      <c r="N288" t="s">
        <v>1465</v>
      </c>
    </row>
    <row r="289" spans="1:14" x14ac:dyDescent="0.25">
      <c r="A289" t="s">
        <v>301</v>
      </c>
      <c r="B289">
        <v>38</v>
      </c>
      <c r="C289">
        <v>4</v>
      </c>
      <c r="D289">
        <v>27000</v>
      </c>
      <c r="E289">
        <v>5</v>
      </c>
      <c r="F289">
        <v>3.9</v>
      </c>
      <c r="G289">
        <v>102600</v>
      </c>
      <c r="H289" t="s">
        <v>1621</v>
      </c>
      <c r="I289" t="s">
        <v>1376</v>
      </c>
      <c r="J289" t="s">
        <v>1443</v>
      </c>
      <c r="K289" t="s">
        <v>1448</v>
      </c>
      <c r="L289" t="s">
        <v>1458</v>
      </c>
      <c r="M289" t="s">
        <v>1464</v>
      </c>
      <c r="N289" t="s">
        <v>1467</v>
      </c>
    </row>
    <row r="290" spans="1:14" x14ac:dyDescent="0.25">
      <c r="A290" t="s">
        <v>302</v>
      </c>
      <c r="B290">
        <v>43</v>
      </c>
      <c r="C290">
        <v>2</v>
      </c>
      <c r="D290">
        <v>22000</v>
      </c>
      <c r="E290">
        <v>0</v>
      </c>
      <c r="F290">
        <v>1.9</v>
      </c>
      <c r="G290">
        <v>44000</v>
      </c>
      <c r="H290" t="s">
        <v>1622</v>
      </c>
      <c r="I290" t="s">
        <v>1311</v>
      </c>
      <c r="J290" t="s">
        <v>1443</v>
      </c>
      <c r="K290" t="s">
        <v>1448</v>
      </c>
      <c r="L290" t="s">
        <v>1454</v>
      </c>
      <c r="M290" t="s">
        <v>1462</v>
      </c>
      <c r="N290" t="s">
        <v>1466</v>
      </c>
    </row>
    <row r="291" spans="1:14" x14ac:dyDescent="0.25">
      <c r="A291" t="s">
        <v>303</v>
      </c>
      <c r="B291">
        <v>32</v>
      </c>
      <c r="C291">
        <v>3</v>
      </c>
      <c r="D291">
        <v>30000</v>
      </c>
      <c r="E291">
        <v>20</v>
      </c>
      <c r="F291">
        <v>3</v>
      </c>
      <c r="G291">
        <v>72000</v>
      </c>
      <c r="H291" t="s">
        <v>1623</v>
      </c>
      <c r="I291" t="s">
        <v>1397</v>
      </c>
      <c r="J291" t="s">
        <v>1444</v>
      </c>
      <c r="K291" t="s">
        <v>1449</v>
      </c>
      <c r="L291" t="s">
        <v>1453</v>
      </c>
      <c r="M291" t="s">
        <v>1463</v>
      </c>
      <c r="N291" t="s">
        <v>1468</v>
      </c>
    </row>
    <row r="292" spans="1:14" x14ac:dyDescent="0.25">
      <c r="A292" t="s">
        <v>304</v>
      </c>
      <c r="B292">
        <v>44</v>
      </c>
      <c r="C292">
        <v>1</v>
      </c>
      <c r="D292">
        <v>28000</v>
      </c>
      <c r="E292">
        <v>0</v>
      </c>
      <c r="F292">
        <v>4.2</v>
      </c>
      <c r="G292">
        <v>28000</v>
      </c>
      <c r="H292" t="s">
        <v>1624</v>
      </c>
      <c r="I292" t="s">
        <v>1398</v>
      </c>
      <c r="J292" t="s">
        <v>1445</v>
      </c>
      <c r="K292" t="s">
        <v>1450</v>
      </c>
      <c r="L292" t="s">
        <v>1455</v>
      </c>
      <c r="M292" t="s">
        <v>1464</v>
      </c>
      <c r="N292" t="s">
        <v>1467</v>
      </c>
    </row>
    <row r="293" spans="1:14" x14ac:dyDescent="0.25">
      <c r="A293" t="s">
        <v>305</v>
      </c>
      <c r="B293">
        <v>32</v>
      </c>
      <c r="C293">
        <v>4</v>
      </c>
      <c r="D293">
        <v>30000</v>
      </c>
      <c r="E293">
        <v>0</v>
      </c>
      <c r="F293">
        <v>4.9000000000000004</v>
      </c>
      <c r="G293">
        <v>120000</v>
      </c>
      <c r="H293" t="s">
        <v>1625</v>
      </c>
      <c r="I293" t="s">
        <v>1397</v>
      </c>
      <c r="J293" t="s">
        <v>1441</v>
      </c>
      <c r="K293" t="s">
        <v>1446</v>
      </c>
      <c r="L293" t="s">
        <v>1453</v>
      </c>
      <c r="M293" t="s">
        <v>1463</v>
      </c>
      <c r="N293" t="s">
        <v>1467</v>
      </c>
    </row>
    <row r="294" spans="1:14" x14ac:dyDescent="0.25">
      <c r="A294" t="s">
        <v>306</v>
      </c>
      <c r="B294">
        <v>52</v>
      </c>
      <c r="C294">
        <v>2</v>
      </c>
      <c r="D294">
        <v>28000</v>
      </c>
      <c r="E294">
        <v>5</v>
      </c>
      <c r="F294">
        <v>1.4</v>
      </c>
      <c r="G294">
        <v>53200</v>
      </c>
      <c r="H294" t="s">
        <v>1626</v>
      </c>
      <c r="I294" t="s">
        <v>1365</v>
      </c>
      <c r="J294" t="s">
        <v>1445</v>
      </c>
      <c r="K294" t="s">
        <v>1450</v>
      </c>
      <c r="L294" t="s">
        <v>1455</v>
      </c>
      <c r="M294" t="s">
        <v>1464</v>
      </c>
      <c r="N294" t="s">
        <v>1467</v>
      </c>
    </row>
    <row r="295" spans="1:14" x14ac:dyDescent="0.25">
      <c r="A295" t="s">
        <v>307</v>
      </c>
      <c r="B295">
        <v>42</v>
      </c>
      <c r="C295">
        <v>3</v>
      </c>
      <c r="D295">
        <v>22000</v>
      </c>
      <c r="E295">
        <v>15</v>
      </c>
      <c r="F295">
        <v>1.6</v>
      </c>
      <c r="G295">
        <v>56100</v>
      </c>
      <c r="H295" t="s">
        <v>1626</v>
      </c>
      <c r="I295" t="s">
        <v>1391</v>
      </c>
      <c r="J295" t="s">
        <v>1442</v>
      </c>
      <c r="K295" t="s">
        <v>1447</v>
      </c>
      <c r="L295" t="s">
        <v>1454</v>
      </c>
      <c r="M295" t="s">
        <v>1462</v>
      </c>
      <c r="N295" t="s">
        <v>1466</v>
      </c>
    </row>
    <row r="296" spans="1:14" x14ac:dyDescent="0.25">
      <c r="A296" t="s">
        <v>308</v>
      </c>
      <c r="B296">
        <v>30</v>
      </c>
      <c r="C296">
        <v>4</v>
      </c>
      <c r="D296">
        <v>18000</v>
      </c>
      <c r="E296">
        <v>15</v>
      </c>
      <c r="F296">
        <v>4.4000000000000004</v>
      </c>
      <c r="G296">
        <v>61200</v>
      </c>
      <c r="H296" t="s">
        <v>1626</v>
      </c>
      <c r="I296" t="s">
        <v>1371</v>
      </c>
      <c r="J296" t="s">
        <v>1443</v>
      </c>
      <c r="K296" t="s">
        <v>1448</v>
      </c>
      <c r="L296" t="s">
        <v>1460</v>
      </c>
      <c r="M296" t="s">
        <v>1463</v>
      </c>
      <c r="N296" t="s">
        <v>1466</v>
      </c>
    </row>
    <row r="297" spans="1:14" x14ac:dyDescent="0.25">
      <c r="A297" t="s">
        <v>309</v>
      </c>
      <c r="B297">
        <v>41</v>
      </c>
      <c r="C297">
        <v>5</v>
      </c>
      <c r="D297">
        <v>30000</v>
      </c>
      <c r="E297">
        <v>15</v>
      </c>
      <c r="F297">
        <v>5</v>
      </c>
      <c r="G297">
        <v>127500</v>
      </c>
      <c r="H297" t="s">
        <v>1627</v>
      </c>
      <c r="I297" t="s">
        <v>1399</v>
      </c>
      <c r="J297" t="s">
        <v>1444</v>
      </c>
      <c r="K297" t="s">
        <v>1449</v>
      </c>
      <c r="L297" t="s">
        <v>1453</v>
      </c>
      <c r="M297" t="s">
        <v>1463</v>
      </c>
      <c r="N297" t="s">
        <v>1465</v>
      </c>
    </row>
    <row r="298" spans="1:14" x14ac:dyDescent="0.25">
      <c r="A298" t="s">
        <v>310</v>
      </c>
      <c r="B298">
        <v>18</v>
      </c>
      <c r="C298">
        <v>3</v>
      </c>
      <c r="D298">
        <v>30000</v>
      </c>
      <c r="E298">
        <v>0</v>
      </c>
      <c r="F298">
        <v>2</v>
      </c>
      <c r="G298">
        <v>90000</v>
      </c>
      <c r="H298" t="s">
        <v>1627</v>
      </c>
      <c r="I298" t="s">
        <v>1344</v>
      </c>
      <c r="J298" t="s">
        <v>1444</v>
      </c>
      <c r="K298" t="s">
        <v>1449</v>
      </c>
      <c r="L298" t="s">
        <v>1453</v>
      </c>
      <c r="M298" t="s">
        <v>1463</v>
      </c>
      <c r="N298" t="s">
        <v>1467</v>
      </c>
    </row>
    <row r="299" spans="1:14" x14ac:dyDescent="0.25">
      <c r="A299" t="s">
        <v>311</v>
      </c>
      <c r="B299">
        <v>45</v>
      </c>
      <c r="C299">
        <v>1</v>
      </c>
      <c r="D299">
        <v>25000</v>
      </c>
      <c r="E299">
        <v>10</v>
      </c>
      <c r="F299">
        <v>5</v>
      </c>
      <c r="G299">
        <v>22500</v>
      </c>
      <c r="H299" t="s">
        <v>1628</v>
      </c>
      <c r="I299" t="s">
        <v>1256</v>
      </c>
      <c r="J299" t="s">
        <v>1442</v>
      </c>
      <c r="K299" t="s">
        <v>1447</v>
      </c>
      <c r="L299" t="s">
        <v>1452</v>
      </c>
      <c r="M299" t="s">
        <v>1462</v>
      </c>
      <c r="N299" t="s">
        <v>1468</v>
      </c>
    </row>
    <row r="300" spans="1:14" x14ac:dyDescent="0.25">
      <c r="A300" t="s">
        <v>312</v>
      </c>
      <c r="B300">
        <v>30</v>
      </c>
      <c r="C300">
        <v>2</v>
      </c>
      <c r="D300">
        <v>22000</v>
      </c>
      <c r="E300">
        <v>0</v>
      </c>
      <c r="F300">
        <v>3.9</v>
      </c>
      <c r="G300">
        <v>44000</v>
      </c>
      <c r="H300" t="s">
        <v>1628</v>
      </c>
      <c r="I300" t="s">
        <v>1371</v>
      </c>
      <c r="J300" t="s">
        <v>1445</v>
      </c>
      <c r="K300" t="s">
        <v>1450</v>
      </c>
      <c r="L300" t="s">
        <v>1454</v>
      </c>
      <c r="M300" t="s">
        <v>1462</v>
      </c>
      <c r="N300" t="s">
        <v>1467</v>
      </c>
    </row>
    <row r="301" spans="1:14" x14ac:dyDescent="0.25">
      <c r="A301" t="s">
        <v>313</v>
      </c>
      <c r="B301">
        <v>40</v>
      </c>
      <c r="C301">
        <v>4</v>
      </c>
      <c r="D301">
        <v>32000</v>
      </c>
      <c r="E301">
        <v>15</v>
      </c>
      <c r="F301">
        <v>2.5</v>
      </c>
      <c r="G301">
        <v>108800</v>
      </c>
      <c r="H301" t="s">
        <v>1628</v>
      </c>
      <c r="I301" t="s">
        <v>1251</v>
      </c>
      <c r="J301" t="s">
        <v>1444</v>
      </c>
      <c r="K301" t="s">
        <v>1449</v>
      </c>
      <c r="L301" t="s">
        <v>1457</v>
      </c>
      <c r="M301" t="s">
        <v>1463</v>
      </c>
      <c r="N301" t="s">
        <v>1465</v>
      </c>
    </row>
    <row r="302" spans="1:14" x14ac:dyDescent="0.25">
      <c r="A302" t="s">
        <v>314</v>
      </c>
      <c r="B302">
        <v>53</v>
      </c>
      <c r="C302">
        <v>3</v>
      </c>
      <c r="D302">
        <v>25000</v>
      </c>
      <c r="E302">
        <v>5</v>
      </c>
      <c r="F302">
        <v>4.0999999999999996</v>
      </c>
      <c r="G302">
        <v>71250</v>
      </c>
      <c r="H302" t="s">
        <v>1629</v>
      </c>
      <c r="I302" t="s">
        <v>1315</v>
      </c>
      <c r="J302" t="s">
        <v>1444</v>
      </c>
      <c r="K302" t="s">
        <v>1449</v>
      </c>
      <c r="L302" t="s">
        <v>1452</v>
      </c>
      <c r="M302" t="s">
        <v>1462</v>
      </c>
      <c r="N302" t="s">
        <v>1465</v>
      </c>
    </row>
    <row r="303" spans="1:14" x14ac:dyDescent="0.25">
      <c r="A303" t="s">
        <v>315</v>
      </c>
      <c r="B303">
        <v>19</v>
      </c>
      <c r="C303">
        <v>2</v>
      </c>
      <c r="D303">
        <v>23000</v>
      </c>
      <c r="E303">
        <v>20</v>
      </c>
      <c r="F303">
        <v>2.8</v>
      </c>
      <c r="G303">
        <v>36800</v>
      </c>
      <c r="H303" t="s">
        <v>1629</v>
      </c>
      <c r="I303" t="s">
        <v>1400</v>
      </c>
      <c r="J303" t="s">
        <v>1445</v>
      </c>
      <c r="K303" t="s">
        <v>1450</v>
      </c>
      <c r="L303" t="s">
        <v>1456</v>
      </c>
      <c r="M303" t="s">
        <v>1463</v>
      </c>
      <c r="N303" t="s">
        <v>1466</v>
      </c>
    </row>
    <row r="304" spans="1:14" x14ac:dyDescent="0.25">
      <c r="A304" t="s">
        <v>316</v>
      </c>
      <c r="B304">
        <v>21</v>
      </c>
      <c r="C304">
        <v>5</v>
      </c>
      <c r="D304">
        <v>23000</v>
      </c>
      <c r="E304">
        <v>5</v>
      </c>
      <c r="F304">
        <v>2.2000000000000002</v>
      </c>
      <c r="G304">
        <v>109250</v>
      </c>
      <c r="H304" t="s">
        <v>1629</v>
      </c>
      <c r="I304" t="s">
        <v>1368</v>
      </c>
      <c r="J304" t="s">
        <v>1441</v>
      </c>
      <c r="K304" t="s">
        <v>1446</v>
      </c>
      <c r="L304" t="s">
        <v>1456</v>
      </c>
      <c r="M304" t="s">
        <v>1463</v>
      </c>
      <c r="N304" t="s">
        <v>1465</v>
      </c>
    </row>
    <row r="305" spans="1:14" x14ac:dyDescent="0.25">
      <c r="A305" t="s">
        <v>317</v>
      </c>
      <c r="B305">
        <v>18</v>
      </c>
      <c r="C305">
        <v>4</v>
      </c>
      <c r="D305">
        <v>18000</v>
      </c>
      <c r="E305">
        <v>15</v>
      </c>
      <c r="F305">
        <v>2.7</v>
      </c>
      <c r="G305">
        <v>61200</v>
      </c>
      <c r="H305" t="s">
        <v>1630</v>
      </c>
      <c r="I305" t="s">
        <v>1297</v>
      </c>
      <c r="J305" t="s">
        <v>1442</v>
      </c>
      <c r="K305" t="s">
        <v>1447</v>
      </c>
      <c r="L305" t="s">
        <v>1461</v>
      </c>
      <c r="M305" t="s">
        <v>1462</v>
      </c>
      <c r="N305" t="s">
        <v>1466</v>
      </c>
    </row>
    <row r="306" spans="1:14" x14ac:dyDescent="0.25">
      <c r="A306" t="s">
        <v>318</v>
      </c>
      <c r="B306">
        <v>51</v>
      </c>
      <c r="C306">
        <v>1</v>
      </c>
      <c r="D306">
        <v>20000</v>
      </c>
      <c r="E306">
        <v>5</v>
      </c>
      <c r="F306">
        <v>4.5999999999999996</v>
      </c>
      <c r="G306">
        <v>19000</v>
      </c>
      <c r="H306" t="s">
        <v>1630</v>
      </c>
      <c r="I306" t="s">
        <v>1382</v>
      </c>
      <c r="J306" t="s">
        <v>1443</v>
      </c>
      <c r="K306" t="s">
        <v>1448</v>
      </c>
      <c r="L306" t="s">
        <v>1459</v>
      </c>
      <c r="M306" t="s">
        <v>1462</v>
      </c>
      <c r="N306" t="s">
        <v>1468</v>
      </c>
    </row>
    <row r="307" spans="1:14" x14ac:dyDescent="0.25">
      <c r="A307" t="s">
        <v>319</v>
      </c>
      <c r="B307">
        <v>23</v>
      </c>
      <c r="C307">
        <v>2</v>
      </c>
      <c r="D307">
        <v>22000</v>
      </c>
      <c r="E307">
        <v>0</v>
      </c>
      <c r="F307">
        <v>4.3</v>
      </c>
      <c r="G307">
        <v>44000</v>
      </c>
      <c r="H307" t="s">
        <v>1630</v>
      </c>
      <c r="I307" t="s">
        <v>1348</v>
      </c>
      <c r="J307" t="s">
        <v>1444</v>
      </c>
      <c r="K307" t="s">
        <v>1449</v>
      </c>
      <c r="L307" t="s">
        <v>1454</v>
      </c>
      <c r="M307" t="s">
        <v>1462</v>
      </c>
      <c r="N307" t="s">
        <v>1467</v>
      </c>
    </row>
    <row r="308" spans="1:14" x14ac:dyDescent="0.25">
      <c r="A308" t="s">
        <v>320</v>
      </c>
      <c r="B308">
        <v>48</v>
      </c>
      <c r="C308">
        <v>1</v>
      </c>
      <c r="D308">
        <v>28000</v>
      </c>
      <c r="E308">
        <v>5</v>
      </c>
      <c r="F308">
        <v>3.1</v>
      </c>
      <c r="G308">
        <v>26600</v>
      </c>
      <c r="H308" t="s">
        <v>1631</v>
      </c>
      <c r="I308" t="s">
        <v>1296</v>
      </c>
      <c r="J308" t="s">
        <v>1445</v>
      </c>
      <c r="K308" t="s">
        <v>1450</v>
      </c>
      <c r="L308" t="s">
        <v>1455</v>
      </c>
      <c r="M308" t="s">
        <v>1464</v>
      </c>
      <c r="N308" t="s">
        <v>1468</v>
      </c>
    </row>
    <row r="309" spans="1:14" x14ac:dyDescent="0.25">
      <c r="A309" t="s">
        <v>321</v>
      </c>
      <c r="B309">
        <v>32</v>
      </c>
      <c r="C309">
        <v>1</v>
      </c>
      <c r="D309">
        <v>32000</v>
      </c>
      <c r="E309">
        <v>15</v>
      </c>
      <c r="F309">
        <v>1.3</v>
      </c>
      <c r="G309">
        <v>27200</v>
      </c>
      <c r="H309" t="s">
        <v>1631</v>
      </c>
      <c r="I309" t="s">
        <v>1275</v>
      </c>
      <c r="J309" t="s">
        <v>1445</v>
      </c>
      <c r="K309" t="s">
        <v>1450</v>
      </c>
      <c r="L309" t="s">
        <v>1457</v>
      </c>
      <c r="M309" t="s">
        <v>1463</v>
      </c>
      <c r="N309" t="s">
        <v>1468</v>
      </c>
    </row>
    <row r="310" spans="1:14" x14ac:dyDescent="0.25">
      <c r="A310" t="s">
        <v>322</v>
      </c>
      <c r="B310">
        <v>32</v>
      </c>
      <c r="C310">
        <v>4</v>
      </c>
      <c r="D310">
        <v>30000</v>
      </c>
      <c r="E310">
        <v>0</v>
      </c>
      <c r="F310">
        <v>2.6</v>
      </c>
      <c r="G310">
        <v>120000</v>
      </c>
      <c r="H310" t="s">
        <v>1631</v>
      </c>
      <c r="I310" t="s">
        <v>1366</v>
      </c>
      <c r="J310" t="s">
        <v>1445</v>
      </c>
      <c r="K310" t="s">
        <v>1450</v>
      </c>
      <c r="L310" t="s">
        <v>1453</v>
      </c>
      <c r="M310" t="s">
        <v>1463</v>
      </c>
      <c r="N310" t="s">
        <v>1465</v>
      </c>
    </row>
    <row r="311" spans="1:14" x14ac:dyDescent="0.25">
      <c r="A311" t="s">
        <v>323</v>
      </c>
      <c r="B311">
        <v>18</v>
      </c>
      <c r="C311">
        <v>1</v>
      </c>
      <c r="D311">
        <v>32000</v>
      </c>
      <c r="E311">
        <v>0</v>
      </c>
      <c r="F311">
        <v>4.5</v>
      </c>
      <c r="G311">
        <v>32000</v>
      </c>
      <c r="H311" t="s">
        <v>1632</v>
      </c>
      <c r="I311" t="s">
        <v>1401</v>
      </c>
      <c r="J311" t="s">
        <v>1443</v>
      </c>
      <c r="K311" t="s">
        <v>1448</v>
      </c>
      <c r="L311" t="s">
        <v>1457</v>
      </c>
      <c r="M311" t="s">
        <v>1463</v>
      </c>
      <c r="N311" t="s">
        <v>1467</v>
      </c>
    </row>
    <row r="312" spans="1:14" x14ac:dyDescent="0.25">
      <c r="A312" t="s">
        <v>324</v>
      </c>
      <c r="B312">
        <v>52</v>
      </c>
      <c r="C312">
        <v>1</v>
      </c>
      <c r="D312">
        <v>18000</v>
      </c>
      <c r="E312">
        <v>0</v>
      </c>
      <c r="F312">
        <v>4.0999999999999996</v>
      </c>
      <c r="G312">
        <v>18000</v>
      </c>
      <c r="H312" t="s">
        <v>1633</v>
      </c>
      <c r="I312" t="s">
        <v>1402</v>
      </c>
      <c r="J312" t="s">
        <v>1445</v>
      </c>
      <c r="K312" t="s">
        <v>1450</v>
      </c>
      <c r="L312" t="s">
        <v>1461</v>
      </c>
      <c r="M312" t="s">
        <v>1462</v>
      </c>
      <c r="N312" t="s">
        <v>1468</v>
      </c>
    </row>
    <row r="313" spans="1:14" x14ac:dyDescent="0.25">
      <c r="A313" t="s">
        <v>325</v>
      </c>
      <c r="B313">
        <v>44</v>
      </c>
      <c r="C313">
        <v>5</v>
      </c>
      <c r="D313">
        <v>20000</v>
      </c>
      <c r="E313">
        <v>10</v>
      </c>
      <c r="F313">
        <v>3.1</v>
      </c>
      <c r="G313">
        <v>90000</v>
      </c>
      <c r="H313" t="s">
        <v>1634</v>
      </c>
      <c r="I313" t="s">
        <v>1346</v>
      </c>
      <c r="J313" t="s">
        <v>1442</v>
      </c>
      <c r="K313" t="s">
        <v>1447</v>
      </c>
      <c r="L313" t="s">
        <v>1459</v>
      </c>
      <c r="M313" t="s">
        <v>1462</v>
      </c>
      <c r="N313" t="s">
        <v>1467</v>
      </c>
    </row>
    <row r="314" spans="1:14" x14ac:dyDescent="0.25">
      <c r="A314" t="s">
        <v>326</v>
      </c>
      <c r="B314">
        <v>18</v>
      </c>
      <c r="C314">
        <v>3</v>
      </c>
      <c r="D314">
        <v>23000</v>
      </c>
      <c r="E314">
        <v>15</v>
      </c>
      <c r="F314">
        <v>1.7</v>
      </c>
      <c r="G314">
        <v>58650</v>
      </c>
      <c r="H314" t="s">
        <v>1635</v>
      </c>
      <c r="I314" t="s">
        <v>1344</v>
      </c>
      <c r="J314" t="s">
        <v>1443</v>
      </c>
      <c r="K314" t="s">
        <v>1448</v>
      </c>
      <c r="L314" t="s">
        <v>1456</v>
      </c>
      <c r="M314" t="s">
        <v>1463</v>
      </c>
      <c r="N314" t="s">
        <v>1468</v>
      </c>
    </row>
    <row r="315" spans="1:14" x14ac:dyDescent="0.25">
      <c r="A315" t="s">
        <v>327</v>
      </c>
      <c r="B315">
        <v>46</v>
      </c>
      <c r="C315">
        <v>2</v>
      </c>
      <c r="D315">
        <v>32000</v>
      </c>
      <c r="E315">
        <v>0</v>
      </c>
      <c r="F315">
        <v>4.3</v>
      </c>
      <c r="G315">
        <v>64000</v>
      </c>
      <c r="H315" t="s">
        <v>1636</v>
      </c>
      <c r="I315" t="s">
        <v>1403</v>
      </c>
      <c r="J315" t="s">
        <v>1445</v>
      </c>
      <c r="K315" t="s">
        <v>1450</v>
      </c>
      <c r="L315" t="s">
        <v>1457</v>
      </c>
      <c r="M315" t="s">
        <v>1463</v>
      </c>
      <c r="N315" t="s">
        <v>1466</v>
      </c>
    </row>
    <row r="316" spans="1:14" x14ac:dyDescent="0.25">
      <c r="A316" t="s">
        <v>328</v>
      </c>
      <c r="B316">
        <v>17</v>
      </c>
      <c r="C316">
        <v>3</v>
      </c>
      <c r="D316">
        <v>27000</v>
      </c>
      <c r="E316">
        <v>10</v>
      </c>
      <c r="F316">
        <v>3</v>
      </c>
      <c r="G316">
        <v>72900</v>
      </c>
      <c r="H316" t="s">
        <v>1637</v>
      </c>
      <c r="I316" t="s">
        <v>1327</v>
      </c>
      <c r="J316" t="s">
        <v>1441</v>
      </c>
      <c r="K316" t="s">
        <v>1446</v>
      </c>
      <c r="L316" t="s">
        <v>1458</v>
      </c>
      <c r="M316" t="s">
        <v>1464</v>
      </c>
      <c r="N316" t="s">
        <v>1465</v>
      </c>
    </row>
    <row r="317" spans="1:14" x14ac:dyDescent="0.25">
      <c r="A317" t="s">
        <v>329</v>
      </c>
      <c r="B317">
        <v>31</v>
      </c>
      <c r="C317">
        <v>2</v>
      </c>
      <c r="D317">
        <v>32000</v>
      </c>
      <c r="E317">
        <v>0</v>
      </c>
      <c r="F317">
        <v>3.9</v>
      </c>
      <c r="G317">
        <v>64000</v>
      </c>
      <c r="H317" t="s">
        <v>1638</v>
      </c>
      <c r="I317" t="s">
        <v>1369</v>
      </c>
      <c r="J317" t="s">
        <v>1443</v>
      </c>
      <c r="K317" t="s">
        <v>1448</v>
      </c>
      <c r="L317" t="s">
        <v>1457</v>
      </c>
      <c r="M317" t="s">
        <v>1463</v>
      </c>
      <c r="N317" t="s">
        <v>1467</v>
      </c>
    </row>
    <row r="318" spans="1:14" x14ac:dyDescent="0.25">
      <c r="A318" t="s">
        <v>330</v>
      </c>
      <c r="B318">
        <v>34</v>
      </c>
      <c r="C318">
        <v>5</v>
      </c>
      <c r="D318">
        <v>18000</v>
      </c>
      <c r="E318">
        <v>20</v>
      </c>
      <c r="F318">
        <v>1.7</v>
      </c>
      <c r="G318">
        <v>72000</v>
      </c>
      <c r="H318" t="s">
        <v>1639</v>
      </c>
      <c r="I318" t="s">
        <v>1361</v>
      </c>
      <c r="J318" t="s">
        <v>1442</v>
      </c>
      <c r="K318" t="s">
        <v>1447</v>
      </c>
      <c r="L318" t="s">
        <v>1460</v>
      </c>
      <c r="M318" t="s">
        <v>1463</v>
      </c>
      <c r="N318" t="s">
        <v>1466</v>
      </c>
    </row>
    <row r="319" spans="1:14" x14ac:dyDescent="0.25">
      <c r="A319" t="s">
        <v>331</v>
      </c>
      <c r="B319">
        <v>23</v>
      </c>
      <c r="C319">
        <v>5</v>
      </c>
      <c r="D319">
        <v>27000</v>
      </c>
      <c r="E319">
        <v>10</v>
      </c>
      <c r="F319">
        <v>2.8</v>
      </c>
      <c r="G319">
        <v>121500</v>
      </c>
      <c r="H319" t="s">
        <v>1640</v>
      </c>
      <c r="I319" t="s">
        <v>1323</v>
      </c>
      <c r="J319" t="s">
        <v>1444</v>
      </c>
      <c r="K319" t="s">
        <v>1449</v>
      </c>
      <c r="L319" t="s">
        <v>1458</v>
      </c>
      <c r="M319" t="s">
        <v>1464</v>
      </c>
      <c r="N319" t="s">
        <v>1467</v>
      </c>
    </row>
    <row r="320" spans="1:14" x14ac:dyDescent="0.25">
      <c r="A320" t="s">
        <v>332</v>
      </c>
      <c r="B320">
        <v>17</v>
      </c>
      <c r="C320">
        <v>1</v>
      </c>
      <c r="D320">
        <v>20000</v>
      </c>
      <c r="E320">
        <v>5</v>
      </c>
      <c r="F320">
        <v>3.3</v>
      </c>
      <c r="G320">
        <v>19000</v>
      </c>
      <c r="H320" t="s">
        <v>1640</v>
      </c>
      <c r="I320" t="s">
        <v>1327</v>
      </c>
      <c r="J320" t="s">
        <v>1443</v>
      </c>
      <c r="K320" t="s">
        <v>1448</v>
      </c>
      <c r="L320" t="s">
        <v>1459</v>
      </c>
      <c r="M320" t="s">
        <v>1462</v>
      </c>
      <c r="N320" t="s">
        <v>1466</v>
      </c>
    </row>
    <row r="321" spans="1:14" x14ac:dyDescent="0.25">
      <c r="A321" t="s">
        <v>333</v>
      </c>
      <c r="B321">
        <v>44</v>
      </c>
      <c r="C321">
        <v>4</v>
      </c>
      <c r="D321">
        <v>28000</v>
      </c>
      <c r="E321">
        <v>20</v>
      </c>
      <c r="F321">
        <v>2</v>
      </c>
      <c r="G321">
        <v>89600</v>
      </c>
      <c r="H321" t="s">
        <v>1641</v>
      </c>
      <c r="I321" t="s">
        <v>1404</v>
      </c>
      <c r="J321" t="s">
        <v>1442</v>
      </c>
      <c r="K321" t="s">
        <v>1447</v>
      </c>
      <c r="L321" t="s">
        <v>1455</v>
      </c>
      <c r="M321" t="s">
        <v>1464</v>
      </c>
      <c r="N321" t="s">
        <v>1467</v>
      </c>
    </row>
    <row r="322" spans="1:14" x14ac:dyDescent="0.25">
      <c r="A322" t="s">
        <v>334</v>
      </c>
      <c r="B322">
        <v>19</v>
      </c>
      <c r="C322">
        <v>2</v>
      </c>
      <c r="D322">
        <v>23000</v>
      </c>
      <c r="E322">
        <v>0</v>
      </c>
      <c r="F322">
        <v>1.6</v>
      </c>
      <c r="G322">
        <v>46000</v>
      </c>
      <c r="H322" t="s">
        <v>1642</v>
      </c>
      <c r="I322" t="s">
        <v>1317</v>
      </c>
      <c r="J322" t="s">
        <v>1445</v>
      </c>
      <c r="K322" t="s">
        <v>1450</v>
      </c>
      <c r="L322" t="s">
        <v>1456</v>
      </c>
      <c r="M322" t="s">
        <v>1463</v>
      </c>
      <c r="N322" t="s">
        <v>1467</v>
      </c>
    </row>
    <row r="323" spans="1:14" x14ac:dyDescent="0.25">
      <c r="A323" t="s">
        <v>335</v>
      </c>
      <c r="B323">
        <v>40</v>
      </c>
      <c r="C323">
        <v>5</v>
      </c>
      <c r="D323">
        <v>27000</v>
      </c>
      <c r="E323">
        <v>20</v>
      </c>
      <c r="F323">
        <v>2.6</v>
      </c>
      <c r="G323">
        <v>108000</v>
      </c>
      <c r="H323" t="s">
        <v>1643</v>
      </c>
      <c r="I323" t="s">
        <v>1271</v>
      </c>
      <c r="J323" t="s">
        <v>1445</v>
      </c>
      <c r="K323" t="s">
        <v>1450</v>
      </c>
      <c r="L323" t="s">
        <v>1458</v>
      </c>
      <c r="M323" t="s">
        <v>1464</v>
      </c>
      <c r="N323" t="s">
        <v>1468</v>
      </c>
    </row>
    <row r="324" spans="1:14" x14ac:dyDescent="0.25">
      <c r="A324" t="s">
        <v>336</v>
      </c>
      <c r="B324">
        <v>40</v>
      </c>
      <c r="C324">
        <v>1</v>
      </c>
      <c r="D324">
        <v>27000</v>
      </c>
      <c r="E324">
        <v>10</v>
      </c>
      <c r="F324">
        <v>1.7</v>
      </c>
      <c r="G324">
        <v>24300</v>
      </c>
      <c r="H324" t="s">
        <v>1644</v>
      </c>
      <c r="I324" t="s">
        <v>1251</v>
      </c>
      <c r="J324" t="s">
        <v>1442</v>
      </c>
      <c r="K324" t="s">
        <v>1447</v>
      </c>
      <c r="L324" t="s">
        <v>1458</v>
      </c>
      <c r="M324" t="s">
        <v>1464</v>
      </c>
      <c r="N324" t="s">
        <v>1468</v>
      </c>
    </row>
    <row r="325" spans="1:14" x14ac:dyDescent="0.25">
      <c r="A325" t="s">
        <v>337</v>
      </c>
      <c r="B325">
        <v>36</v>
      </c>
      <c r="C325">
        <v>4</v>
      </c>
      <c r="D325">
        <v>18000</v>
      </c>
      <c r="E325">
        <v>20</v>
      </c>
      <c r="F325">
        <v>2.9</v>
      </c>
      <c r="G325">
        <v>57600</v>
      </c>
      <c r="H325" t="s">
        <v>1644</v>
      </c>
      <c r="I325" t="s">
        <v>1358</v>
      </c>
      <c r="J325" t="s">
        <v>1445</v>
      </c>
      <c r="K325" t="s">
        <v>1450</v>
      </c>
      <c r="L325" t="s">
        <v>1460</v>
      </c>
      <c r="M325" t="s">
        <v>1463</v>
      </c>
      <c r="N325" t="s">
        <v>1465</v>
      </c>
    </row>
    <row r="326" spans="1:14" x14ac:dyDescent="0.25">
      <c r="A326" t="s">
        <v>338</v>
      </c>
      <c r="B326">
        <v>44</v>
      </c>
      <c r="C326">
        <v>2</v>
      </c>
      <c r="D326">
        <v>25000</v>
      </c>
      <c r="E326">
        <v>20</v>
      </c>
      <c r="F326">
        <v>4.7</v>
      </c>
      <c r="G326">
        <v>40000</v>
      </c>
      <c r="H326" t="s">
        <v>1645</v>
      </c>
      <c r="I326" t="s">
        <v>1260</v>
      </c>
      <c r="J326" t="s">
        <v>1442</v>
      </c>
      <c r="K326" t="s">
        <v>1447</v>
      </c>
      <c r="L326" t="s">
        <v>1452</v>
      </c>
      <c r="M326" t="s">
        <v>1462</v>
      </c>
      <c r="N326" t="s">
        <v>1467</v>
      </c>
    </row>
    <row r="327" spans="1:14" x14ac:dyDescent="0.25">
      <c r="A327" t="s">
        <v>339</v>
      </c>
      <c r="B327">
        <v>38</v>
      </c>
      <c r="C327">
        <v>3</v>
      </c>
      <c r="D327">
        <v>23000</v>
      </c>
      <c r="E327">
        <v>10</v>
      </c>
      <c r="F327">
        <v>2.4</v>
      </c>
      <c r="G327">
        <v>62100</v>
      </c>
      <c r="H327" t="s">
        <v>1645</v>
      </c>
      <c r="I327" t="s">
        <v>1405</v>
      </c>
      <c r="J327" t="s">
        <v>1442</v>
      </c>
      <c r="K327" t="s">
        <v>1447</v>
      </c>
      <c r="L327" t="s">
        <v>1456</v>
      </c>
      <c r="M327" t="s">
        <v>1463</v>
      </c>
      <c r="N327" t="s">
        <v>1467</v>
      </c>
    </row>
    <row r="328" spans="1:14" x14ac:dyDescent="0.25">
      <c r="A328" t="s">
        <v>340</v>
      </c>
      <c r="B328">
        <v>36</v>
      </c>
      <c r="C328">
        <v>5</v>
      </c>
      <c r="D328">
        <v>18000</v>
      </c>
      <c r="E328">
        <v>5</v>
      </c>
      <c r="F328">
        <v>4.8</v>
      </c>
      <c r="G328">
        <v>85500</v>
      </c>
      <c r="H328" t="s">
        <v>1646</v>
      </c>
      <c r="I328" t="s">
        <v>1358</v>
      </c>
      <c r="J328" t="s">
        <v>1442</v>
      </c>
      <c r="K328" t="s">
        <v>1447</v>
      </c>
      <c r="L328" t="s">
        <v>1460</v>
      </c>
      <c r="M328" t="s">
        <v>1463</v>
      </c>
      <c r="N328" t="s">
        <v>1468</v>
      </c>
    </row>
    <row r="329" spans="1:14" x14ac:dyDescent="0.25">
      <c r="A329" t="s">
        <v>341</v>
      </c>
      <c r="B329">
        <v>46</v>
      </c>
      <c r="C329">
        <v>4</v>
      </c>
      <c r="D329">
        <v>18000</v>
      </c>
      <c r="E329">
        <v>5</v>
      </c>
      <c r="F329">
        <v>2</v>
      </c>
      <c r="G329">
        <v>68400</v>
      </c>
      <c r="H329" t="s">
        <v>1646</v>
      </c>
      <c r="I329" t="s">
        <v>1255</v>
      </c>
      <c r="J329" t="s">
        <v>1445</v>
      </c>
      <c r="K329" t="s">
        <v>1450</v>
      </c>
      <c r="L329" t="s">
        <v>1460</v>
      </c>
      <c r="M329" t="s">
        <v>1463</v>
      </c>
      <c r="N329" t="s">
        <v>1468</v>
      </c>
    </row>
    <row r="330" spans="1:14" x14ac:dyDescent="0.25">
      <c r="A330" t="s">
        <v>342</v>
      </c>
      <c r="B330">
        <v>18</v>
      </c>
      <c r="C330">
        <v>5</v>
      </c>
      <c r="D330">
        <v>30000</v>
      </c>
      <c r="E330">
        <v>10</v>
      </c>
      <c r="F330">
        <v>4.4000000000000004</v>
      </c>
      <c r="G330">
        <v>135000</v>
      </c>
      <c r="H330" t="s">
        <v>1646</v>
      </c>
      <c r="I330" t="s">
        <v>1297</v>
      </c>
      <c r="J330" t="s">
        <v>1445</v>
      </c>
      <c r="K330" t="s">
        <v>1450</v>
      </c>
      <c r="L330" t="s">
        <v>1453</v>
      </c>
      <c r="M330" t="s">
        <v>1463</v>
      </c>
      <c r="N330" t="s">
        <v>1465</v>
      </c>
    </row>
    <row r="331" spans="1:14" x14ac:dyDescent="0.25">
      <c r="A331" t="s">
        <v>343</v>
      </c>
      <c r="B331">
        <v>42</v>
      </c>
      <c r="C331">
        <v>4</v>
      </c>
      <c r="D331">
        <v>28000</v>
      </c>
      <c r="E331">
        <v>0</v>
      </c>
      <c r="F331">
        <v>1.4</v>
      </c>
      <c r="G331">
        <v>112000</v>
      </c>
      <c r="H331" t="s">
        <v>1647</v>
      </c>
      <c r="I331" t="s">
        <v>1280</v>
      </c>
      <c r="J331" t="s">
        <v>1444</v>
      </c>
      <c r="K331" t="s">
        <v>1449</v>
      </c>
      <c r="L331" t="s">
        <v>1455</v>
      </c>
      <c r="M331" t="s">
        <v>1464</v>
      </c>
      <c r="N331" t="s">
        <v>1467</v>
      </c>
    </row>
    <row r="332" spans="1:14" x14ac:dyDescent="0.25">
      <c r="A332" t="s">
        <v>344</v>
      </c>
      <c r="B332">
        <v>52</v>
      </c>
      <c r="C332">
        <v>4</v>
      </c>
      <c r="D332">
        <v>32000</v>
      </c>
      <c r="E332">
        <v>20</v>
      </c>
      <c r="F332">
        <v>4</v>
      </c>
      <c r="G332">
        <v>102400</v>
      </c>
      <c r="H332" t="s">
        <v>1647</v>
      </c>
      <c r="I332" t="s">
        <v>1365</v>
      </c>
      <c r="J332" t="s">
        <v>1441</v>
      </c>
      <c r="K332" t="s">
        <v>1446</v>
      </c>
      <c r="L332" t="s">
        <v>1457</v>
      </c>
      <c r="M332" t="s">
        <v>1463</v>
      </c>
      <c r="N332" t="s">
        <v>1465</v>
      </c>
    </row>
    <row r="333" spans="1:14" x14ac:dyDescent="0.25">
      <c r="A333" t="s">
        <v>345</v>
      </c>
      <c r="B333">
        <v>22</v>
      </c>
      <c r="C333">
        <v>3</v>
      </c>
      <c r="D333">
        <v>25000</v>
      </c>
      <c r="E333">
        <v>10</v>
      </c>
      <c r="F333">
        <v>1.5</v>
      </c>
      <c r="G333">
        <v>67500</v>
      </c>
      <c r="H333" t="s">
        <v>1648</v>
      </c>
      <c r="I333" t="s">
        <v>1380</v>
      </c>
      <c r="J333" t="s">
        <v>1443</v>
      </c>
      <c r="K333" t="s">
        <v>1448</v>
      </c>
      <c r="L333" t="s">
        <v>1452</v>
      </c>
      <c r="M333" t="s">
        <v>1462</v>
      </c>
      <c r="N333" t="s">
        <v>1465</v>
      </c>
    </row>
    <row r="334" spans="1:14" x14ac:dyDescent="0.25">
      <c r="A334" t="s">
        <v>346</v>
      </c>
      <c r="B334">
        <v>18</v>
      </c>
      <c r="C334">
        <v>5</v>
      </c>
      <c r="D334">
        <v>18000</v>
      </c>
      <c r="E334">
        <v>5</v>
      </c>
      <c r="F334">
        <v>1.5</v>
      </c>
      <c r="G334">
        <v>85500</v>
      </c>
      <c r="H334" t="s">
        <v>1648</v>
      </c>
      <c r="I334" t="s">
        <v>1401</v>
      </c>
      <c r="J334" t="s">
        <v>1441</v>
      </c>
      <c r="K334" t="s">
        <v>1446</v>
      </c>
      <c r="L334" t="s">
        <v>1460</v>
      </c>
      <c r="M334" t="s">
        <v>1463</v>
      </c>
      <c r="N334" t="s">
        <v>1465</v>
      </c>
    </row>
    <row r="335" spans="1:14" x14ac:dyDescent="0.25">
      <c r="A335" t="s">
        <v>347</v>
      </c>
      <c r="B335">
        <v>37</v>
      </c>
      <c r="C335">
        <v>5</v>
      </c>
      <c r="D335">
        <v>18000</v>
      </c>
      <c r="E335">
        <v>0</v>
      </c>
      <c r="F335">
        <v>1.5</v>
      </c>
      <c r="G335">
        <v>90000</v>
      </c>
      <c r="H335" t="s">
        <v>1648</v>
      </c>
      <c r="I335" t="s">
        <v>1406</v>
      </c>
      <c r="J335" t="s">
        <v>1445</v>
      </c>
      <c r="K335" t="s">
        <v>1450</v>
      </c>
      <c r="L335" t="s">
        <v>1460</v>
      </c>
      <c r="M335" t="s">
        <v>1463</v>
      </c>
      <c r="N335" t="s">
        <v>1465</v>
      </c>
    </row>
    <row r="336" spans="1:14" x14ac:dyDescent="0.25">
      <c r="A336" t="s">
        <v>348</v>
      </c>
      <c r="B336">
        <v>52</v>
      </c>
      <c r="C336">
        <v>2</v>
      </c>
      <c r="D336">
        <v>18000</v>
      </c>
      <c r="E336">
        <v>20</v>
      </c>
      <c r="F336">
        <v>2.7</v>
      </c>
      <c r="G336">
        <v>28800</v>
      </c>
      <c r="H336" t="s">
        <v>1649</v>
      </c>
      <c r="I336" t="s">
        <v>1333</v>
      </c>
      <c r="J336" t="s">
        <v>1444</v>
      </c>
      <c r="K336" t="s">
        <v>1449</v>
      </c>
      <c r="L336" t="s">
        <v>1460</v>
      </c>
      <c r="M336" t="s">
        <v>1463</v>
      </c>
      <c r="N336" t="s">
        <v>1468</v>
      </c>
    </row>
    <row r="337" spans="1:14" x14ac:dyDescent="0.25">
      <c r="A337" t="s">
        <v>349</v>
      </c>
      <c r="B337">
        <v>48</v>
      </c>
      <c r="C337">
        <v>5</v>
      </c>
      <c r="D337">
        <v>20000</v>
      </c>
      <c r="E337">
        <v>15</v>
      </c>
      <c r="F337">
        <v>3.6</v>
      </c>
      <c r="G337">
        <v>85000</v>
      </c>
      <c r="H337" t="s">
        <v>1650</v>
      </c>
      <c r="I337" t="s">
        <v>1378</v>
      </c>
      <c r="J337" t="s">
        <v>1444</v>
      </c>
      <c r="K337" t="s">
        <v>1449</v>
      </c>
      <c r="L337" t="s">
        <v>1459</v>
      </c>
      <c r="M337" t="s">
        <v>1462</v>
      </c>
      <c r="N337" t="s">
        <v>1465</v>
      </c>
    </row>
    <row r="338" spans="1:14" x14ac:dyDescent="0.25">
      <c r="A338" t="s">
        <v>350</v>
      </c>
      <c r="B338">
        <v>48</v>
      </c>
      <c r="C338">
        <v>4</v>
      </c>
      <c r="D338">
        <v>23000</v>
      </c>
      <c r="E338">
        <v>0</v>
      </c>
      <c r="F338">
        <v>2</v>
      </c>
      <c r="G338">
        <v>92000</v>
      </c>
      <c r="H338" t="s">
        <v>1650</v>
      </c>
      <c r="I338" t="s">
        <v>1306</v>
      </c>
      <c r="J338" t="s">
        <v>1442</v>
      </c>
      <c r="K338" t="s">
        <v>1447</v>
      </c>
      <c r="L338" t="s">
        <v>1456</v>
      </c>
      <c r="M338" t="s">
        <v>1463</v>
      </c>
      <c r="N338" t="s">
        <v>1466</v>
      </c>
    </row>
    <row r="339" spans="1:14" x14ac:dyDescent="0.25">
      <c r="A339" t="s">
        <v>351</v>
      </c>
      <c r="B339">
        <v>45</v>
      </c>
      <c r="C339">
        <v>4</v>
      </c>
      <c r="D339">
        <v>22000</v>
      </c>
      <c r="E339">
        <v>0</v>
      </c>
      <c r="F339">
        <v>4.8</v>
      </c>
      <c r="G339">
        <v>88000</v>
      </c>
      <c r="H339" t="s">
        <v>1650</v>
      </c>
      <c r="I339" t="s">
        <v>1270</v>
      </c>
      <c r="J339" t="s">
        <v>1444</v>
      </c>
      <c r="K339" t="s">
        <v>1449</v>
      </c>
      <c r="L339" t="s">
        <v>1454</v>
      </c>
      <c r="M339" t="s">
        <v>1462</v>
      </c>
      <c r="N339" t="s">
        <v>1468</v>
      </c>
    </row>
    <row r="340" spans="1:14" x14ac:dyDescent="0.25">
      <c r="A340" t="s">
        <v>352</v>
      </c>
      <c r="B340">
        <v>37</v>
      </c>
      <c r="C340">
        <v>1</v>
      </c>
      <c r="D340">
        <v>27000</v>
      </c>
      <c r="E340">
        <v>10</v>
      </c>
      <c r="F340">
        <v>3.7</v>
      </c>
      <c r="G340">
        <v>24300</v>
      </c>
      <c r="H340" t="s">
        <v>1651</v>
      </c>
      <c r="I340" t="s">
        <v>1406</v>
      </c>
      <c r="J340" t="s">
        <v>1442</v>
      </c>
      <c r="K340" t="s">
        <v>1447</v>
      </c>
      <c r="L340" t="s">
        <v>1458</v>
      </c>
      <c r="M340" t="s">
        <v>1464</v>
      </c>
      <c r="N340" t="s">
        <v>1467</v>
      </c>
    </row>
    <row r="341" spans="1:14" x14ac:dyDescent="0.25">
      <c r="A341" t="s">
        <v>353</v>
      </c>
      <c r="B341">
        <v>42</v>
      </c>
      <c r="C341">
        <v>5</v>
      </c>
      <c r="D341">
        <v>25000</v>
      </c>
      <c r="E341">
        <v>15</v>
      </c>
      <c r="F341">
        <v>4.8</v>
      </c>
      <c r="G341">
        <v>106250</v>
      </c>
      <c r="H341" t="s">
        <v>1652</v>
      </c>
      <c r="I341" t="s">
        <v>1272</v>
      </c>
      <c r="J341" t="s">
        <v>1441</v>
      </c>
      <c r="K341" t="s">
        <v>1446</v>
      </c>
      <c r="L341" t="s">
        <v>1452</v>
      </c>
      <c r="M341" t="s">
        <v>1462</v>
      </c>
      <c r="N341" t="s">
        <v>1468</v>
      </c>
    </row>
    <row r="342" spans="1:14" x14ac:dyDescent="0.25">
      <c r="A342" t="s">
        <v>354</v>
      </c>
      <c r="B342">
        <v>19</v>
      </c>
      <c r="C342">
        <v>5</v>
      </c>
      <c r="D342">
        <v>23000</v>
      </c>
      <c r="E342">
        <v>0</v>
      </c>
      <c r="F342">
        <v>4.5999999999999996</v>
      </c>
      <c r="G342">
        <v>115000</v>
      </c>
      <c r="H342" t="s">
        <v>1652</v>
      </c>
      <c r="I342" t="s">
        <v>1281</v>
      </c>
      <c r="J342" t="s">
        <v>1442</v>
      </c>
      <c r="K342" t="s">
        <v>1447</v>
      </c>
      <c r="L342" t="s">
        <v>1456</v>
      </c>
      <c r="M342" t="s">
        <v>1463</v>
      </c>
      <c r="N342" t="s">
        <v>1468</v>
      </c>
    </row>
    <row r="343" spans="1:14" x14ac:dyDescent="0.25">
      <c r="A343" t="s">
        <v>355</v>
      </c>
      <c r="B343">
        <v>36</v>
      </c>
      <c r="C343">
        <v>2</v>
      </c>
      <c r="D343">
        <v>23000</v>
      </c>
      <c r="E343">
        <v>15</v>
      </c>
      <c r="F343">
        <v>1.1000000000000001</v>
      </c>
      <c r="G343">
        <v>39100</v>
      </c>
      <c r="H343" t="s">
        <v>1653</v>
      </c>
      <c r="I343" t="s">
        <v>1267</v>
      </c>
      <c r="J343" t="s">
        <v>1445</v>
      </c>
      <c r="K343" t="s">
        <v>1450</v>
      </c>
      <c r="L343" t="s">
        <v>1456</v>
      </c>
      <c r="M343" t="s">
        <v>1463</v>
      </c>
      <c r="N343" t="s">
        <v>1468</v>
      </c>
    </row>
    <row r="344" spans="1:14" x14ac:dyDescent="0.25">
      <c r="A344" t="s">
        <v>356</v>
      </c>
      <c r="B344">
        <v>33</v>
      </c>
      <c r="C344">
        <v>4</v>
      </c>
      <c r="D344">
        <v>25000</v>
      </c>
      <c r="E344">
        <v>0</v>
      </c>
      <c r="F344">
        <v>4.4000000000000004</v>
      </c>
      <c r="G344">
        <v>100000</v>
      </c>
      <c r="H344" t="s">
        <v>1654</v>
      </c>
      <c r="I344" t="s">
        <v>1269</v>
      </c>
      <c r="J344" t="s">
        <v>1442</v>
      </c>
      <c r="K344" t="s">
        <v>1447</v>
      </c>
      <c r="L344" t="s">
        <v>1452</v>
      </c>
      <c r="M344" t="s">
        <v>1462</v>
      </c>
      <c r="N344" t="s">
        <v>1465</v>
      </c>
    </row>
    <row r="345" spans="1:14" x14ac:dyDescent="0.25">
      <c r="A345" t="s">
        <v>357</v>
      </c>
      <c r="B345">
        <v>40</v>
      </c>
      <c r="C345">
        <v>5</v>
      </c>
      <c r="D345">
        <v>18000</v>
      </c>
      <c r="E345">
        <v>0</v>
      </c>
      <c r="F345">
        <v>4.3</v>
      </c>
      <c r="G345">
        <v>90000</v>
      </c>
      <c r="H345" t="s">
        <v>1654</v>
      </c>
      <c r="I345" t="s">
        <v>1341</v>
      </c>
      <c r="J345" t="s">
        <v>1442</v>
      </c>
      <c r="K345" t="s">
        <v>1447</v>
      </c>
      <c r="L345" t="s">
        <v>1460</v>
      </c>
      <c r="M345" t="s">
        <v>1463</v>
      </c>
      <c r="N345" t="s">
        <v>1465</v>
      </c>
    </row>
    <row r="346" spans="1:14" x14ac:dyDescent="0.25">
      <c r="A346" t="s">
        <v>358</v>
      </c>
      <c r="B346">
        <v>31</v>
      </c>
      <c r="C346">
        <v>2</v>
      </c>
      <c r="D346">
        <v>32000</v>
      </c>
      <c r="E346">
        <v>5</v>
      </c>
      <c r="F346">
        <v>5</v>
      </c>
      <c r="G346">
        <v>60800</v>
      </c>
      <c r="H346" t="s">
        <v>1655</v>
      </c>
      <c r="I346" t="s">
        <v>1360</v>
      </c>
      <c r="J346" t="s">
        <v>1442</v>
      </c>
      <c r="K346" t="s">
        <v>1447</v>
      </c>
      <c r="L346" t="s">
        <v>1457</v>
      </c>
      <c r="M346" t="s">
        <v>1463</v>
      </c>
      <c r="N346" t="s">
        <v>1467</v>
      </c>
    </row>
    <row r="347" spans="1:14" x14ac:dyDescent="0.25">
      <c r="A347" t="s">
        <v>359</v>
      </c>
      <c r="B347">
        <v>34</v>
      </c>
      <c r="C347">
        <v>4</v>
      </c>
      <c r="D347">
        <v>32000</v>
      </c>
      <c r="E347">
        <v>0</v>
      </c>
      <c r="F347">
        <v>3.7</v>
      </c>
      <c r="G347">
        <v>128000</v>
      </c>
      <c r="H347" t="s">
        <v>1655</v>
      </c>
      <c r="I347" t="s">
        <v>1361</v>
      </c>
      <c r="J347" t="s">
        <v>1445</v>
      </c>
      <c r="K347" t="s">
        <v>1450</v>
      </c>
      <c r="L347" t="s">
        <v>1457</v>
      </c>
      <c r="M347" t="s">
        <v>1463</v>
      </c>
      <c r="N347" t="s">
        <v>1465</v>
      </c>
    </row>
    <row r="348" spans="1:14" x14ac:dyDescent="0.25">
      <c r="A348" t="s">
        <v>360</v>
      </c>
      <c r="B348">
        <v>49</v>
      </c>
      <c r="C348">
        <v>5</v>
      </c>
      <c r="D348">
        <v>30000</v>
      </c>
      <c r="E348">
        <v>0</v>
      </c>
      <c r="F348">
        <v>4.0999999999999996</v>
      </c>
      <c r="G348">
        <v>150000</v>
      </c>
      <c r="H348" t="s">
        <v>1656</v>
      </c>
      <c r="I348" t="s">
        <v>1338</v>
      </c>
      <c r="J348" t="s">
        <v>1444</v>
      </c>
      <c r="K348" t="s">
        <v>1449</v>
      </c>
      <c r="L348" t="s">
        <v>1453</v>
      </c>
      <c r="M348" t="s">
        <v>1463</v>
      </c>
      <c r="N348" t="s">
        <v>1466</v>
      </c>
    </row>
    <row r="349" spans="1:14" x14ac:dyDescent="0.25">
      <c r="A349" t="s">
        <v>361</v>
      </c>
      <c r="B349">
        <v>22</v>
      </c>
      <c r="C349">
        <v>3</v>
      </c>
      <c r="D349">
        <v>20000</v>
      </c>
      <c r="E349">
        <v>0</v>
      </c>
      <c r="F349">
        <v>2.6</v>
      </c>
      <c r="G349">
        <v>60000</v>
      </c>
      <c r="H349" t="s">
        <v>1656</v>
      </c>
      <c r="I349" t="s">
        <v>1407</v>
      </c>
      <c r="J349" t="s">
        <v>1442</v>
      </c>
      <c r="K349" t="s">
        <v>1447</v>
      </c>
      <c r="L349" t="s">
        <v>1459</v>
      </c>
      <c r="M349" t="s">
        <v>1462</v>
      </c>
      <c r="N349" t="s">
        <v>1466</v>
      </c>
    </row>
    <row r="350" spans="1:14" x14ac:dyDescent="0.25">
      <c r="A350" t="s">
        <v>362</v>
      </c>
      <c r="B350">
        <v>42</v>
      </c>
      <c r="C350">
        <v>5</v>
      </c>
      <c r="D350">
        <v>18000</v>
      </c>
      <c r="E350">
        <v>10</v>
      </c>
      <c r="F350">
        <v>1.7</v>
      </c>
      <c r="G350">
        <v>81000</v>
      </c>
      <c r="H350" t="s">
        <v>1656</v>
      </c>
      <c r="I350" t="s">
        <v>1320</v>
      </c>
      <c r="J350" t="s">
        <v>1445</v>
      </c>
      <c r="K350" t="s">
        <v>1450</v>
      </c>
      <c r="L350" t="s">
        <v>1461</v>
      </c>
      <c r="M350" t="s">
        <v>1462</v>
      </c>
      <c r="N350" t="s">
        <v>1468</v>
      </c>
    </row>
    <row r="351" spans="1:14" x14ac:dyDescent="0.25">
      <c r="A351" t="s">
        <v>363</v>
      </c>
      <c r="B351">
        <v>49</v>
      </c>
      <c r="C351">
        <v>3</v>
      </c>
      <c r="D351">
        <v>25000</v>
      </c>
      <c r="E351">
        <v>0</v>
      </c>
      <c r="F351">
        <v>1.2</v>
      </c>
      <c r="G351">
        <v>75000</v>
      </c>
      <c r="H351" t="s">
        <v>1656</v>
      </c>
      <c r="I351" t="s">
        <v>1330</v>
      </c>
      <c r="J351" t="s">
        <v>1442</v>
      </c>
      <c r="K351" t="s">
        <v>1447</v>
      </c>
      <c r="L351" t="s">
        <v>1452</v>
      </c>
      <c r="M351" t="s">
        <v>1462</v>
      </c>
      <c r="N351" t="s">
        <v>1465</v>
      </c>
    </row>
    <row r="352" spans="1:14" x14ac:dyDescent="0.25">
      <c r="A352" t="s">
        <v>364</v>
      </c>
      <c r="B352">
        <v>20</v>
      </c>
      <c r="C352">
        <v>5</v>
      </c>
      <c r="D352">
        <v>30000</v>
      </c>
      <c r="E352">
        <v>0</v>
      </c>
      <c r="F352">
        <v>1.7</v>
      </c>
      <c r="G352">
        <v>150000</v>
      </c>
      <c r="H352" t="s">
        <v>1656</v>
      </c>
      <c r="I352" t="s">
        <v>1319</v>
      </c>
      <c r="J352" t="s">
        <v>1442</v>
      </c>
      <c r="K352" t="s">
        <v>1447</v>
      </c>
      <c r="L352" t="s">
        <v>1453</v>
      </c>
      <c r="M352" t="s">
        <v>1463</v>
      </c>
      <c r="N352" t="s">
        <v>1465</v>
      </c>
    </row>
    <row r="353" spans="1:14" x14ac:dyDescent="0.25">
      <c r="A353" t="s">
        <v>365</v>
      </c>
      <c r="B353">
        <v>48</v>
      </c>
      <c r="C353">
        <v>1</v>
      </c>
      <c r="D353">
        <v>22000</v>
      </c>
      <c r="E353">
        <v>0</v>
      </c>
      <c r="F353">
        <v>1.5</v>
      </c>
      <c r="G353">
        <v>22000</v>
      </c>
      <c r="H353" t="s">
        <v>1657</v>
      </c>
      <c r="I353" t="s">
        <v>1293</v>
      </c>
      <c r="J353" t="s">
        <v>1444</v>
      </c>
      <c r="K353" t="s">
        <v>1449</v>
      </c>
      <c r="L353" t="s">
        <v>1454</v>
      </c>
      <c r="M353" t="s">
        <v>1462</v>
      </c>
      <c r="N353" t="s">
        <v>1466</v>
      </c>
    </row>
    <row r="354" spans="1:14" x14ac:dyDescent="0.25">
      <c r="A354" t="s">
        <v>366</v>
      </c>
      <c r="B354">
        <v>44</v>
      </c>
      <c r="C354">
        <v>2</v>
      </c>
      <c r="D354">
        <v>28000</v>
      </c>
      <c r="E354">
        <v>5</v>
      </c>
      <c r="F354">
        <v>2.9</v>
      </c>
      <c r="G354">
        <v>53200</v>
      </c>
      <c r="H354" t="s">
        <v>1657</v>
      </c>
      <c r="I354" t="s">
        <v>1408</v>
      </c>
      <c r="J354" t="s">
        <v>1441</v>
      </c>
      <c r="K354" t="s">
        <v>1446</v>
      </c>
      <c r="L354" t="s">
        <v>1455</v>
      </c>
      <c r="M354" t="s">
        <v>1464</v>
      </c>
      <c r="N354" t="s">
        <v>1468</v>
      </c>
    </row>
    <row r="355" spans="1:14" x14ac:dyDescent="0.25">
      <c r="A355" t="s">
        <v>367</v>
      </c>
      <c r="B355">
        <v>32</v>
      </c>
      <c r="C355">
        <v>5</v>
      </c>
      <c r="D355">
        <v>22000</v>
      </c>
      <c r="E355">
        <v>0</v>
      </c>
      <c r="F355">
        <v>3.3</v>
      </c>
      <c r="G355">
        <v>110000</v>
      </c>
      <c r="H355" t="s">
        <v>1658</v>
      </c>
      <c r="I355" t="s">
        <v>1397</v>
      </c>
      <c r="J355" t="s">
        <v>1443</v>
      </c>
      <c r="K355" t="s">
        <v>1448</v>
      </c>
      <c r="L355" t="s">
        <v>1454</v>
      </c>
      <c r="M355" t="s">
        <v>1462</v>
      </c>
      <c r="N355" t="s">
        <v>1468</v>
      </c>
    </row>
    <row r="356" spans="1:14" x14ac:dyDescent="0.25">
      <c r="A356" t="s">
        <v>368</v>
      </c>
      <c r="B356">
        <v>19</v>
      </c>
      <c r="C356">
        <v>1</v>
      </c>
      <c r="D356">
        <v>27000</v>
      </c>
      <c r="E356">
        <v>20</v>
      </c>
      <c r="F356">
        <v>4.9000000000000004</v>
      </c>
      <c r="G356">
        <v>21600</v>
      </c>
      <c r="H356" t="s">
        <v>1658</v>
      </c>
      <c r="I356" t="s">
        <v>1317</v>
      </c>
      <c r="J356" t="s">
        <v>1442</v>
      </c>
      <c r="K356" t="s">
        <v>1447</v>
      </c>
      <c r="L356" t="s">
        <v>1458</v>
      </c>
      <c r="M356" t="s">
        <v>1464</v>
      </c>
      <c r="N356" t="s">
        <v>1468</v>
      </c>
    </row>
    <row r="357" spans="1:14" x14ac:dyDescent="0.25">
      <c r="A357" t="s">
        <v>369</v>
      </c>
      <c r="B357">
        <v>24</v>
      </c>
      <c r="C357">
        <v>2</v>
      </c>
      <c r="D357">
        <v>18000</v>
      </c>
      <c r="E357">
        <v>0</v>
      </c>
      <c r="F357">
        <v>2.8</v>
      </c>
      <c r="G357">
        <v>36000</v>
      </c>
      <c r="H357" t="s">
        <v>1659</v>
      </c>
      <c r="I357" t="s">
        <v>1394</v>
      </c>
      <c r="J357" t="s">
        <v>1443</v>
      </c>
      <c r="K357" t="s">
        <v>1448</v>
      </c>
      <c r="L357" t="s">
        <v>1461</v>
      </c>
      <c r="M357" t="s">
        <v>1462</v>
      </c>
      <c r="N357" t="s">
        <v>1466</v>
      </c>
    </row>
    <row r="358" spans="1:14" x14ac:dyDescent="0.25">
      <c r="A358" t="s">
        <v>370</v>
      </c>
      <c r="B358">
        <v>32</v>
      </c>
      <c r="C358">
        <v>2</v>
      </c>
      <c r="D358">
        <v>23000</v>
      </c>
      <c r="E358">
        <v>0</v>
      </c>
      <c r="F358">
        <v>2.8</v>
      </c>
      <c r="G358">
        <v>46000</v>
      </c>
      <c r="H358" t="s">
        <v>1659</v>
      </c>
      <c r="I358" t="s">
        <v>1397</v>
      </c>
      <c r="J358" t="s">
        <v>1442</v>
      </c>
      <c r="K358" t="s">
        <v>1447</v>
      </c>
      <c r="L358" t="s">
        <v>1456</v>
      </c>
      <c r="M358" t="s">
        <v>1463</v>
      </c>
      <c r="N358" t="s">
        <v>1467</v>
      </c>
    </row>
    <row r="359" spans="1:14" x14ac:dyDescent="0.25">
      <c r="A359" t="s">
        <v>371</v>
      </c>
      <c r="B359">
        <v>51</v>
      </c>
      <c r="C359">
        <v>1</v>
      </c>
      <c r="D359">
        <v>27000</v>
      </c>
      <c r="E359">
        <v>15</v>
      </c>
      <c r="F359">
        <v>3.4</v>
      </c>
      <c r="G359">
        <v>22950</v>
      </c>
      <c r="H359" t="s">
        <v>1659</v>
      </c>
      <c r="I359" t="s">
        <v>1322</v>
      </c>
      <c r="J359" t="s">
        <v>1444</v>
      </c>
      <c r="K359" t="s">
        <v>1449</v>
      </c>
      <c r="L359" t="s">
        <v>1458</v>
      </c>
      <c r="M359" t="s">
        <v>1464</v>
      </c>
      <c r="N359" t="s">
        <v>1467</v>
      </c>
    </row>
    <row r="360" spans="1:14" x14ac:dyDescent="0.25">
      <c r="A360" t="s">
        <v>372</v>
      </c>
      <c r="B360">
        <v>25</v>
      </c>
      <c r="C360">
        <v>3</v>
      </c>
      <c r="D360">
        <v>30000</v>
      </c>
      <c r="E360">
        <v>0</v>
      </c>
      <c r="F360">
        <v>4.7</v>
      </c>
      <c r="G360">
        <v>90000</v>
      </c>
      <c r="H360" t="s">
        <v>1659</v>
      </c>
      <c r="I360" t="s">
        <v>1367</v>
      </c>
      <c r="J360" t="s">
        <v>1442</v>
      </c>
      <c r="K360" t="s">
        <v>1447</v>
      </c>
      <c r="L360" t="s">
        <v>1453</v>
      </c>
      <c r="M360" t="s">
        <v>1463</v>
      </c>
      <c r="N360" t="s">
        <v>1468</v>
      </c>
    </row>
    <row r="361" spans="1:14" x14ac:dyDescent="0.25">
      <c r="A361" t="s">
        <v>373</v>
      </c>
      <c r="B361">
        <v>18</v>
      </c>
      <c r="C361">
        <v>3</v>
      </c>
      <c r="D361">
        <v>27000</v>
      </c>
      <c r="E361">
        <v>5</v>
      </c>
      <c r="F361">
        <v>4.7</v>
      </c>
      <c r="G361">
        <v>76950</v>
      </c>
      <c r="H361" t="s">
        <v>1659</v>
      </c>
      <c r="I361" t="s">
        <v>1332</v>
      </c>
      <c r="J361" t="s">
        <v>1441</v>
      </c>
      <c r="K361" t="s">
        <v>1446</v>
      </c>
      <c r="L361" t="s">
        <v>1458</v>
      </c>
      <c r="M361" t="s">
        <v>1464</v>
      </c>
      <c r="N361" t="s">
        <v>1467</v>
      </c>
    </row>
    <row r="362" spans="1:14" x14ac:dyDescent="0.25">
      <c r="A362" t="s">
        <v>374</v>
      </c>
      <c r="B362">
        <v>44</v>
      </c>
      <c r="C362">
        <v>3</v>
      </c>
      <c r="D362">
        <v>23000</v>
      </c>
      <c r="E362">
        <v>15</v>
      </c>
      <c r="F362">
        <v>4.8</v>
      </c>
      <c r="G362">
        <v>58650</v>
      </c>
      <c r="H362" t="s">
        <v>1660</v>
      </c>
      <c r="I362" t="s">
        <v>1404</v>
      </c>
      <c r="J362" t="s">
        <v>1443</v>
      </c>
      <c r="K362" t="s">
        <v>1448</v>
      </c>
      <c r="L362" t="s">
        <v>1456</v>
      </c>
      <c r="M362" t="s">
        <v>1463</v>
      </c>
      <c r="N362" t="s">
        <v>1467</v>
      </c>
    </row>
    <row r="363" spans="1:14" x14ac:dyDescent="0.25">
      <c r="A363" t="s">
        <v>375</v>
      </c>
      <c r="B363">
        <v>24</v>
      </c>
      <c r="C363">
        <v>1</v>
      </c>
      <c r="D363">
        <v>22000</v>
      </c>
      <c r="E363">
        <v>0</v>
      </c>
      <c r="F363">
        <v>2.7</v>
      </c>
      <c r="G363">
        <v>22000</v>
      </c>
      <c r="H363" t="s">
        <v>1661</v>
      </c>
      <c r="I363" t="s">
        <v>1313</v>
      </c>
      <c r="J363" t="s">
        <v>1444</v>
      </c>
      <c r="K363" t="s">
        <v>1449</v>
      </c>
      <c r="L363" t="s">
        <v>1454</v>
      </c>
      <c r="M363" t="s">
        <v>1462</v>
      </c>
      <c r="N363" t="s">
        <v>1466</v>
      </c>
    </row>
    <row r="364" spans="1:14" x14ac:dyDescent="0.25">
      <c r="A364" t="s">
        <v>376</v>
      </c>
      <c r="B364">
        <v>32</v>
      </c>
      <c r="C364">
        <v>2</v>
      </c>
      <c r="D364">
        <v>28000</v>
      </c>
      <c r="E364">
        <v>5</v>
      </c>
      <c r="F364">
        <v>2.7</v>
      </c>
      <c r="G364">
        <v>53200</v>
      </c>
      <c r="H364" t="s">
        <v>1661</v>
      </c>
      <c r="I364" t="s">
        <v>1275</v>
      </c>
      <c r="J364" t="s">
        <v>1442</v>
      </c>
      <c r="K364" t="s">
        <v>1447</v>
      </c>
      <c r="L364" t="s">
        <v>1455</v>
      </c>
      <c r="M364" t="s">
        <v>1464</v>
      </c>
      <c r="N364" t="s">
        <v>1465</v>
      </c>
    </row>
    <row r="365" spans="1:14" x14ac:dyDescent="0.25">
      <c r="A365" t="s">
        <v>377</v>
      </c>
      <c r="B365">
        <v>48</v>
      </c>
      <c r="C365">
        <v>4</v>
      </c>
      <c r="D365">
        <v>20000</v>
      </c>
      <c r="E365">
        <v>20</v>
      </c>
      <c r="F365">
        <v>4.8</v>
      </c>
      <c r="G365">
        <v>64000</v>
      </c>
      <c r="H365" t="s">
        <v>1662</v>
      </c>
      <c r="I365" t="s">
        <v>1378</v>
      </c>
      <c r="J365" t="s">
        <v>1443</v>
      </c>
      <c r="K365" t="s">
        <v>1448</v>
      </c>
      <c r="L365" t="s">
        <v>1459</v>
      </c>
      <c r="M365" t="s">
        <v>1462</v>
      </c>
      <c r="N365" t="s">
        <v>1467</v>
      </c>
    </row>
    <row r="366" spans="1:14" x14ac:dyDescent="0.25">
      <c r="A366" t="s">
        <v>378</v>
      </c>
      <c r="B366">
        <v>27</v>
      </c>
      <c r="C366">
        <v>5</v>
      </c>
      <c r="D366">
        <v>32000</v>
      </c>
      <c r="E366">
        <v>15</v>
      </c>
      <c r="F366">
        <v>4.4000000000000004</v>
      </c>
      <c r="G366">
        <v>136000</v>
      </c>
      <c r="H366" t="s">
        <v>1663</v>
      </c>
      <c r="I366" t="s">
        <v>1388</v>
      </c>
      <c r="J366" t="s">
        <v>1442</v>
      </c>
      <c r="K366" t="s">
        <v>1447</v>
      </c>
      <c r="L366" t="s">
        <v>1457</v>
      </c>
      <c r="M366" t="s">
        <v>1463</v>
      </c>
      <c r="N366" t="s">
        <v>1467</v>
      </c>
    </row>
    <row r="367" spans="1:14" x14ac:dyDescent="0.25">
      <c r="A367" t="s">
        <v>379</v>
      </c>
      <c r="B367">
        <v>43</v>
      </c>
      <c r="C367">
        <v>4</v>
      </c>
      <c r="D367">
        <v>18000</v>
      </c>
      <c r="E367">
        <v>10</v>
      </c>
      <c r="F367">
        <v>1.5</v>
      </c>
      <c r="G367">
        <v>64800</v>
      </c>
      <c r="H367" t="s">
        <v>1663</v>
      </c>
      <c r="I367" t="s">
        <v>1390</v>
      </c>
      <c r="J367" t="s">
        <v>1442</v>
      </c>
      <c r="K367" t="s">
        <v>1447</v>
      </c>
      <c r="L367" t="s">
        <v>1461</v>
      </c>
      <c r="M367" t="s">
        <v>1462</v>
      </c>
      <c r="N367" t="s">
        <v>1466</v>
      </c>
    </row>
    <row r="368" spans="1:14" x14ac:dyDescent="0.25">
      <c r="A368" t="s">
        <v>380</v>
      </c>
      <c r="B368">
        <v>53</v>
      </c>
      <c r="C368">
        <v>2</v>
      </c>
      <c r="D368">
        <v>23000</v>
      </c>
      <c r="E368">
        <v>5</v>
      </c>
      <c r="F368">
        <v>2.4</v>
      </c>
      <c r="G368">
        <v>43700</v>
      </c>
      <c r="H368" t="s">
        <v>1663</v>
      </c>
      <c r="I368" t="s">
        <v>1284</v>
      </c>
      <c r="J368" t="s">
        <v>1444</v>
      </c>
      <c r="K368" t="s">
        <v>1449</v>
      </c>
      <c r="L368" t="s">
        <v>1456</v>
      </c>
      <c r="M368" t="s">
        <v>1463</v>
      </c>
      <c r="N368" t="s">
        <v>1468</v>
      </c>
    </row>
    <row r="369" spans="1:14" x14ac:dyDescent="0.25">
      <c r="A369" t="s">
        <v>381</v>
      </c>
      <c r="B369">
        <v>40</v>
      </c>
      <c r="C369">
        <v>3</v>
      </c>
      <c r="D369">
        <v>18000</v>
      </c>
      <c r="E369">
        <v>5</v>
      </c>
      <c r="F369">
        <v>2.1</v>
      </c>
      <c r="G369">
        <v>51300</v>
      </c>
      <c r="H369" t="s">
        <v>1664</v>
      </c>
      <c r="I369" t="s">
        <v>1409</v>
      </c>
      <c r="J369" t="s">
        <v>1442</v>
      </c>
      <c r="K369" t="s">
        <v>1447</v>
      </c>
      <c r="L369" t="s">
        <v>1460</v>
      </c>
      <c r="M369" t="s">
        <v>1463</v>
      </c>
      <c r="N369" t="s">
        <v>1467</v>
      </c>
    </row>
    <row r="370" spans="1:14" x14ac:dyDescent="0.25">
      <c r="A370" t="s">
        <v>382</v>
      </c>
      <c r="B370">
        <v>37</v>
      </c>
      <c r="C370">
        <v>3</v>
      </c>
      <c r="D370">
        <v>23000</v>
      </c>
      <c r="E370">
        <v>15</v>
      </c>
      <c r="F370">
        <v>2.2999999999999998</v>
      </c>
      <c r="G370">
        <v>58650</v>
      </c>
      <c r="H370" t="s">
        <v>1665</v>
      </c>
      <c r="I370" t="s">
        <v>1406</v>
      </c>
      <c r="J370" t="s">
        <v>1442</v>
      </c>
      <c r="K370" t="s">
        <v>1447</v>
      </c>
      <c r="L370" t="s">
        <v>1456</v>
      </c>
      <c r="M370" t="s">
        <v>1463</v>
      </c>
      <c r="N370" t="s">
        <v>1466</v>
      </c>
    </row>
    <row r="371" spans="1:14" x14ac:dyDescent="0.25">
      <c r="A371" t="s">
        <v>383</v>
      </c>
      <c r="B371">
        <v>41</v>
      </c>
      <c r="C371">
        <v>5</v>
      </c>
      <c r="D371">
        <v>20000</v>
      </c>
      <c r="E371">
        <v>10</v>
      </c>
      <c r="F371">
        <v>4.5</v>
      </c>
      <c r="G371">
        <v>90000</v>
      </c>
      <c r="H371" t="s">
        <v>1666</v>
      </c>
      <c r="I371" t="s">
        <v>1399</v>
      </c>
      <c r="J371" t="s">
        <v>1441</v>
      </c>
      <c r="K371" t="s">
        <v>1446</v>
      </c>
      <c r="L371" t="s">
        <v>1459</v>
      </c>
      <c r="M371" t="s">
        <v>1462</v>
      </c>
      <c r="N371" t="s">
        <v>1467</v>
      </c>
    </row>
    <row r="372" spans="1:14" x14ac:dyDescent="0.25">
      <c r="A372" t="s">
        <v>384</v>
      </c>
      <c r="B372">
        <v>44</v>
      </c>
      <c r="C372">
        <v>3</v>
      </c>
      <c r="D372">
        <v>30000</v>
      </c>
      <c r="E372">
        <v>0</v>
      </c>
      <c r="F372">
        <v>4.8</v>
      </c>
      <c r="G372">
        <v>90000</v>
      </c>
      <c r="H372" t="s">
        <v>1667</v>
      </c>
      <c r="I372" t="s">
        <v>1379</v>
      </c>
      <c r="J372" t="s">
        <v>1441</v>
      </c>
      <c r="K372" t="s">
        <v>1446</v>
      </c>
      <c r="L372" t="s">
        <v>1453</v>
      </c>
      <c r="M372" t="s">
        <v>1463</v>
      </c>
      <c r="N372" t="s">
        <v>1466</v>
      </c>
    </row>
    <row r="373" spans="1:14" x14ac:dyDescent="0.25">
      <c r="A373" t="s">
        <v>385</v>
      </c>
      <c r="B373">
        <v>25</v>
      </c>
      <c r="C373">
        <v>3</v>
      </c>
      <c r="D373">
        <v>27000</v>
      </c>
      <c r="E373">
        <v>0</v>
      </c>
      <c r="F373">
        <v>1</v>
      </c>
      <c r="G373">
        <v>81000</v>
      </c>
      <c r="H373" t="s">
        <v>1668</v>
      </c>
      <c r="I373" t="s">
        <v>1367</v>
      </c>
      <c r="J373" t="s">
        <v>1445</v>
      </c>
      <c r="K373" t="s">
        <v>1450</v>
      </c>
      <c r="L373" t="s">
        <v>1458</v>
      </c>
      <c r="M373" t="s">
        <v>1464</v>
      </c>
      <c r="N373" t="s">
        <v>1466</v>
      </c>
    </row>
    <row r="374" spans="1:14" x14ac:dyDescent="0.25">
      <c r="A374" t="s">
        <v>386</v>
      </c>
      <c r="B374">
        <v>17</v>
      </c>
      <c r="C374">
        <v>4</v>
      </c>
      <c r="D374">
        <v>28000</v>
      </c>
      <c r="E374">
        <v>5</v>
      </c>
      <c r="F374">
        <v>5</v>
      </c>
      <c r="G374">
        <v>106400</v>
      </c>
      <c r="H374" t="s">
        <v>1669</v>
      </c>
      <c r="I374" t="s">
        <v>1340</v>
      </c>
      <c r="J374" t="s">
        <v>1441</v>
      </c>
      <c r="K374" t="s">
        <v>1446</v>
      </c>
      <c r="L374" t="s">
        <v>1455</v>
      </c>
      <c r="M374" t="s">
        <v>1464</v>
      </c>
      <c r="N374" t="s">
        <v>1466</v>
      </c>
    </row>
    <row r="375" spans="1:14" x14ac:dyDescent="0.25">
      <c r="A375" t="s">
        <v>387</v>
      </c>
      <c r="B375">
        <v>33</v>
      </c>
      <c r="C375">
        <v>4</v>
      </c>
      <c r="D375">
        <v>18000</v>
      </c>
      <c r="E375">
        <v>0</v>
      </c>
      <c r="F375">
        <v>2.2000000000000002</v>
      </c>
      <c r="G375">
        <v>72000</v>
      </c>
      <c r="H375" t="s">
        <v>1669</v>
      </c>
      <c r="I375" t="s">
        <v>1269</v>
      </c>
      <c r="J375" t="s">
        <v>1444</v>
      </c>
      <c r="K375" t="s">
        <v>1449</v>
      </c>
      <c r="L375" t="s">
        <v>1460</v>
      </c>
      <c r="M375" t="s">
        <v>1463</v>
      </c>
      <c r="N375" t="s">
        <v>1467</v>
      </c>
    </row>
    <row r="376" spans="1:14" x14ac:dyDescent="0.25">
      <c r="A376" t="s">
        <v>388</v>
      </c>
      <c r="B376">
        <v>19</v>
      </c>
      <c r="C376">
        <v>4</v>
      </c>
      <c r="D376">
        <v>23000</v>
      </c>
      <c r="E376">
        <v>0</v>
      </c>
      <c r="F376">
        <v>4.4000000000000004</v>
      </c>
      <c r="G376">
        <v>92000</v>
      </c>
      <c r="H376" t="s">
        <v>1670</v>
      </c>
      <c r="I376" t="s">
        <v>1317</v>
      </c>
      <c r="J376" t="s">
        <v>1442</v>
      </c>
      <c r="K376" t="s">
        <v>1447</v>
      </c>
      <c r="L376" t="s">
        <v>1456</v>
      </c>
      <c r="M376" t="s">
        <v>1463</v>
      </c>
      <c r="N376" t="s">
        <v>1466</v>
      </c>
    </row>
    <row r="377" spans="1:14" x14ac:dyDescent="0.25">
      <c r="A377" t="s">
        <v>389</v>
      </c>
      <c r="B377">
        <v>18</v>
      </c>
      <c r="C377">
        <v>4</v>
      </c>
      <c r="D377">
        <v>20000</v>
      </c>
      <c r="E377">
        <v>20</v>
      </c>
      <c r="F377">
        <v>2.6</v>
      </c>
      <c r="G377">
        <v>64000</v>
      </c>
      <c r="H377" t="s">
        <v>1671</v>
      </c>
      <c r="I377" t="s">
        <v>1337</v>
      </c>
      <c r="J377" t="s">
        <v>1444</v>
      </c>
      <c r="K377" t="s">
        <v>1449</v>
      </c>
      <c r="L377" t="s">
        <v>1459</v>
      </c>
      <c r="M377" t="s">
        <v>1462</v>
      </c>
      <c r="N377" t="s">
        <v>1465</v>
      </c>
    </row>
    <row r="378" spans="1:14" x14ac:dyDescent="0.25">
      <c r="A378" t="s">
        <v>390</v>
      </c>
      <c r="B378">
        <v>25</v>
      </c>
      <c r="C378">
        <v>4</v>
      </c>
      <c r="D378">
        <v>18000</v>
      </c>
      <c r="E378">
        <v>0</v>
      </c>
      <c r="F378">
        <v>4.8</v>
      </c>
      <c r="G378">
        <v>72000</v>
      </c>
      <c r="H378" t="s">
        <v>1672</v>
      </c>
      <c r="I378" t="s">
        <v>1339</v>
      </c>
      <c r="J378" t="s">
        <v>1441</v>
      </c>
      <c r="K378" t="s">
        <v>1446</v>
      </c>
      <c r="L378" t="s">
        <v>1461</v>
      </c>
      <c r="M378" t="s">
        <v>1462</v>
      </c>
      <c r="N378" t="s">
        <v>1468</v>
      </c>
    </row>
    <row r="379" spans="1:14" x14ac:dyDescent="0.25">
      <c r="A379" t="s">
        <v>391</v>
      </c>
      <c r="B379">
        <v>41</v>
      </c>
      <c r="C379">
        <v>3</v>
      </c>
      <c r="D379">
        <v>20000</v>
      </c>
      <c r="E379">
        <v>20</v>
      </c>
      <c r="F379">
        <v>1.3</v>
      </c>
      <c r="G379">
        <v>48000</v>
      </c>
      <c r="H379" t="s">
        <v>1673</v>
      </c>
      <c r="I379" t="s">
        <v>1244</v>
      </c>
      <c r="J379" t="s">
        <v>1444</v>
      </c>
      <c r="K379" t="s">
        <v>1449</v>
      </c>
      <c r="L379" t="s">
        <v>1459</v>
      </c>
      <c r="M379" t="s">
        <v>1462</v>
      </c>
      <c r="N379" t="s">
        <v>1465</v>
      </c>
    </row>
    <row r="380" spans="1:14" x14ac:dyDescent="0.25">
      <c r="A380" t="s">
        <v>392</v>
      </c>
      <c r="B380">
        <v>18</v>
      </c>
      <c r="C380">
        <v>2</v>
      </c>
      <c r="D380">
        <v>32000</v>
      </c>
      <c r="E380">
        <v>15</v>
      </c>
      <c r="F380">
        <v>1.9</v>
      </c>
      <c r="G380">
        <v>54400</v>
      </c>
      <c r="H380" t="s">
        <v>1673</v>
      </c>
      <c r="I380" t="s">
        <v>1291</v>
      </c>
      <c r="J380" t="s">
        <v>1444</v>
      </c>
      <c r="K380" t="s">
        <v>1449</v>
      </c>
      <c r="L380" t="s">
        <v>1457</v>
      </c>
      <c r="M380" t="s">
        <v>1463</v>
      </c>
      <c r="N380" t="s">
        <v>1467</v>
      </c>
    </row>
    <row r="381" spans="1:14" x14ac:dyDescent="0.25">
      <c r="A381" t="s">
        <v>393</v>
      </c>
      <c r="B381">
        <v>17</v>
      </c>
      <c r="C381">
        <v>5</v>
      </c>
      <c r="D381">
        <v>18000</v>
      </c>
      <c r="E381">
        <v>15</v>
      </c>
      <c r="F381">
        <v>2.1</v>
      </c>
      <c r="G381">
        <v>76500</v>
      </c>
      <c r="H381" t="s">
        <v>1673</v>
      </c>
      <c r="I381" t="s">
        <v>1327</v>
      </c>
      <c r="J381" t="s">
        <v>1441</v>
      </c>
      <c r="K381" t="s">
        <v>1446</v>
      </c>
      <c r="L381" t="s">
        <v>1461</v>
      </c>
      <c r="M381" t="s">
        <v>1462</v>
      </c>
      <c r="N381" t="s">
        <v>1466</v>
      </c>
    </row>
    <row r="382" spans="1:14" x14ac:dyDescent="0.25">
      <c r="A382" t="s">
        <v>394</v>
      </c>
      <c r="B382">
        <v>42</v>
      </c>
      <c r="C382">
        <v>4</v>
      </c>
      <c r="D382">
        <v>22000</v>
      </c>
      <c r="E382">
        <v>20</v>
      </c>
      <c r="F382">
        <v>2.1</v>
      </c>
      <c r="G382">
        <v>70400</v>
      </c>
      <c r="H382" t="s">
        <v>1673</v>
      </c>
      <c r="I382" t="s">
        <v>1391</v>
      </c>
      <c r="J382" t="s">
        <v>1445</v>
      </c>
      <c r="K382" t="s">
        <v>1450</v>
      </c>
      <c r="L382" t="s">
        <v>1454</v>
      </c>
      <c r="M382" t="s">
        <v>1462</v>
      </c>
      <c r="N382" t="s">
        <v>1465</v>
      </c>
    </row>
    <row r="383" spans="1:14" x14ac:dyDescent="0.25">
      <c r="A383" t="s">
        <v>395</v>
      </c>
      <c r="B383">
        <v>29</v>
      </c>
      <c r="C383">
        <v>4</v>
      </c>
      <c r="D383">
        <v>25000</v>
      </c>
      <c r="E383">
        <v>0</v>
      </c>
      <c r="F383">
        <v>1</v>
      </c>
      <c r="G383">
        <v>100000</v>
      </c>
      <c r="H383" t="s">
        <v>1673</v>
      </c>
      <c r="I383" t="s">
        <v>1356</v>
      </c>
      <c r="J383" t="s">
        <v>1441</v>
      </c>
      <c r="K383" t="s">
        <v>1446</v>
      </c>
      <c r="L383" t="s">
        <v>1452</v>
      </c>
      <c r="M383" t="s">
        <v>1462</v>
      </c>
      <c r="N383" t="s">
        <v>1468</v>
      </c>
    </row>
    <row r="384" spans="1:14" x14ac:dyDescent="0.25">
      <c r="A384" t="s">
        <v>396</v>
      </c>
      <c r="B384">
        <v>53</v>
      </c>
      <c r="C384">
        <v>3</v>
      </c>
      <c r="D384">
        <v>27000</v>
      </c>
      <c r="E384">
        <v>0</v>
      </c>
      <c r="F384">
        <v>1.1000000000000001</v>
      </c>
      <c r="G384">
        <v>81000</v>
      </c>
      <c r="H384" t="s">
        <v>1674</v>
      </c>
      <c r="I384" t="s">
        <v>1276</v>
      </c>
      <c r="J384" t="s">
        <v>1444</v>
      </c>
      <c r="K384" t="s">
        <v>1449</v>
      </c>
      <c r="L384" t="s">
        <v>1458</v>
      </c>
      <c r="M384" t="s">
        <v>1464</v>
      </c>
      <c r="N384" t="s">
        <v>1467</v>
      </c>
    </row>
    <row r="385" spans="1:14" x14ac:dyDescent="0.25">
      <c r="A385" t="s">
        <v>397</v>
      </c>
      <c r="B385">
        <v>18</v>
      </c>
      <c r="C385">
        <v>5</v>
      </c>
      <c r="D385">
        <v>27000</v>
      </c>
      <c r="E385">
        <v>0</v>
      </c>
      <c r="F385">
        <v>4.8</v>
      </c>
      <c r="G385">
        <v>135000</v>
      </c>
      <c r="H385" t="s">
        <v>1674</v>
      </c>
      <c r="I385" t="s">
        <v>1401</v>
      </c>
      <c r="J385" t="s">
        <v>1442</v>
      </c>
      <c r="K385" t="s">
        <v>1447</v>
      </c>
      <c r="L385" t="s">
        <v>1458</v>
      </c>
      <c r="M385" t="s">
        <v>1464</v>
      </c>
      <c r="N385" t="s">
        <v>1466</v>
      </c>
    </row>
    <row r="386" spans="1:14" x14ac:dyDescent="0.25">
      <c r="A386" t="s">
        <v>398</v>
      </c>
      <c r="B386">
        <v>35</v>
      </c>
      <c r="C386">
        <v>4</v>
      </c>
      <c r="D386">
        <v>22000</v>
      </c>
      <c r="E386">
        <v>0</v>
      </c>
      <c r="F386">
        <v>3.9</v>
      </c>
      <c r="G386">
        <v>88000</v>
      </c>
      <c r="H386" t="s">
        <v>1674</v>
      </c>
      <c r="I386" t="s">
        <v>1305</v>
      </c>
      <c r="J386" t="s">
        <v>1442</v>
      </c>
      <c r="K386" t="s">
        <v>1447</v>
      </c>
      <c r="L386" t="s">
        <v>1454</v>
      </c>
      <c r="M386" t="s">
        <v>1462</v>
      </c>
      <c r="N386" t="s">
        <v>1465</v>
      </c>
    </row>
    <row r="387" spans="1:14" x14ac:dyDescent="0.25">
      <c r="A387" t="s">
        <v>399</v>
      </c>
      <c r="B387">
        <v>18</v>
      </c>
      <c r="C387">
        <v>4</v>
      </c>
      <c r="D387">
        <v>22000</v>
      </c>
      <c r="E387">
        <v>5</v>
      </c>
      <c r="F387">
        <v>4.2</v>
      </c>
      <c r="G387">
        <v>83600</v>
      </c>
      <c r="H387" t="s">
        <v>1674</v>
      </c>
      <c r="I387" t="s">
        <v>1344</v>
      </c>
      <c r="J387" t="s">
        <v>1443</v>
      </c>
      <c r="K387" t="s">
        <v>1448</v>
      </c>
      <c r="L387" t="s">
        <v>1454</v>
      </c>
      <c r="M387" t="s">
        <v>1462</v>
      </c>
      <c r="N387" t="s">
        <v>1468</v>
      </c>
    </row>
    <row r="388" spans="1:14" x14ac:dyDescent="0.25">
      <c r="A388" t="s">
        <v>400</v>
      </c>
      <c r="B388">
        <v>18</v>
      </c>
      <c r="C388">
        <v>1</v>
      </c>
      <c r="D388">
        <v>30000</v>
      </c>
      <c r="E388">
        <v>0</v>
      </c>
      <c r="F388">
        <v>2.1</v>
      </c>
      <c r="G388">
        <v>30000</v>
      </c>
      <c r="H388" t="s">
        <v>1674</v>
      </c>
      <c r="I388" t="s">
        <v>1373</v>
      </c>
      <c r="J388" t="s">
        <v>1442</v>
      </c>
      <c r="K388" t="s">
        <v>1447</v>
      </c>
      <c r="L388" t="s">
        <v>1453</v>
      </c>
      <c r="M388" t="s">
        <v>1463</v>
      </c>
      <c r="N388" t="s">
        <v>1465</v>
      </c>
    </row>
    <row r="389" spans="1:14" x14ac:dyDescent="0.25">
      <c r="A389" t="s">
        <v>401</v>
      </c>
      <c r="B389">
        <v>49</v>
      </c>
      <c r="C389">
        <v>2</v>
      </c>
      <c r="D389">
        <v>28000</v>
      </c>
      <c r="E389">
        <v>0</v>
      </c>
      <c r="F389">
        <v>3</v>
      </c>
      <c r="G389">
        <v>56000</v>
      </c>
      <c r="H389" t="s">
        <v>1675</v>
      </c>
      <c r="I389" t="s">
        <v>1316</v>
      </c>
      <c r="J389" t="s">
        <v>1444</v>
      </c>
      <c r="K389" t="s">
        <v>1449</v>
      </c>
      <c r="L389" t="s">
        <v>1455</v>
      </c>
      <c r="M389" t="s">
        <v>1464</v>
      </c>
      <c r="N389" t="s">
        <v>1468</v>
      </c>
    </row>
    <row r="390" spans="1:14" x14ac:dyDescent="0.25">
      <c r="A390" t="s">
        <v>402</v>
      </c>
      <c r="B390">
        <v>50</v>
      </c>
      <c r="C390">
        <v>3</v>
      </c>
      <c r="D390">
        <v>27000</v>
      </c>
      <c r="E390">
        <v>15</v>
      </c>
      <c r="F390">
        <v>2.9</v>
      </c>
      <c r="G390">
        <v>68850</v>
      </c>
      <c r="H390" t="s">
        <v>1675</v>
      </c>
      <c r="I390" t="s">
        <v>1328</v>
      </c>
      <c r="J390" t="s">
        <v>1445</v>
      </c>
      <c r="K390" t="s">
        <v>1450</v>
      </c>
      <c r="L390" t="s">
        <v>1458</v>
      </c>
      <c r="M390" t="s">
        <v>1464</v>
      </c>
      <c r="N390" t="s">
        <v>1467</v>
      </c>
    </row>
    <row r="391" spans="1:14" x14ac:dyDescent="0.25">
      <c r="A391" t="s">
        <v>403</v>
      </c>
      <c r="B391">
        <v>17</v>
      </c>
      <c r="C391">
        <v>5</v>
      </c>
      <c r="D391">
        <v>27000</v>
      </c>
      <c r="E391">
        <v>0</v>
      </c>
      <c r="F391">
        <v>4.0999999999999996</v>
      </c>
      <c r="G391">
        <v>135000</v>
      </c>
      <c r="H391" t="s">
        <v>1676</v>
      </c>
      <c r="I391" t="s">
        <v>1343</v>
      </c>
      <c r="J391" t="s">
        <v>1441</v>
      </c>
      <c r="K391" t="s">
        <v>1446</v>
      </c>
      <c r="L391" t="s">
        <v>1458</v>
      </c>
      <c r="M391" t="s">
        <v>1464</v>
      </c>
      <c r="N391" t="s">
        <v>1467</v>
      </c>
    </row>
    <row r="392" spans="1:14" x14ac:dyDescent="0.25">
      <c r="A392" t="s">
        <v>404</v>
      </c>
      <c r="B392">
        <v>32</v>
      </c>
      <c r="C392">
        <v>3</v>
      </c>
      <c r="D392">
        <v>23000</v>
      </c>
      <c r="E392">
        <v>10</v>
      </c>
      <c r="F392">
        <v>4.4000000000000004</v>
      </c>
      <c r="G392">
        <v>62100</v>
      </c>
      <c r="H392" t="s">
        <v>1677</v>
      </c>
      <c r="I392" t="s">
        <v>1275</v>
      </c>
      <c r="J392" t="s">
        <v>1444</v>
      </c>
      <c r="K392" t="s">
        <v>1449</v>
      </c>
      <c r="L392" t="s">
        <v>1456</v>
      </c>
      <c r="M392" t="s">
        <v>1463</v>
      </c>
      <c r="N392" t="s">
        <v>1466</v>
      </c>
    </row>
    <row r="393" spans="1:14" x14ac:dyDescent="0.25">
      <c r="A393" t="s">
        <v>405</v>
      </c>
      <c r="B393">
        <v>23</v>
      </c>
      <c r="C393">
        <v>2</v>
      </c>
      <c r="D393">
        <v>20000</v>
      </c>
      <c r="E393">
        <v>0</v>
      </c>
      <c r="F393">
        <v>1.5</v>
      </c>
      <c r="G393">
        <v>40000</v>
      </c>
      <c r="H393" t="s">
        <v>1678</v>
      </c>
      <c r="I393" t="s">
        <v>1342</v>
      </c>
      <c r="J393" t="s">
        <v>1442</v>
      </c>
      <c r="K393" t="s">
        <v>1447</v>
      </c>
      <c r="L393" t="s">
        <v>1459</v>
      </c>
      <c r="M393" t="s">
        <v>1462</v>
      </c>
      <c r="N393" t="s">
        <v>1468</v>
      </c>
    </row>
    <row r="394" spans="1:14" x14ac:dyDescent="0.25">
      <c r="A394" t="s">
        <v>406</v>
      </c>
      <c r="B394">
        <v>25</v>
      </c>
      <c r="C394">
        <v>4</v>
      </c>
      <c r="D394">
        <v>28000</v>
      </c>
      <c r="E394">
        <v>20</v>
      </c>
      <c r="F394">
        <v>4.3</v>
      </c>
      <c r="G394">
        <v>89600</v>
      </c>
      <c r="H394" t="s">
        <v>1678</v>
      </c>
      <c r="I394" t="s">
        <v>1367</v>
      </c>
      <c r="J394" t="s">
        <v>1445</v>
      </c>
      <c r="K394" t="s">
        <v>1450</v>
      </c>
      <c r="L394" t="s">
        <v>1455</v>
      </c>
      <c r="M394" t="s">
        <v>1464</v>
      </c>
      <c r="N394" t="s">
        <v>1466</v>
      </c>
    </row>
    <row r="395" spans="1:14" x14ac:dyDescent="0.25">
      <c r="A395" t="s">
        <v>407</v>
      </c>
      <c r="B395">
        <v>40</v>
      </c>
      <c r="C395">
        <v>2</v>
      </c>
      <c r="D395">
        <v>18000</v>
      </c>
      <c r="E395">
        <v>0</v>
      </c>
      <c r="F395">
        <v>4.0999999999999996</v>
      </c>
      <c r="G395">
        <v>36000</v>
      </c>
      <c r="H395" t="s">
        <v>1679</v>
      </c>
      <c r="I395" t="s">
        <v>1410</v>
      </c>
      <c r="J395" t="s">
        <v>1445</v>
      </c>
      <c r="K395" t="s">
        <v>1450</v>
      </c>
      <c r="L395" t="s">
        <v>1460</v>
      </c>
      <c r="M395" t="s">
        <v>1463</v>
      </c>
      <c r="N395" t="s">
        <v>1467</v>
      </c>
    </row>
    <row r="396" spans="1:14" x14ac:dyDescent="0.25">
      <c r="A396" t="s">
        <v>408</v>
      </c>
      <c r="B396">
        <v>30</v>
      </c>
      <c r="C396">
        <v>4</v>
      </c>
      <c r="D396">
        <v>18000</v>
      </c>
      <c r="E396">
        <v>20</v>
      </c>
      <c r="F396">
        <v>1.8</v>
      </c>
      <c r="G396">
        <v>57600</v>
      </c>
      <c r="H396" t="s">
        <v>1679</v>
      </c>
      <c r="I396" t="s">
        <v>1246</v>
      </c>
      <c r="J396" t="s">
        <v>1445</v>
      </c>
      <c r="K396" t="s">
        <v>1450</v>
      </c>
      <c r="L396" t="s">
        <v>1460</v>
      </c>
      <c r="M396" t="s">
        <v>1463</v>
      </c>
      <c r="N396" t="s">
        <v>1468</v>
      </c>
    </row>
    <row r="397" spans="1:14" x14ac:dyDescent="0.25">
      <c r="A397" t="s">
        <v>409</v>
      </c>
      <c r="B397">
        <v>24</v>
      </c>
      <c r="C397">
        <v>5</v>
      </c>
      <c r="D397">
        <v>23000</v>
      </c>
      <c r="E397">
        <v>20</v>
      </c>
      <c r="F397">
        <v>1.1000000000000001</v>
      </c>
      <c r="G397">
        <v>92000</v>
      </c>
      <c r="H397" t="s">
        <v>1680</v>
      </c>
      <c r="I397" t="s">
        <v>1321</v>
      </c>
      <c r="J397" t="s">
        <v>1443</v>
      </c>
      <c r="K397" t="s">
        <v>1448</v>
      </c>
      <c r="L397" t="s">
        <v>1456</v>
      </c>
      <c r="M397" t="s">
        <v>1463</v>
      </c>
      <c r="N397" t="s">
        <v>1466</v>
      </c>
    </row>
    <row r="398" spans="1:14" x14ac:dyDescent="0.25">
      <c r="A398" t="s">
        <v>410</v>
      </c>
      <c r="B398">
        <v>25</v>
      </c>
      <c r="C398">
        <v>2</v>
      </c>
      <c r="D398">
        <v>18000</v>
      </c>
      <c r="E398">
        <v>0</v>
      </c>
      <c r="F398">
        <v>4.4000000000000004</v>
      </c>
      <c r="G398">
        <v>36000</v>
      </c>
      <c r="H398" t="s">
        <v>1681</v>
      </c>
      <c r="I398" t="s">
        <v>1411</v>
      </c>
      <c r="J398" t="s">
        <v>1442</v>
      </c>
      <c r="K398" t="s">
        <v>1447</v>
      </c>
      <c r="L398" t="s">
        <v>1460</v>
      </c>
      <c r="M398" t="s">
        <v>1463</v>
      </c>
      <c r="N398" t="s">
        <v>1467</v>
      </c>
    </row>
    <row r="399" spans="1:14" x14ac:dyDescent="0.25">
      <c r="A399" t="s">
        <v>411</v>
      </c>
      <c r="B399">
        <v>31</v>
      </c>
      <c r="C399">
        <v>4</v>
      </c>
      <c r="D399">
        <v>28000</v>
      </c>
      <c r="E399">
        <v>0</v>
      </c>
      <c r="F399">
        <v>1.5</v>
      </c>
      <c r="G399">
        <v>112000</v>
      </c>
      <c r="H399" t="s">
        <v>1681</v>
      </c>
      <c r="I399" t="s">
        <v>1383</v>
      </c>
      <c r="J399" t="s">
        <v>1444</v>
      </c>
      <c r="K399" t="s">
        <v>1449</v>
      </c>
      <c r="L399" t="s">
        <v>1455</v>
      </c>
      <c r="M399" t="s">
        <v>1464</v>
      </c>
      <c r="N399" t="s">
        <v>1466</v>
      </c>
    </row>
    <row r="400" spans="1:14" x14ac:dyDescent="0.25">
      <c r="A400" t="s">
        <v>412</v>
      </c>
      <c r="B400">
        <v>30</v>
      </c>
      <c r="C400">
        <v>5</v>
      </c>
      <c r="D400">
        <v>27000</v>
      </c>
      <c r="E400">
        <v>5</v>
      </c>
      <c r="F400">
        <v>1.1000000000000001</v>
      </c>
      <c r="G400">
        <v>128250</v>
      </c>
      <c r="H400" t="s">
        <v>1681</v>
      </c>
      <c r="I400" t="s">
        <v>1355</v>
      </c>
      <c r="J400" t="s">
        <v>1443</v>
      </c>
      <c r="K400" t="s">
        <v>1448</v>
      </c>
      <c r="L400" t="s">
        <v>1458</v>
      </c>
      <c r="M400" t="s">
        <v>1464</v>
      </c>
      <c r="N400" t="s">
        <v>1466</v>
      </c>
    </row>
    <row r="401" spans="1:14" x14ac:dyDescent="0.25">
      <c r="A401" t="s">
        <v>413</v>
      </c>
      <c r="B401">
        <v>39</v>
      </c>
      <c r="C401">
        <v>4</v>
      </c>
      <c r="D401">
        <v>18000</v>
      </c>
      <c r="E401">
        <v>5</v>
      </c>
      <c r="F401">
        <v>1.2</v>
      </c>
      <c r="G401">
        <v>68400</v>
      </c>
      <c r="H401" t="s">
        <v>1682</v>
      </c>
      <c r="I401" t="s">
        <v>1351</v>
      </c>
      <c r="J401" t="s">
        <v>1445</v>
      </c>
      <c r="K401" t="s">
        <v>1450</v>
      </c>
      <c r="L401" t="s">
        <v>1461</v>
      </c>
      <c r="M401" t="s">
        <v>1462</v>
      </c>
      <c r="N401" t="s">
        <v>1466</v>
      </c>
    </row>
    <row r="402" spans="1:14" x14ac:dyDescent="0.25">
      <c r="A402" t="s">
        <v>414</v>
      </c>
      <c r="B402">
        <v>29</v>
      </c>
      <c r="C402">
        <v>3</v>
      </c>
      <c r="D402">
        <v>32000</v>
      </c>
      <c r="E402">
        <v>15</v>
      </c>
      <c r="F402">
        <v>2.2000000000000002</v>
      </c>
      <c r="G402">
        <v>81600</v>
      </c>
      <c r="H402" t="s">
        <v>1683</v>
      </c>
      <c r="I402" t="s">
        <v>1377</v>
      </c>
      <c r="J402" t="s">
        <v>1442</v>
      </c>
      <c r="K402" t="s">
        <v>1447</v>
      </c>
      <c r="L402" t="s">
        <v>1457</v>
      </c>
      <c r="M402" t="s">
        <v>1463</v>
      </c>
      <c r="N402" t="s">
        <v>1466</v>
      </c>
    </row>
    <row r="403" spans="1:14" x14ac:dyDescent="0.25">
      <c r="A403" t="s">
        <v>415</v>
      </c>
      <c r="B403">
        <v>31</v>
      </c>
      <c r="C403">
        <v>3</v>
      </c>
      <c r="D403">
        <v>25000</v>
      </c>
      <c r="E403">
        <v>20</v>
      </c>
      <c r="F403">
        <v>2.8</v>
      </c>
      <c r="G403">
        <v>60000</v>
      </c>
      <c r="H403" t="s">
        <v>1683</v>
      </c>
      <c r="I403" t="s">
        <v>1263</v>
      </c>
      <c r="J403" t="s">
        <v>1443</v>
      </c>
      <c r="K403" t="s">
        <v>1448</v>
      </c>
      <c r="L403" t="s">
        <v>1452</v>
      </c>
      <c r="M403" t="s">
        <v>1462</v>
      </c>
      <c r="N403" t="s">
        <v>1468</v>
      </c>
    </row>
    <row r="404" spans="1:14" x14ac:dyDescent="0.25">
      <c r="A404" t="s">
        <v>416</v>
      </c>
      <c r="B404">
        <v>46</v>
      </c>
      <c r="C404">
        <v>5</v>
      </c>
      <c r="D404">
        <v>27000</v>
      </c>
      <c r="E404">
        <v>20</v>
      </c>
      <c r="F404">
        <v>4</v>
      </c>
      <c r="G404">
        <v>108000</v>
      </c>
      <c r="H404" t="s">
        <v>1684</v>
      </c>
      <c r="I404" t="s">
        <v>1403</v>
      </c>
      <c r="J404" t="s">
        <v>1442</v>
      </c>
      <c r="K404" t="s">
        <v>1447</v>
      </c>
      <c r="L404" t="s">
        <v>1458</v>
      </c>
      <c r="M404" t="s">
        <v>1464</v>
      </c>
      <c r="N404" t="s">
        <v>1466</v>
      </c>
    </row>
    <row r="405" spans="1:14" x14ac:dyDescent="0.25">
      <c r="A405" t="s">
        <v>417</v>
      </c>
      <c r="B405">
        <v>52</v>
      </c>
      <c r="C405">
        <v>2</v>
      </c>
      <c r="D405">
        <v>20000</v>
      </c>
      <c r="E405">
        <v>15</v>
      </c>
      <c r="F405">
        <v>1.1000000000000001</v>
      </c>
      <c r="G405">
        <v>34000</v>
      </c>
      <c r="H405" t="s">
        <v>1685</v>
      </c>
      <c r="I405" t="s">
        <v>1392</v>
      </c>
      <c r="J405" t="s">
        <v>1445</v>
      </c>
      <c r="K405" t="s">
        <v>1450</v>
      </c>
      <c r="L405" t="s">
        <v>1459</v>
      </c>
      <c r="M405" t="s">
        <v>1462</v>
      </c>
      <c r="N405" t="s">
        <v>1466</v>
      </c>
    </row>
    <row r="406" spans="1:14" x14ac:dyDescent="0.25">
      <c r="A406" t="s">
        <v>418</v>
      </c>
      <c r="B406">
        <v>42</v>
      </c>
      <c r="C406">
        <v>4</v>
      </c>
      <c r="D406">
        <v>25000</v>
      </c>
      <c r="E406">
        <v>10</v>
      </c>
      <c r="F406">
        <v>2.4</v>
      </c>
      <c r="G406">
        <v>90000</v>
      </c>
      <c r="H406" t="s">
        <v>1686</v>
      </c>
      <c r="I406" t="s">
        <v>1272</v>
      </c>
      <c r="J406" t="s">
        <v>1445</v>
      </c>
      <c r="K406" t="s">
        <v>1450</v>
      </c>
      <c r="L406" t="s">
        <v>1452</v>
      </c>
      <c r="M406" t="s">
        <v>1462</v>
      </c>
      <c r="N406" t="s">
        <v>1465</v>
      </c>
    </row>
    <row r="407" spans="1:14" x14ac:dyDescent="0.25">
      <c r="A407" t="s">
        <v>419</v>
      </c>
      <c r="B407">
        <v>44</v>
      </c>
      <c r="C407">
        <v>5</v>
      </c>
      <c r="D407">
        <v>22000</v>
      </c>
      <c r="E407">
        <v>0</v>
      </c>
      <c r="F407">
        <v>3</v>
      </c>
      <c r="G407">
        <v>110000</v>
      </c>
      <c r="H407" t="s">
        <v>1687</v>
      </c>
      <c r="I407" t="s">
        <v>1260</v>
      </c>
      <c r="J407" t="s">
        <v>1442</v>
      </c>
      <c r="K407" t="s">
        <v>1447</v>
      </c>
      <c r="L407" t="s">
        <v>1454</v>
      </c>
      <c r="M407" t="s">
        <v>1462</v>
      </c>
      <c r="N407" t="s">
        <v>1466</v>
      </c>
    </row>
    <row r="408" spans="1:14" x14ac:dyDescent="0.25">
      <c r="A408" t="s">
        <v>420</v>
      </c>
      <c r="B408">
        <v>24</v>
      </c>
      <c r="C408">
        <v>3</v>
      </c>
      <c r="D408">
        <v>20000</v>
      </c>
      <c r="E408">
        <v>10</v>
      </c>
      <c r="F408">
        <v>3.6</v>
      </c>
      <c r="G408">
        <v>54000</v>
      </c>
      <c r="H408" t="s">
        <v>1687</v>
      </c>
      <c r="I408" t="s">
        <v>1412</v>
      </c>
      <c r="J408" t="s">
        <v>1445</v>
      </c>
      <c r="K408" t="s">
        <v>1450</v>
      </c>
      <c r="L408" t="s">
        <v>1459</v>
      </c>
      <c r="M408" t="s">
        <v>1462</v>
      </c>
      <c r="N408" t="s">
        <v>1465</v>
      </c>
    </row>
    <row r="409" spans="1:14" x14ac:dyDescent="0.25">
      <c r="A409" t="s">
        <v>421</v>
      </c>
      <c r="B409">
        <v>51</v>
      </c>
      <c r="C409">
        <v>3</v>
      </c>
      <c r="D409">
        <v>28000</v>
      </c>
      <c r="E409">
        <v>20</v>
      </c>
      <c r="F409">
        <v>1.4</v>
      </c>
      <c r="G409">
        <v>67200</v>
      </c>
      <c r="H409" t="s">
        <v>1688</v>
      </c>
      <c r="I409" t="s">
        <v>1254</v>
      </c>
      <c r="J409" t="s">
        <v>1442</v>
      </c>
      <c r="K409" t="s">
        <v>1447</v>
      </c>
      <c r="L409" t="s">
        <v>1455</v>
      </c>
      <c r="M409" t="s">
        <v>1464</v>
      </c>
      <c r="N409" t="s">
        <v>1467</v>
      </c>
    </row>
    <row r="410" spans="1:14" x14ac:dyDescent="0.25">
      <c r="A410" t="s">
        <v>422</v>
      </c>
      <c r="B410">
        <v>35</v>
      </c>
      <c r="C410">
        <v>5</v>
      </c>
      <c r="D410">
        <v>32000</v>
      </c>
      <c r="E410">
        <v>15</v>
      </c>
      <c r="F410">
        <v>2</v>
      </c>
      <c r="G410">
        <v>136000</v>
      </c>
      <c r="H410" t="s">
        <v>1689</v>
      </c>
      <c r="I410" t="s">
        <v>1389</v>
      </c>
      <c r="J410" t="s">
        <v>1445</v>
      </c>
      <c r="K410" t="s">
        <v>1450</v>
      </c>
      <c r="L410" t="s">
        <v>1457</v>
      </c>
      <c r="M410" t="s">
        <v>1463</v>
      </c>
      <c r="N410" t="s">
        <v>1467</v>
      </c>
    </row>
    <row r="411" spans="1:14" x14ac:dyDescent="0.25">
      <c r="A411" t="s">
        <v>423</v>
      </c>
      <c r="B411">
        <v>30</v>
      </c>
      <c r="C411">
        <v>5</v>
      </c>
      <c r="D411">
        <v>28000</v>
      </c>
      <c r="E411">
        <v>10</v>
      </c>
      <c r="F411">
        <v>2.9</v>
      </c>
      <c r="G411">
        <v>126000</v>
      </c>
      <c r="H411" t="s">
        <v>1689</v>
      </c>
      <c r="I411" t="s">
        <v>1246</v>
      </c>
      <c r="J411" t="s">
        <v>1444</v>
      </c>
      <c r="K411" t="s">
        <v>1449</v>
      </c>
      <c r="L411" t="s">
        <v>1455</v>
      </c>
      <c r="M411" t="s">
        <v>1464</v>
      </c>
      <c r="N411" t="s">
        <v>1467</v>
      </c>
    </row>
    <row r="412" spans="1:14" x14ac:dyDescent="0.25">
      <c r="A412" t="s">
        <v>424</v>
      </c>
      <c r="B412">
        <v>36</v>
      </c>
      <c r="C412">
        <v>5</v>
      </c>
      <c r="D412">
        <v>30000</v>
      </c>
      <c r="E412">
        <v>10</v>
      </c>
      <c r="F412">
        <v>3.9</v>
      </c>
      <c r="G412">
        <v>135000</v>
      </c>
      <c r="H412" t="s">
        <v>1689</v>
      </c>
      <c r="I412" t="s">
        <v>1413</v>
      </c>
      <c r="J412" t="s">
        <v>1442</v>
      </c>
      <c r="K412" t="s">
        <v>1447</v>
      </c>
      <c r="L412" t="s">
        <v>1453</v>
      </c>
      <c r="M412" t="s">
        <v>1463</v>
      </c>
      <c r="N412" t="s">
        <v>1465</v>
      </c>
    </row>
    <row r="413" spans="1:14" x14ac:dyDescent="0.25">
      <c r="A413" t="s">
        <v>425</v>
      </c>
      <c r="B413">
        <v>45</v>
      </c>
      <c r="C413">
        <v>1</v>
      </c>
      <c r="D413">
        <v>28000</v>
      </c>
      <c r="E413">
        <v>0</v>
      </c>
      <c r="F413">
        <v>3.8</v>
      </c>
      <c r="G413">
        <v>28000</v>
      </c>
      <c r="H413" t="s">
        <v>1689</v>
      </c>
      <c r="I413" t="s">
        <v>1387</v>
      </c>
      <c r="J413" t="s">
        <v>1441</v>
      </c>
      <c r="K413" t="s">
        <v>1446</v>
      </c>
      <c r="L413" t="s">
        <v>1455</v>
      </c>
      <c r="M413" t="s">
        <v>1464</v>
      </c>
      <c r="N413" t="s">
        <v>1468</v>
      </c>
    </row>
    <row r="414" spans="1:14" x14ac:dyDescent="0.25">
      <c r="A414" t="s">
        <v>426</v>
      </c>
      <c r="B414">
        <v>52</v>
      </c>
      <c r="C414">
        <v>1</v>
      </c>
      <c r="D414">
        <v>28000</v>
      </c>
      <c r="E414">
        <v>0</v>
      </c>
      <c r="F414">
        <v>3</v>
      </c>
      <c r="G414">
        <v>28000</v>
      </c>
      <c r="H414" t="s">
        <v>1690</v>
      </c>
      <c r="I414" t="s">
        <v>1414</v>
      </c>
      <c r="J414" t="s">
        <v>1445</v>
      </c>
      <c r="K414" t="s">
        <v>1450</v>
      </c>
      <c r="L414" t="s">
        <v>1455</v>
      </c>
      <c r="M414" t="s">
        <v>1464</v>
      </c>
      <c r="N414" t="s">
        <v>1465</v>
      </c>
    </row>
    <row r="415" spans="1:14" x14ac:dyDescent="0.25">
      <c r="A415" t="s">
        <v>427</v>
      </c>
      <c r="B415">
        <v>32</v>
      </c>
      <c r="C415">
        <v>3</v>
      </c>
      <c r="D415">
        <v>25000</v>
      </c>
      <c r="E415">
        <v>5</v>
      </c>
      <c r="F415">
        <v>2.2999999999999998</v>
      </c>
      <c r="G415">
        <v>71250</v>
      </c>
      <c r="H415" t="s">
        <v>1691</v>
      </c>
      <c r="I415" t="s">
        <v>1366</v>
      </c>
      <c r="J415" t="s">
        <v>1442</v>
      </c>
      <c r="K415" t="s">
        <v>1447</v>
      </c>
      <c r="L415" t="s">
        <v>1452</v>
      </c>
      <c r="M415" t="s">
        <v>1462</v>
      </c>
      <c r="N415" t="s">
        <v>1465</v>
      </c>
    </row>
    <row r="416" spans="1:14" x14ac:dyDescent="0.25">
      <c r="A416" t="s">
        <v>428</v>
      </c>
      <c r="B416">
        <v>34</v>
      </c>
      <c r="C416">
        <v>4</v>
      </c>
      <c r="D416">
        <v>28000</v>
      </c>
      <c r="E416">
        <v>0</v>
      </c>
      <c r="F416">
        <v>2.1</v>
      </c>
      <c r="G416">
        <v>112000</v>
      </c>
      <c r="H416" t="s">
        <v>1692</v>
      </c>
      <c r="I416" t="s">
        <v>1336</v>
      </c>
      <c r="J416" t="s">
        <v>1443</v>
      </c>
      <c r="K416" t="s">
        <v>1448</v>
      </c>
      <c r="L416" t="s">
        <v>1455</v>
      </c>
      <c r="M416" t="s">
        <v>1464</v>
      </c>
      <c r="N416" t="s">
        <v>1468</v>
      </c>
    </row>
    <row r="417" spans="1:14" x14ac:dyDescent="0.25">
      <c r="A417" t="s">
        <v>429</v>
      </c>
      <c r="B417">
        <v>18</v>
      </c>
      <c r="C417">
        <v>5</v>
      </c>
      <c r="D417">
        <v>25000</v>
      </c>
      <c r="E417">
        <v>20</v>
      </c>
      <c r="F417">
        <v>2.9</v>
      </c>
      <c r="G417">
        <v>100000</v>
      </c>
      <c r="H417" t="s">
        <v>1693</v>
      </c>
      <c r="I417" t="s">
        <v>1344</v>
      </c>
      <c r="J417" t="s">
        <v>1445</v>
      </c>
      <c r="K417" t="s">
        <v>1450</v>
      </c>
      <c r="L417" t="s">
        <v>1452</v>
      </c>
      <c r="M417" t="s">
        <v>1462</v>
      </c>
      <c r="N417" t="s">
        <v>1467</v>
      </c>
    </row>
    <row r="418" spans="1:14" x14ac:dyDescent="0.25">
      <c r="A418" t="s">
        <v>430</v>
      </c>
      <c r="B418">
        <v>19</v>
      </c>
      <c r="C418">
        <v>5</v>
      </c>
      <c r="D418">
        <v>18000</v>
      </c>
      <c r="E418">
        <v>0</v>
      </c>
      <c r="F418">
        <v>5</v>
      </c>
      <c r="G418">
        <v>90000</v>
      </c>
      <c r="H418" t="s">
        <v>1693</v>
      </c>
      <c r="I418" t="s">
        <v>1247</v>
      </c>
      <c r="J418" t="s">
        <v>1445</v>
      </c>
      <c r="K418" t="s">
        <v>1450</v>
      </c>
      <c r="L418" t="s">
        <v>1461</v>
      </c>
      <c r="M418" t="s">
        <v>1462</v>
      </c>
      <c r="N418" t="s">
        <v>1468</v>
      </c>
    </row>
    <row r="419" spans="1:14" x14ac:dyDescent="0.25">
      <c r="A419" t="s">
        <v>431</v>
      </c>
      <c r="B419">
        <v>52</v>
      </c>
      <c r="C419">
        <v>1</v>
      </c>
      <c r="D419">
        <v>18000</v>
      </c>
      <c r="E419">
        <v>0</v>
      </c>
      <c r="F419">
        <v>2.2999999999999998</v>
      </c>
      <c r="G419">
        <v>18000</v>
      </c>
      <c r="H419" t="s">
        <v>1694</v>
      </c>
      <c r="I419" t="s">
        <v>1414</v>
      </c>
      <c r="J419" t="s">
        <v>1445</v>
      </c>
      <c r="K419" t="s">
        <v>1450</v>
      </c>
      <c r="L419" t="s">
        <v>1460</v>
      </c>
      <c r="M419" t="s">
        <v>1463</v>
      </c>
      <c r="N419" t="s">
        <v>1465</v>
      </c>
    </row>
    <row r="420" spans="1:14" x14ac:dyDescent="0.25">
      <c r="A420" t="s">
        <v>432</v>
      </c>
      <c r="B420">
        <v>35</v>
      </c>
      <c r="C420">
        <v>3</v>
      </c>
      <c r="D420">
        <v>23000</v>
      </c>
      <c r="E420">
        <v>0</v>
      </c>
      <c r="F420">
        <v>1.2</v>
      </c>
      <c r="G420">
        <v>69000</v>
      </c>
      <c r="H420" t="s">
        <v>1694</v>
      </c>
      <c r="I420" t="s">
        <v>1259</v>
      </c>
      <c r="J420" t="s">
        <v>1444</v>
      </c>
      <c r="K420" t="s">
        <v>1449</v>
      </c>
      <c r="L420" t="s">
        <v>1456</v>
      </c>
      <c r="M420" t="s">
        <v>1463</v>
      </c>
      <c r="N420" t="s">
        <v>1465</v>
      </c>
    </row>
    <row r="421" spans="1:14" x14ac:dyDescent="0.25">
      <c r="A421" t="s">
        <v>433</v>
      </c>
      <c r="B421">
        <v>19</v>
      </c>
      <c r="C421">
        <v>5</v>
      </c>
      <c r="D421">
        <v>20000</v>
      </c>
      <c r="E421">
        <v>5</v>
      </c>
      <c r="F421">
        <v>2.1</v>
      </c>
      <c r="G421">
        <v>95000</v>
      </c>
      <c r="H421" t="s">
        <v>1695</v>
      </c>
      <c r="I421" t="s">
        <v>1317</v>
      </c>
      <c r="J421" t="s">
        <v>1442</v>
      </c>
      <c r="K421" t="s">
        <v>1447</v>
      </c>
      <c r="L421" t="s">
        <v>1459</v>
      </c>
      <c r="M421" t="s">
        <v>1462</v>
      </c>
      <c r="N421" t="s">
        <v>1466</v>
      </c>
    </row>
    <row r="422" spans="1:14" x14ac:dyDescent="0.25">
      <c r="A422" t="s">
        <v>434</v>
      </c>
      <c r="B422">
        <v>25</v>
      </c>
      <c r="C422">
        <v>4</v>
      </c>
      <c r="D422">
        <v>20000</v>
      </c>
      <c r="E422">
        <v>10</v>
      </c>
      <c r="F422">
        <v>3.3</v>
      </c>
      <c r="G422">
        <v>72000</v>
      </c>
      <c r="H422" t="s">
        <v>1696</v>
      </c>
      <c r="I422" t="s">
        <v>1367</v>
      </c>
      <c r="J422" t="s">
        <v>1443</v>
      </c>
      <c r="K422" t="s">
        <v>1448</v>
      </c>
      <c r="L422" t="s">
        <v>1459</v>
      </c>
      <c r="M422" t="s">
        <v>1462</v>
      </c>
      <c r="N422" t="s">
        <v>1467</v>
      </c>
    </row>
    <row r="423" spans="1:14" x14ac:dyDescent="0.25">
      <c r="A423" t="s">
        <v>435</v>
      </c>
      <c r="B423">
        <v>51</v>
      </c>
      <c r="C423">
        <v>1</v>
      </c>
      <c r="D423">
        <v>23000</v>
      </c>
      <c r="E423">
        <v>0</v>
      </c>
      <c r="F423">
        <v>4.7</v>
      </c>
      <c r="G423">
        <v>23000</v>
      </c>
      <c r="H423" t="s">
        <v>1696</v>
      </c>
      <c r="I423" t="s">
        <v>1277</v>
      </c>
      <c r="J423" t="s">
        <v>1445</v>
      </c>
      <c r="K423" t="s">
        <v>1450</v>
      </c>
      <c r="L423" t="s">
        <v>1456</v>
      </c>
      <c r="M423" t="s">
        <v>1463</v>
      </c>
      <c r="N423" t="s">
        <v>1467</v>
      </c>
    </row>
    <row r="424" spans="1:14" x14ac:dyDescent="0.25">
      <c r="A424" t="s">
        <v>436</v>
      </c>
      <c r="B424">
        <v>53</v>
      </c>
      <c r="C424">
        <v>5</v>
      </c>
      <c r="D424">
        <v>22000</v>
      </c>
      <c r="E424">
        <v>5</v>
      </c>
      <c r="F424">
        <v>3.5</v>
      </c>
      <c r="G424">
        <v>104500</v>
      </c>
      <c r="H424" t="s">
        <v>1696</v>
      </c>
      <c r="I424" t="s">
        <v>1324</v>
      </c>
      <c r="J424" t="s">
        <v>1443</v>
      </c>
      <c r="K424" t="s">
        <v>1448</v>
      </c>
      <c r="L424" t="s">
        <v>1454</v>
      </c>
      <c r="M424" t="s">
        <v>1462</v>
      </c>
      <c r="N424" t="s">
        <v>1466</v>
      </c>
    </row>
    <row r="425" spans="1:14" x14ac:dyDescent="0.25">
      <c r="A425" t="s">
        <v>437</v>
      </c>
      <c r="B425">
        <v>41</v>
      </c>
      <c r="C425">
        <v>2</v>
      </c>
      <c r="D425">
        <v>18000</v>
      </c>
      <c r="E425">
        <v>5</v>
      </c>
      <c r="F425">
        <v>2.2000000000000002</v>
      </c>
      <c r="G425">
        <v>34200</v>
      </c>
      <c r="H425" t="s">
        <v>1696</v>
      </c>
      <c r="I425" t="s">
        <v>1318</v>
      </c>
      <c r="J425" t="s">
        <v>1442</v>
      </c>
      <c r="K425" t="s">
        <v>1447</v>
      </c>
      <c r="L425" t="s">
        <v>1460</v>
      </c>
      <c r="M425" t="s">
        <v>1463</v>
      </c>
      <c r="N425" t="s">
        <v>1468</v>
      </c>
    </row>
    <row r="426" spans="1:14" x14ac:dyDescent="0.25">
      <c r="A426" t="s">
        <v>438</v>
      </c>
      <c r="B426">
        <v>44</v>
      </c>
      <c r="C426">
        <v>4</v>
      </c>
      <c r="D426">
        <v>27000</v>
      </c>
      <c r="E426">
        <v>0</v>
      </c>
      <c r="F426">
        <v>4.4000000000000004</v>
      </c>
      <c r="G426">
        <v>108000</v>
      </c>
      <c r="H426" t="s">
        <v>1697</v>
      </c>
      <c r="I426" t="s">
        <v>1243</v>
      </c>
      <c r="J426" t="s">
        <v>1442</v>
      </c>
      <c r="K426" t="s">
        <v>1447</v>
      </c>
      <c r="L426" t="s">
        <v>1458</v>
      </c>
      <c r="M426" t="s">
        <v>1464</v>
      </c>
      <c r="N426" t="s">
        <v>1465</v>
      </c>
    </row>
    <row r="427" spans="1:14" x14ac:dyDescent="0.25">
      <c r="A427" t="s">
        <v>439</v>
      </c>
      <c r="B427">
        <v>33</v>
      </c>
      <c r="C427">
        <v>5</v>
      </c>
      <c r="D427">
        <v>20000</v>
      </c>
      <c r="E427">
        <v>5</v>
      </c>
      <c r="F427">
        <v>4.9000000000000004</v>
      </c>
      <c r="G427">
        <v>95000</v>
      </c>
      <c r="H427" t="s">
        <v>1698</v>
      </c>
      <c r="I427" t="s">
        <v>1285</v>
      </c>
      <c r="J427" t="s">
        <v>1444</v>
      </c>
      <c r="K427" t="s">
        <v>1449</v>
      </c>
      <c r="L427" t="s">
        <v>1459</v>
      </c>
      <c r="M427" t="s">
        <v>1462</v>
      </c>
      <c r="N427" t="s">
        <v>1466</v>
      </c>
    </row>
    <row r="428" spans="1:14" x14ac:dyDescent="0.25">
      <c r="A428" t="s">
        <v>440</v>
      </c>
      <c r="B428">
        <v>25</v>
      </c>
      <c r="C428">
        <v>1</v>
      </c>
      <c r="D428">
        <v>18000</v>
      </c>
      <c r="E428">
        <v>20</v>
      </c>
      <c r="F428">
        <v>5</v>
      </c>
      <c r="G428">
        <v>14400</v>
      </c>
      <c r="H428" t="s">
        <v>1698</v>
      </c>
      <c r="I428" t="s">
        <v>1411</v>
      </c>
      <c r="J428" t="s">
        <v>1443</v>
      </c>
      <c r="K428" t="s">
        <v>1448</v>
      </c>
      <c r="L428" t="s">
        <v>1460</v>
      </c>
      <c r="M428" t="s">
        <v>1463</v>
      </c>
      <c r="N428" t="s">
        <v>1465</v>
      </c>
    </row>
    <row r="429" spans="1:14" x14ac:dyDescent="0.25">
      <c r="A429" t="s">
        <v>441</v>
      </c>
      <c r="B429">
        <v>49</v>
      </c>
      <c r="C429">
        <v>3</v>
      </c>
      <c r="D429">
        <v>25000</v>
      </c>
      <c r="E429">
        <v>15</v>
      </c>
      <c r="F429">
        <v>1</v>
      </c>
      <c r="G429">
        <v>63750</v>
      </c>
      <c r="H429" t="s">
        <v>1699</v>
      </c>
      <c r="I429" t="s">
        <v>1268</v>
      </c>
      <c r="J429" t="s">
        <v>1442</v>
      </c>
      <c r="K429" t="s">
        <v>1447</v>
      </c>
      <c r="L429" t="s">
        <v>1452</v>
      </c>
      <c r="M429" t="s">
        <v>1462</v>
      </c>
      <c r="N429" t="s">
        <v>1467</v>
      </c>
    </row>
    <row r="430" spans="1:14" x14ac:dyDescent="0.25">
      <c r="A430" t="s">
        <v>442</v>
      </c>
      <c r="B430">
        <v>18</v>
      </c>
      <c r="C430">
        <v>4</v>
      </c>
      <c r="D430">
        <v>18000</v>
      </c>
      <c r="E430">
        <v>0</v>
      </c>
      <c r="F430">
        <v>4.5999999999999996</v>
      </c>
      <c r="G430">
        <v>72000</v>
      </c>
      <c r="H430" t="s">
        <v>1699</v>
      </c>
      <c r="I430" t="s">
        <v>1332</v>
      </c>
      <c r="J430" t="s">
        <v>1441</v>
      </c>
      <c r="K430" t="s">
        <v>1446</v>
      </c>
      <c r="L430" t="s">
        <v>1460</v>
      </c>
      <c r="M430" t="s">
        <v>1463</v>
      </c>
      <c r="N430" t="s">
        <v>1466</v>
      </c>
    </row>
    <row r="431" spans="1:14" x14ac:dyDescent="0.25">
      <c r="A431" t="s">
        <v>443</v>
      </c>
      <c r="B431">
        <v>20</v>
      </c>
      <c r="C431">
        <v>1</v>
      </c>
      <c r="D431">
        <v>25000</v>
      </c>
      <c r="E431">
        <v>0</v>
      </c>
      <c r="F431">
        <v>5</v>
      </c>
      <c r="G431">
        <v>25000</v>
      </c>
      <c r="H431" t="s">
        <v>1699</v>
      </c>
      <c r="I431" t="s">
        <v>1262</v>
      </c>
      <c r="J431" t="s">
        <v>1445</v>
      </c>
      <c r="K431" t="s">
        <v>1450</v>
      </c>
      <c r="L431" t="s">
        <v>1452</v>
      </c>
      <c r="M431" t="s">
        <v>1462</v>
      </c>
      <c r="N431" t="s">
        <v>1465</v>
      </c>
    </row>
    <row r="432" spans="1:14" x14ac:dyDescent="0.25">
      <c r="A432" t="s">
        <v>444</v>
      </c>
      <c r="B432">
        <v>45</v>
      </c>
      <c r="C432">
        <v>4</v>
      </c>
      <c r="D432">
        <v>27000</v>
      </c>
      <c r="E432">
        <v>0</v>
      </c>
      <c r="F432">
        <v>2.8</v>
      </c>
      <c r="G432">
        <v>108000</v>
      </c>
      <c r="H432" t="s">
        <v>1699</v>
      </c>
      <c r="I432" t="s">
        <v>1415</v>
      </c>
      <c r="J432" t="s">
        <v>1441</v>
      </c>
      <c r="K432" t="s">
        <v>1446</v>
      </c>
      <c r="L432" t="s">
        <v>1458</v>
      </c>
      <c r="M432" t="s">
        <v>1464</v>
      </c>
      <c r="N432" t="s">
        <v>1467</v>
      </c>
    </row>
    <row r="433" spans="1:14" x14ac:dyDescent="0.25">
      <c r="A433" t="s">
        <v>445</v>
      </c>
      <c r="B433">
        <v>40</v>
      </c>
      <c r="C433">
        <v>2</v>
      </c>
      <c r="D433">
        <v>27000</v>
      </c>
      <c r="E433">
        <v>10</v>
      </c>
      <c r="F433">
        <v>1.4</v>
      </c>
      <c r="G433">
        <v>48600</v>
      </c>
      <c r="H433" t="s">
        <v>1700</v>
      </c>
      <c r="I433" t="s">
        <v>1395</v>
      </c>
      <c r="J433" t="s">
        <v>1444</v>
      </c>
      <c r="K433" t="s">
        <v>1449</v>
      </c>
      <c r="L433" t="s">
        <v>1458</v>
      </c>
      <c r="M433" t="s">
        <v>1464</v>
      </c>
      <c r="N433" t="s">
        <v>1466</v>
      </c>
    </row>
    <row r="434" spans="1:14" x14ac:dyDescent="0.25">
      <c r="A434" t="s">
        <v>446</v>
      </c>
      <c r="B434">
        <v>51</v>
      </c>
      <c r="C434">
        <v>2</v>
      </c>
      <c r="D434">
        <v>18000</v>
      </c>
      <c r="E434">
        <v>15</v>
      </c>
      <c r="F434">
        <v>1.6</v>
      </c>
      <c r="G434">
        <v>30600</v>
      </c>
      <c r="H434" t="s">
        <v>1701</v>
      </c>
      <c r="I434" t="s">
        <v>1382</v>
      </c>
      <c r="J434" t="s">
        <v>1444</v>
      </c>
      <c r="K434" t="s">
        <v>1449</v>
      </c>
      <c r="L434" t="s">
        <v>1461</v>
      </c>
      <c r="M434" t="s">
        <v>1462</v>
      </c>
      <c r="N434" t="s">
        <v>1465</v>
      </c>
    </row>
    <row r="435" spans="1:14" x14ac:dyDescent="0.25">
      <c r="A435" t="s">
        <v>447</v>
      </c>
      <c r="B435">
        <v>21</v>
      </c>
      <c r="C435">
        <v>3</v>
      </c>
      <c r="D435">
        <v>18000</v>
      </c>
      <c r="E435">
        <v>10</v>
      </c>
      <c r="F435">
        <v>2.1</v>
      </c>
      <c r="G435">
        <v>48600</v>
      </c>
      <c r="H435" t="s">
        <v>1702</v>
      </c>
      <c r="I435" t="s">
        <v>1368</v>
      </c>
      <c r="J435" t="s">
        <v>1444</v>
      </c>
      <c r="K435" t="s">
        <v>1449</v>
      </c>
      <c r="L435" t="s">
        <v>1460</v>
      </c>
      <c r="M435" t="s">
        <v>1463</v>
      </c>
      <c r="N435" t="s">
        <v>1468</v>
      </c>
    </row>
    <row r="436" spans="1:14" x14ac:dyDescent="0.25">
      <c r="A436" t="s">
        <v>448</v>
      </c>
      <c r="B436">
        <v>42</v>
      </c>
      <c r="C436">
        <v>5</v>
      </c>
      <c r="D436">
        <v>18000</v>
      </c>
      <c r="E436">
        <v>0</v>
      </c>
      <c r="F436">
        <v>3.6</v>
      </c>
      <c r="G436">
        <v>90000</v>
      </c>
      <c r="H436" t="s">
        <v>1703</v>
      </c>
      <c r="I436" t="s">
        <v>1320</v>
      </c>
      <c r="J436" t="s">
        <v>1445</v>
      </c>
      <c r="K436" t="s">
        <v>1450</v>
      </c>
      <c r="L436" t="s">
        <v>1460</v>
      </c>
      <c r="M436" t="s">
        <v>1463</v>
      </c>
      <c r="N436" t="s">
        <v>1467</v>
      </c>
    </row>
    <row r="437" spans="1:14" x14ac:dyDescent="0.25">
      <c r="A437" t="s">
        <v>449</v>
      </c>
      <c r="B437">
        <v>39</v>
      </c>
      <c r="C437">
        <v>4</v>
      </c>
      <c r="D437">
        <v>22000</v>
      </c>
      <c r="E437">
        <v>5</v>
      </c>
      <c r="F437">
        <v>4.5</v>
      </c>
      <c r="G437">
        <v>83600</v>
      </c>
      <c r="H437" t="s">
        <v>1703</v>
      </c>
      <c r="I437" t="s">
        <v>1250</v>
      </c>
      <c r="J437" t="s">
        <v>1445</v>
      </c>
      <c r="K437" t="s">
        <v>1450</v>
      </c>
      <c r="L437" t="s">
        <v>1454</v>
      </c>
      <c r="M437" t="s">
        <v>1462</v>
      </c>
      <c r="N437" t="s">
        <v>1467</v>
      </c>
    </row>
    <row r="438" spans="1:14" x14ac:dyDescent="0.25">
      <c r="A438" t="s">
        <v>450</v>
      </c>
      <c r="B438">
        <v>19</v>
      </c>
      <c r="C438">
        <v>4</v>
      </c>
      <c r="D438">
        <v>18000</v>
      </c>
      <c r="E438">
        <v>10</v>
      </c>
      <c r="F438">
        <v>1.5</v>
      </c>
      <c r="G438">
        <v>64800</v>
      </c>
      <c r="H438" t="s">
        <v>1703</v>
      </c>
      <c r="I438" t="s">
        <v>1416</v>
      </c>
      <c r="J438" t="s">
        <v>1444</v>
      </c>
      <c r="K438" t="s">
        <v>1449</v>
      </c>
      <c r="L438" t="s">
        <v>1461</v>
      </c>
      <c r="M438" t="s">
        <v>1462</v>
      </c>
      <c r="N438" t="s">
        <v>1467</v>
      </c>
    </row>
    <row r="439" spans="1:14" x14ac:dyDescent="0.25">
      <c r="A439" t="s">
        <v>451</v>
      </c>
      <c r="B439">
        <v>52</v>
      </c>
      <c r="C439">
        <v>3</v>
      </c>
      <c r="D439">
        <v>20000</v>
      </c>
      <c r="E439">
        <v>0</v>
      </c>
      <c r="F439">
        <v>2.1</v>
      </c>
      <c r="G439">
        <v>60000</v>
      </c>
      <c r="H439" t="s">
        <v>1704</v>
      </c>
      <c r="I439" t="s">
        <v>1402</v>
      </c>
      <c r="J439" t="s">
        <v>1442</v>
      </c>
      <c r="K439" t="s">
        <v>1447</v>
      </c>
      <c r="L439" t="s">
        <v>1459</v>
      </c>
      <c r="M439" t="s">
        <v>1462</v>
      </c>
      <c r="N439" t="s">
        <v>1468</v>
      </c>
    </row>
    <row r="440" spans="1:14" x14ac:dyDescent="0.25">
      <c r="A440" t="s">
        <v>452</v>
      </c>
      <c r="B440">
        <v>53</v>
      </c>
      <c r="C440">
        <v>5</v>
      </c>
      <c r="D440">
        <v>20000</v>
      </c>
      <c r="E440">
        <v>5</v>
      </c>
      <c r="F440">
        <v>2.7</v>
      </c>
      <c r="G440">
        <v>95000</v>
      </c>
      <c r="H440" t="s">
        <v>1705</v>
      </c>
      <c r="I440" t="s">
        <v>1301</v>
      </c>
      <c r="J440" t="s">
        <v>1442</v>
      </c>
      <c r="K440" t="s">
        <v>1447</v>
      </c>
      <c r="L440" t="s">
        <v>1459</v>
      </c>
      <c r="M440" t="s">
        <v>1462</v>
      </c>
      <c r="N440" t="s">
        <v>1467</v>
      </c>
    </row>
    <row r="441" spans="1:14" x14ac:dyDescent="0.25">
      <c r="A441" t="s">
        <v>453</v>
      </c>
      <c r="B441">
        <v>29</v>
      </c>
      <c r="C441">
        <v>1</v>
      </c>
      <c r="D441">
        <v>30000</v>
      </c>
      <c r="E441">
        <v>0</v>
      </c>
      <c r="F441">
        <v>4.7</v>
      </c>
      <c r="G441">
        <v>30000</v>
      </c>
      <c r="H441" t="s">
        <v>1706</v>
      </c>
      <c r="I441" t="s">
        <v>1356</v>
      </c>
      <c r="J441" t="s">
        <v>1445</v>
      </c>
      <c r="K441" t="s">
        <v>1450</v>
      </c>
      <c r="L441" t="s">
        <v>1453</v>
      </c>
      <c r="M441" t="s">
        <v>1463</v>
      </c>
      <c r="N441" t="s">
        <v>1465</v>
      </c>
    </row>
    <row r="442" spans="1:14" x14ac:dyDescent="0.25">
      <c r="A442" t="s">
        <v>454</v>
      </c>
      <c r="B442">
        <v>28</v>
      </c>
      <c r="C442">
        <v>2</v>
      </c>
      <c r="D442">
        <v>25000</v>
      </c>
      <c r="E442">
        <v>20</v>
      </c>
      <c r="F442">
        <v>3.7</v>
      </c>
      <c r="G442">
        <v>40000</v>
      </c>
      <c r="H442" t="s">
        <v>1707</v>
      </c>
      <c r="I442" t="s">
        <v>1417</v>
      </c>
      <c r="J442" t="s">
        <v>1441</v>
      </c>
      <c r="K442" t="s">
        <v>1446</v>
      </c>
      <c r="L442" t="s">
        <v>1452</v>
      </c>
      <c r="M442" t="s">
        <v>1462</v>
      </c>
      <c r="N442" t="s">
        <v>1467</v>
      </c>
    </row>
    <row r="443" spans="1:14" x14ac:dyDescent="0.25">
      <c r="A443" t="s">
        <v>455</v>
      </c>
      <c r="B443">
        <v>22</v>
      </c>
      <c r="C443">
        <v>5</v>
      </c>
      <c r="D443">
        <v>28000</v>
      </c>
      <c r="E443">
        <v>5</v>
      </c>
      <c r="F443">
        <v>4.2</v>
      </c>
      <c r="G443">
        <v>133000</v>
      </c>
      <c r="H443" t="s">
        <v>1708</v>
      </c>
      <c r="I443" t="s">
        <v>1380</v>
      </c>
      <c r="J443" t="s">
        <v>1442</v>
      </c>
      <c r="K443" t="s">
        <v>1447</v>
      </c>
      <c r="L443" t="s">
        <v>1455</v>
      </c>
      <c r="M443" t="s">
        <v>1464</v>
      </c>
      <c r="N443" t="s">
        <v>1467</v>
      </c>
    </row>
    <row r="444" spans="1:14" x14ac:dyDescent="0.25">
      <c r="A444" t="s">
        <v>456</v>
      </c>
      <c r="B444">
        <v>40</v>
      </c>
      <c r="C444">
        <v>1</v>
      </c>
      <c r="D444">
        <v>32000</v>
      </c>
      <c r="E444">
        <v>10</v>
      </c>
      <c r="F444">
        <v>1.2</v>
      </c>
      <c r="G444">
        <v>28800</v>
      </c>
      <c r="H444" t="s">
        <v>1708</v>
      </c>
      <c r="I444" t="s">
        <v>1350</v>
      </c>
      <c r="J444" t="s">
        <v>1443</v>
      </c>
      <c r="K444" t="s">
        <v>1448</v>
      </c>
      <c r="L444" t="s">
        <v>1457</v>
      </c>
      <c r="M444" t="s">
        <v>1463</v>
      </c>
      <c r="N444" t="s">
        <v>1468</v>
      </c>
    </row>
    <row r="445" spans="1:14" x14ac:dyDescent="0.25">
      <c r="A445" t="s">
        <v>457</v>
      </c>
      <c r="B445">
        <v>24</v>
      </c>
      <c r="C445">
        <v>4</v>
      </c>
      <c r="D445">
        <v>27000</v>
      </c>
      <c r="E445">
        <v>0</v>
      </c>
      <c r="F445">
        <v>3.4</v>
      </c>
      <c r="G445">
        <v>108000</v>
      </c>
      <c r="H445" t="s">
        <v>1708</v>
      </c>
      <c r="I445" t="s">
        <v>1313</v>
      </c>
      <c r="J445" t="s">
        <v>1441</v>
      </c>
      <c r="K445" t="s">
        <v>1446</v>
      </c>
      <c r="L445" t="s">
        <v>1458</v>
      </c>
      <c r="M445" t="s">
        <v>1464</v>
      </c>
      <c r="N445" t="s">
        <v>1467</v>
      </c>
    </row>
    <row r="446" spans="1:14" x14ac:dyDescent="0.25">
      <c r="A446" t="s">
        <v>458</v>
      </c>
      <c r="B446">
        <v>19</v>
      </c>
      <c r="C446">
        <v>1</v>
      </c>
      <c r="D446">
        <v>30000</v>
      </c>
      <c r="E446">
        <v>10</v>
      </c>
      <c r="F446">
        <v>3.4</v>
      </c>
      <c r="G446">
        <v>27000</v>
      </c>
      <c r="H446" t="s">
        <v>1709</v>
      </c>
      <c r="I446" t="s">
        <v>1416</v>
      </c>
      <c r="J446" t="s">
        <v>1443</v>
      </c>
      <c r="K446" t="s">
        <v>1448</v>
      </c>
      <c r="L446" t="s">
        <v>1453</v>
      </c>
      <c r="M446" t="s">
        <v>1463</v>
      </c>
      <c r="N446" t="s">
        <v>1467</v>
      </c>
    </row>
    <row r="447" spans="1:14" x14ac:dyDescent="0.25">
      <c r="A447" t="s">
        <v>459</v>
      </c>
      <c r="B447">
        <v>40</v>
      </c>
      <c r="C447">
        <v>2</v>
      </c>
      <c r="D447">
        <v>27000</v>
      </c>
      <c r="E447">
        <v>15</v>
      </c>
      <c r="F447">
        <v>3.1</v>
      </c>
      <c r="G447">
        <v>45900</v>
      </c>
      <c r="H447" t="s">
        <v>1709</v>
      </c>
      <c r="I447" t="s">
        <v>1409</v>
      </c>
      <c r="J447" t="s">
        <v>1442</v>
      </c>
      <c r="K447" t="s">
        <v>1447</v>
      </c>
      <c r="L447" t="s">
        <v>1458</v>
      </c>
      <c r="M447" t="s">
        <v>1464</v>
      </c>
      <c r="N447" t="s">
        <v>1467</v>
      </c>
    </row>
    <row r="448" spans="1:14" x14ac:dyDescent="0.25">
      <c r="A448" t="s">
        <v>460</v>
      </c>
      <c r="B448">
        <v>40</v>
      </c>
      <c r="C448">
        <v>1</v>
      </c>
      <c r="D448">
        <v>27000</v>
      </c>
      <c r="E448">
        <v>0</v>
      </c>
      <c r="F448">
        <v>4.4000000000000004</v>
      </c>
      <c r="G448">
        <v>27000</v>
      </c>
      <c r="H448" t="s">
        <v>1710</v>
      </c>
      <c r="I448" t="s">
        <v>1350</v>
      </c>
      <c r="J448" t="s">
        <v>1445</v>
      </c>
      <c r="K448" t="s">
        <v>1450</v>
      </c>
      <c r="L448" t="s">
        <v>1458</v>
      </c>
      <c r="M448" t="s">
        <v>1464</v>
      </c>
      <c r="N448" t="s">
        <v>1467</v>
      </c>
    </row>
    <row r="449" spans="1:14" x14ac:dyDescent="0.25">
      <c r="A449" t="s">
        <v>461</v>
      </c>
      <c r="B449">
        <v>40</v>
      </c>
      <c r="C449">
        <v>1</v>
      </c>
      <c r="D449">
        <v>20000</v>
      </c>
      <c r="E449">
        <v>5</v>
      </c>
      <c r="F449">
        <v>1.5</v>
      </c>
      <c r="G449">
        <v>19000</v>
      </c>
      <c r="H449" t="s">
        <v>1711</v>
      </c>
      <c r="I449" t="s">
        <v>1326</v>
      </c>
      <c r="J449" t="s">
        <v>1441</v>
      </c>
      <c r="K449" t="s">
        <v>1446</v>
      </c>
      <c r="L449" t="s">
        <v>1459</v>
      </c>
      <c r="M449" t="s">
        <v>1462</v>
      </c>
      <c r="N449" t="s">
        <v>1467</v>
      </c>
    </row>
    <row r="450" spans="1:14" x14ac:dyDescent="0.25">
      <c r="A450" t="s">
        <v>462</v>
      </c>
      <c r="B450">
        <v>52</v>
      </c>
      <c r="C450">
        <v>2</v>
      </c>
      <c r="D450">
        <v>27000</v>
      </c>
      <c r="E450">
        <v>0</v>
      </c>
      <c r="F450">
        <v>4.7</v>
      </c>
      <c r="G450">
        <v>54000</v>
      </c>
      <c r="H450" t="s">
        <v>1711</v>
      </c>
      <c r="I450" t="s">
        <v>1402</v>
      </c>
      <c r="J450" t="s">
        <v>1445</v>
      </c>
      <c r="K450" t="s">
        <v>1450</v>
      </c>
      <c r="L450" t="s">
        <v>1458</v>
      </c>
      <c r="M450" t="s">
        <v>1464</v>
      </c>
      <c r="N450" t="s">
        <v>1466</v>
      </c>
    </row>
    <row r="451" spans="1:14" x14ac:dyDescent="0.25">
      <c r="A451" t="s">
        <v>463</v>
      </c>
      <c r="B451">
        <v>49</v>
      </c>
      <c r="C451">
        <v>2</v>
      </c>
      <c r="D451">
        <v>23000</v>
      </c>
      <c r="E451">
        <v>20</v>
      </c>
      <c r="F451">
        <v>1.3</v>
      </c>
      <c r="G451">
        <v>36800</v>
      </c>
      <c r="H451" t="s">
        <v>1711</v>
      </c>
      <c r="I451" t="s">
        <v>1279</v>
      </c>
      <c r="J451" t="s">
        <v>1445</v>
      </c>
      <c r="K451" t="s">
        <v>1450</v>
      </c>
      <c r="L451" t="s">
        <v>1456</v>
      </c>
      <c r="M451" t="s">
        <v>1463</v>
      </c>
      <c r="N451" t="s">
        <v>1468</v>
      </c>
    </row>
    <row r="452" spans="1:14" x14ac:dyDescent="0.25">
      <c r="A452" t="s">
        <v>464</v>
      </c>
      <c r="B452">
        <v>22</v>
      </c>
      <c r="C452">
        <v>4</v>
      </c>
      <c r="D452">
        <v>18000</v>
      </c>
      <c r="E452">
        <v>10</v>
      </c>
      <c r="F452">
        <v>4.7</v>
      </c>
      <c r="G452">
        <v>64800</v>
      </c>
      <c r="H452" t="s">
        <v>1712</v>
      </c>
      <c r="I452" t="s">
        <v>1380</v>
      </c>
      <c r="J452" t="s">
        <v>1442</v>
      </c>
      <c r="K452" t="s">
        <v>1447</v>
      </c>
      <c r="L452" t="s">
        <v>1461</v>
      </c>
      <c r="M452" t="s">
        <v>1462</v>
      </c>
      <c r="N452" t="s">
        <v>1468</v>
      </c>
    </row>
    <row r="453" spans="1:14" x14ac:dyDescent="0.25">
      <c r="A453" t="s">
        <v>465</v>
      </c>
      <c r="B453">
        <v>17</v>
      </c>
      <c r="C453">
        <v>3</v>
      </c>
      <c r="D453">
        <v>32000</v>
      </c>
      <c r="E453">
        <v>20</v>
      </c>
      <c r="F453">
        <v>3.1</v>
      </c>
      <c r="G453">
        <v>76800</v>
      </c>
      <c r="H453" t="s">
        <v>1712</v>
      </c>
      <c r="I453" t="s">
        <v>1327</v>
      </c>
      <c r="J453" t="s">
        <v>1444</v>
      </c>
      <c r="K453" t="s">
        <v>1449</v>
      </c>
      <c r="L453" t="s">
        <v>1457</v>
      </c>
      <c r="M453" t="s">
        <v>1463</v>
      </c>
      <c r="N453" t="s">
        <v>1467</v>
      </c>
    </row>
    <row r="454" spans="1:14" x14ac:dyDescent="0.25">
      <c r="A454" t="s">
        <v>466</v>
      </c>
      <c r="B454">
        <v>53</v>
      </c>
      <c r="C454">
        <v>2</v>
      </c>
      <c r="D454">
        <v>18000</v>
      </c>
      <c r="E454">
        <v>10</v>
      </c>
      <c r="F454">
        <v>3.2</v>
      </c>
      <c r="G454">
        <v>32400</v>
      </c>
      <c r="H454" t="s">
        <v>1713</v>
      </c>
      <c r="I454" t="s">
        <v>1245</v>
      </c>
      <c r="J454" t="s">
        <v>1445</v>
      </c>
      <c r="K454" t="s">
        <v>1450</v>
      </c>
      <c r="L454" t="s">
        <v>1461</v>
      </c>
      <c r="M454" t="s">
        <v>1462</v>
      </c>
      <c r="N454" t="s">
        <v>1465</v>
      </c>
    </row>
    <row r="455" spans="1:14" x14ac:dyDescent="0.25">
      <c r="A455" t="s">
        <v>467</v>
      </c>
      <c r="B455">
        <v>29</v>
      </c>
      <c r="C455">
        <v>2</v>
      </c>
      <c r="D455">
        <v>18000</v>
      </c>
      <c r="E455">
        <v>0</v>
      </c>
      <c r="F455">
        <v>3.5</v>
      </c>
      <c r="G455">
        <v>36000</v>
      </c>
      <c r="H455" t="s">
        <v>1714</v>
      </c>
      <c r="I455" t="s">
        <v>1356</v>
      </c>
      <c r="J455" t="s">
        <v>1441</v>
      </c>
      <c r="K455" t="s">
        <v>1446</v>
      </c>
      <c r="L455" t="s">
        <v>1461</v>
      </c>
      <c r="M455" t="s">
        <v>1462</v>
      </c>
      <c r="N455" t="s">
        <v>1467</v>
      </c>
    </row>
    <row r="456" spans="1:14" x14ac:dyDescent="0.25">
      <c r="A456" t="s">
        <v>468</v>
      </c>
      <c r="B456">
        <v>30</v>
      </c>
      <c r="C456">
        <v>4</v>
      </c>
      <c r="D456">
        <v>30000</v>
      </c>
      <c r="E456">
        <v>0</v>
      </c>
      <c r="F456">
        <v>4</v>
      </c>
      <c r="G456">
        <v>120000</v>
      </c>
      <c r="H456" t="s">
        <v>1715</v>
      </c>
      <c r="I456" t="s">
        <v>1246</v>
      </c>
      <c r="J456" t="s">
        <v>1444</v>
      </c>
      <c r="K456" t="s">
        <v>1449</v>
      </c>
      <c r="L456" t="s">
        <v>1453</v>
      </c>
      <c r="M456" t="s">
        <v>1463</v>
      </c>
      <c r="N456" t="s">
        <v>1465</v>
      </c>
    </row>
    <row r="457" spans="1:14" x14ac:dyDescent="0.25">
      <c r="A457" t="s">
        <v>469</v>
      </c>
      <c r="B457">
        <v>37</v>
      </c>
      <c r="C457">
        <v>1</v>
      </c>
      <c r="D457">
        <v>28000</v>
      </c>
      <c r="E457">
        <v>0</v>
      </c>
      <c r="F457">
        <v>4</v>
      </c>
      <c r="G457">
        <v>28000</v>
      </c>
      <c r="H457" t="s">
        <v>1716</v>
      </c>
      <c r="I457" t="s">
        <v>1345</v>
      </c>
      <c r="J457" t="s">
        <v>1443</v>
      </c>
      <c r="K457" t="s">
        <v>1448</v>
      </c>
      <c r="L457" t="s">
        <v>1455</v>
      </c>
      <c r="M457" t="s">
        <v>1464</v>
      </c>
      <c r="N457" t="s">
        <v>1465</v>
      </c>
    </row>
    <row r="458" spans="1:14" x14ac:dyDescent="0.25">
      <c r="A458" t="s">
        <v>470</v>
      </c>
      <c r="B458">
        <v>31</v>
      </c>
      <c r="C458">
        <v>2</v>
      </c>
      <c r="D458">
        <v>18000</v>
      </c>
      <c r="E458">
        <v>15</v>
      </c>
      <c r="F458">
        <v>3.8</v>
      </c>
      <c r="G458">
        <v>30600</v>
      </c>
      <c r="H458" t="s">
        <v>1716</v>
      </c>
      <c r="I458" t="s">
        <v>1369</v>
      </c>
      <c r="J458" t="s">
        <v>1441</v>
      </c>
      <c r="K458" t="s">
        <v>1446</v>
      </c>
      <c r="L458" t="s">
        <v>1461</v>
      </c>
      <c r="M458" t="s">
        <v>1462</v>
      </c>
      <c r="N458" t="s">
        <v>1465</v>
      </c>
    </row>
    <row r="459" spans="1:14" x14ac:dyDescent="0.25">
      <c r="A459" t="s">
        <v>471</v>
      </c>
      <c r="B459">
        <v>27</v>
      </c>
      <c r="C459">
        <v>4</v>
      </c>
      <c r="D459">
        <v>25000</v>
      </c>
      <c r="E459">
        <v>20</v>
      </c>
      <c r="F459">
        <v>1.7</v>
      </c>
      <c r="G459">
        <v>80000</v>
      </c>
      <c r="H459" t="s">
        <v>1717</v>
      </c>
      <c r="I459" t="s">
        <v>1418</v>
      </c>
      <c r="J459" t="s">
        <v>1445</v>
      </c>
      <c r="K459" t="s">
        <v>1450</v>
      </c>
      <c r="L459" t="s">
        <v>1452</v>
      </c>
      <c r="M459" t="s">
        <v>1462</v>
      </c>
      <c r="N459" t="s">
        <v>1466</v>
      </c>
    </row>
    <row r="460" spans="1:14" x14ac:dyDescent="0.25">
      <c r="A460" t="s">
        <v>472</v>
      </c>
      <c r="B460">
        <v>18</v>
      </c>
      <c r="C460">
        <v>1</v>
      </c>
      <c r="D460">
        <v>28000</v>
      </c>
      <c r="E460">
        <v>10</v>
      </c>
      <c r="F460">
        <v>5</v>
      </c>
      <c r="G460">
        <v>25200</v>
      </c>
      <c r="H460" t="s">
        <v>1718</v>
      </c>
      <c r="I460" t="s">
        <v>1386</v>
      </c>
      <c r="J460" t="s">
        <v>1442</v>
      </c>
      <c r="K460" t="s">
        <v>1447</v>
      </c>
      <c r="L460" t="s">
        <v>1455</v>
      </c>
      <c r="M460" t="s">
        <v>1464</v>
      </c>
      <c r="N460" t="s">
        <v>1466</v>
      </c>
    </row>
    <row r="461" spans="1:14" x14ac:dyDescent="0.25">
      <c r="A461" t="s">
        <v>473</v>
      </c>
      <c r="B461">
        <v>41</v>
      </c>
      <c r="C461">
        <v>1</v>
      </c>
      <c r="D461">
        <v>32000</v>
      </c>
      <c r="E461">
        <v>5</v>
      </c>
      <c r="F461">
        <v>4</v>
      </c>
      <c r="G461">
        <v>30400</v>
      </c>
      <c r="H461" t="s">
        <v>1719</v>
      </c>
      <c r="I461" t="s">
        <v>1419</v>
      </c>
      <c r="J461" t="s">
        <v>1441</v>
      </c>
      <c r="K461" t="s">
        <v>1446</v>
      </c>
      <c r="L461" t="s">
        <v>1457</v>
      </c>
      <c r="M461" t="s">
        <v>1463</v>
      </c>
      <c r="N461" t="s">
        <v>1465</v>
      </c>
    </row>
    <row r="462" spans="1:14" x14ac:dyDescent="0.25">
      <c r="A462" t="s">
        <v>474</v>
      </c>
      <c r="B462">
        <v>44</v>
      </c>
      <c r="C462">
        <v>2</v>
      </c>
      <c r="D462">
        <v>22000</v>
      </c>
      <c r="E462">
        <v>0</v>
      </c>
      <c r="F462">
        <v>2.9</v>
      </c>
      <c r="G462">
        <v>44000</v>
      </c>
      <c r="H462" t="s">
        <v>1720</v>
      </c>
      <c r="I462" t="s">
        <v>1408</v>
      </c>
      <c r="J462" t="s">
        <v>1445</v>
      </c>
      <c r="K462" t="s">
        <v>1450</v>
      </c>
      <c r="L462" t="s">
        <v>1454</v>
      </c>
      <c r="M462" t="s">
        <v>1462</v>
      </c>
      <c r="N462" t="s">
        <v>1468</v>
      </c>
    </row>
    <row r="463" spans="1:14" x14ac:dyDescent="0.25">
      <c r="A463" t="s">
        <v>475</v>
      </c>
      <c r="B463">
        <v>35</v>
      </c>
      <c r="C463">
        <v>4</v>
      </c>
      <c r="D463">
        <v>32000</v>
      </c>
      <c r="E463">
        <v>10</v>
      </c>
      <c r="F463">
        <v>1.4</v>
      </c>
      <c r="G463">
        <v>115200</v>
      </c>
      <c r="H463" t="s">
        <v>1720</v>
      </c>
      <c r="I463" t="s">
        <v>1389</v>
      </c>
      <c r="J463" t="s">
        <v>1445</v>
      </c>
      <c r="K463" t="s">
        <v>1450</v>
      </c>
      <c r="L463" t="s">
        <v>1457</v>
      </c>
      <c r="M463" t="s">
        <v>1463</v>
      </c>
      <c r="N463" t="s">
        <v>1468</v>
      </c>
    </row>
    <row r="464" spans="1:14" x14ac:dyDescent="0.25">
      <c r="A464" t="s">
        <v>476</v>
      </c>
      <c r="B464">
        <v>24</v>
      </c>
      <c r="C464">
        <v>4</v>
      </c>
      <c r="D464">
        <v>22000</v>
      </c>
      <c r="E464">
        <v>15</v>
      </c>
      <c r="F464">
        <v>3.1</v>
      </c>
      <c r="G464">
        <v>74800</v>
      </c>
      <c r="H464" t="s">
        <v>1721</v>
      </c>
      <c r="I464" t="s">
        <v>1313</v>
      </c>
      <c r="J464" t="s">
        <v>1442</v>
      </c>
      <c r="K464" t="s">
        <v>1447</v>
      </c>
      <c r="L464" t="s">
        <v>1454</v>
      </c>
      <c r="M464" t="s">
        <v>1462</v>
      </c>
      <c r="N464" t="s">
        <v>1465</v>
      </c>
    </row>
    <row r="465" spans="1:14" x14ac:dyDescent="0.25">
      <c r="A465" t="s">
        <v>477</v>
      </c>
      <c r="B465">
        <v>47</v>
      </c>
      <c r="C465">
        <v>5</v>
      </c>
      <c r="D465">
        <v>30000</v>
      </c>
      <c r="E465">
        <v>15</v>
      </c>
      <c r="F465">
        <v>3.2</v>
      </c>
      <c r="G465">
        <v>127500</v>
      </c>
      <c r="H465" t="s">
        <v>1722</v>
      </c>
      <c r="I465" t="s">
        <v>1349</v>
      </c>
      <c r="J465" t="s">
        <v>1441</v>
      </c>
      <c r="K465" t="s">
        <v>1446</v>
      </c>
      <c r="L465" t="s">
        <v>1453</v>
      </c>
      <c r="M465" t="s">
        <v>1463</v>
      </c>
      <c r="N465" t="s">
        <v>1467</v>
      </c>
    </row>
    <row r="466" spans="1:14" x14ac:dyDescent="0.25">
      <c r="A466" t="s">
        <v>478</v>
      </c>
      <c r="B466">
        <v>18</v>
      </c>
      <c r="C466">
        <v>5</v>
      </c>
      <c r="D466">
        <v>32000</v>
      </c>
      <c r="E466">
        <v>0</v>
      </c>
      <c r="F466">
        <v>1</v>
      </c>
      <c r="G466">
        <v>160000</v>
      </c>
      <c r="H466" t="s">
        <v>1722</v>
      </c>
      <c r="I466" t="s">
        <v>1373</v>
      </c>
      <c r="J466" t="s">
        <v>1444</v>
      </c>
      <c r="K466" t="s">
        <v>1449</v>
      </c>
      <c r="L466" t="s">
        <v>1457</v>
      </c>
      <c r="M466" t="s">
        <v>1463</v>
      </c>
      <c r="N466" t="s">
        <v>1468</v>
      </c>
    </row>
    <row r="467" spans="1:14" x14ac:dyDescent="0.25">
      <c r="A467" t="s">
        <v>479</v>
      </c>
      <c r="B467">
        <v>20</v>
      </c>
      <c r="C467">
        <v>3</v>
      </c>
      <c r="D467">
        <v>23000</v>
      </c>
      <c r="E467">
        <v>0</v>
      </c>
      <c r="F467">
        <v>2.5</v>
      </c>
      <c r="G467">
        <v>69000</v>
      </c>
      <c r="H467" t="s">
        <v>1722</v>
      </c>
      <c r="I467" t="s">
        <v>1347</v>
      </c>
      <c r="J467" t="s">
        <v>1443</v>
      </c>
      <c r="K467" t="s">
        <v>1448</v>
      </c>
      <c r="L467" t="s">
        <v>1456</v>
      </c>
      <c r="M467" t="s">
        <v>1463</v>
      </c>
      <c r="N467" t="s">
        <v>1468</v>
      </c>
    </row>
    <row r="468" spans="1:14" x14ac:dyDescent="0.25">
      <c r="A468" t="s">
        <v>480</v>
      </c>
      <c r="B468">
        <v>45</v>
      </c>
      <c r="C468">
        <v>5</v>
      </c>
      <c r="D468">
        <v>23000</v>
      </c>
      <c r="E468">
        <v>15</v>
      </c>
      <c r="F468">
        <v>1.8</v>
      </c>
      <c r="G468">
        <v>97750</v>
      </c>
      <c r="H468" t="s">
        <v>1723</v>
      </c>
      <c r="I468" t="s">
        <v>1387</v>
      </c>
      <c r="J468" t="s">
        <v>1445</v>
      </c>
      <c r="K468" t="s">
        <v>1450</v>
      </c>
      <c r="L468" t="s">
        <v>1456</v>
      </c>
      <c r="M468" t="s">
        <v>1463</v>
      </c>
      <c r="N468" t="s">
        <v>1466</v>
      </c>
    </row>
    <row r="469" spans="1:14" x14ac:dyDescent="0.25">
      <c r="A469" t="s">
        <v>481</v>
      </c>
      <c r="B469">
        <v>51</v>
      </c>
      <c r="C469">
        <v>4</v>
      </c>
      <c r="D469">
        <v>20000</v>
      </c>
      <c r="E469">
        <v>15</v>
      </c>
      <c r="F469">
        <v>2.6</v>
      </c>
      <c r="G469">
        <v>68000</v>
      </c>
      <c r="H469" t="s">
        <v>1723</v>
      </c>
      <c r="I469" t="s">
        <v>1382</v>
      </c>
      <c r="J469" t="s">
        <v>1445</v>
      </c>
      <c r="K469" t="s">
        <v>1450</v>
      </c>
      <c r="L469" t="s">
        <v>1459</v>
      </c>
      <c r="M469" t="s">
        <v>1462</v>
      </c>
      <c r="N469" t="s">
        <v>1468</v>
      </c>
    </row>
    <row r="470" spans="1:14" x14ac:dyDescent="0.25">
      <c r="A470" t="s">
        <v>482</v>
      </c>
      <c r="B470">
        <v>54</v>
      </c>
      <c r="C470">
        <v>2</v>
      </c>
      <c r="D470">
        <v>32000</v>
      </c>
      <c r="E470">
        <v>0</v>
      </c>
      <c r="F470">
        <v>3.7</v>
      </c>
      <c r="G470">
        <v>64000</v>
      </c>
      <c r="H470" t="s">
        <v>1724</v>
      </c>
      <c r="I470" t="s">
        <v>1273</v>
      </c>
      <c r="J470" t="s">
        <v>1443</v>
      </c>
      <c r="K470" t="s">
        <v>1448</v>
      </c>
      <c r="L470" t="s">
        <v>1457</v>
      </c>
      <c r="M470" t="s">
        <v>1463</v>
      </c>
      <c r="N470" t="s">
        <v>1468</v>
      </c>
    </row>
    <row r="471" spans="1:14" x14ac:dyDescent="0.25">
      <c r="A471" t="s">
        <v>483</v>
      </c>
      <c r="B471">
        <v>34</v>
      </c>
      <c r="C471">
        <v>1</v>
      </c>
      <c r="D471">
        <v>22000</v>
      </c>
      <c r="E471">
        <v>15</v>
      </c>
      <c r="F471">
        <v>2</v>
      </c>
      <c r="G471">
        <v>18700</v>
      </c>
      <c r="H471" t="s">
        <v>1725</v>
      </c>
      <c r="I471" t="s">
        <v>1336</v>
      </c>
      <c r="J471" t="s">
        <v>1441</v>
      </c>
      <c r="K471" t="s">
        <v>1446</v>
      </c>
      <c r="L471" t="s">
        <v>1454</v>
      </c>
      <c r="M471" t="s">
        <v>1462</v>
      </c>
      <c r="N471" t="s">
        <v>1466</v>
      </c>
    </row>
    <row r="472" spans="1:14" x14ac:dyDescent="0.25">
      <c r="A472" t="s">
        <v>484</v>
      </c>
      <c r="B472">
        <v>25</v>
      </c>
      <c r="C472">
        <v>2</v>
      </c>
      <c r="D472">
        <v>25000</v>
      </c>
      <c r="E472">
        <v>10</v>
      </c>
      <c r="F472">
        <v>4.0999999999999996</v>
      </c>
      <c r="G472">
        <v>45000</v>
      </c>
      <c r="H472" t="s">
        <v>1725</v>
      </c>
      <c r="I472" t="s">
        <v>1261</v>
      </c>
      <c r="J472" t="s">
        <v>1442</v>
      </c>
      <c r="K472" t="s">
        <v>1447</v>
      </c>
      <c r="L472" t="s">
        <v>1452</v>
      </c>
      <c r="M472" t="s">
        <v>1462</v>
      </c>
      <c r="N472" t="s">
        <v>1465</v>
      </c>
    </row>
    <row r="473" spans="1:14" x14ac:dyDescent="0.25">
      <c r="A473" t="s">
        <v>485</v>
      </c>
      <c r="B473">
        <v>27</v>
      </c>
      <c r="C473">
        <v>1</v>
      </c>
      <c r="D473">
        <v>22000</v>
      </c>
      <c r="E473">
        <v>20</v>
      </c>
      <c r="F473">
        <v>1.4</v>
      </c>
      <c r="G473">
        <v>17600</v>
      </c>
      <c r="H473" t="s">
        <v>1726</v>
      </c>
      <c r="I473" t="s">
        <v>1384</v>
      </c>
      <c r="J473" t="s">
        <v>1441</v>
      </c>
      <c r="K473" t="s">
        <v>1446</v>
      </c>
      <c r="L473" t="s">
        <v>1454</v>
      </c>
      <c r="M473" t="s">
        <v>1462</v>
      </c>
      <c r="N473" t="s">
        <v>1465</v>
      </c>
    </row>
    <row r="474" spans="1:14" x14ac:dyDescent="0.25">
      <c r="A474" t="s">
        <v>486</v>
      </c>
      <c r="B474">
        <v>25</v>
      </c>
      <c r="C474">
        <v>2</v>
      </c>
      <c r="D474">
        <v>27000</v>
      </c>
      <c r="E474">
        <v>0</v>
      </c>
      <c r="F474">
        <v>4</v>
      </c>
      <c r="G474">
        <v>54000</v>
      </c>
      <c r="H474" t="s">
        <v>1726</v>
      </c>
      <c r="I474" t="s">
        <v>1339</v>
      </c>
      <c r="J474" t="s">
        <v>1445</v>
      </c>
      <c r="K474" t="s">
        <v>1450</v>
      </c>
      <c r="L474" t="s">
        <v>1458</v>
      </c>
      <c r="M474" t="s">
        <v>1464</v>
      </c>
      <c r="N474" t="s">
        <v>1468</v>
      </c>
    </row>
    <row r="475" spans="1:14" x14ac:dyDescent="0.25">
      <c r="A475" t="s">
        <v>487</v>
      </c>
      <c r="B475">
        <v>19</v>
      </c>
      <c r="C475">
        <v>2</v>
      </c>
      <c r="D475">
        <v>25000</v>
      </c>
      <c r="E475">
        <v>20</v>
      </c>
      <c r="F475">
        <v>2.6</v>
      </c>
      <c r="G475">
        <v>40000</v>
      </c>
      <c r="H475" t="s">
        <v>1727</v>
      </c>
      <c r="I475" t="s">
        <v>1310</v>
      </c>
      <c r="J475" t="s">
        <v>1442</v>
      </c>
      <c r="K475" t="s">
        <v>1447</v>
      </c>
      <c r="L475" t="s">
        <v>1452</v>
      </c>
      <c r="M475" t="s">
        <v>1462</v>
      </c>
      <c r="N475" t="s">
        <v>1465</v>
      </c>
    </row>
    <row r="476" spans="1:14" x14ac:dyDescent="0.25">
      <c r="A476" t="s">
        <v>488</v>
      </c>
      <c r="B476">
        <v>22</v>
      </c>
      <c r="C476">
        <v>5</v>
      </c>
      <c r="D476">
        <v>22000</v>
      </c>
      <c r="E476">
        <v>0</v>
      </c>
      <c r="F476">
        <v>1.9</v>
      </c>
      <c r="G476">
        <v>110000</v>
      </c>
      <c r="H476" t="s">
        <v>1728</v>
      </c>
      <c r="I476" t="s">
        <v>1314</v>
      </c>
      <c r="J476" t="s">
        <v>1442</v>
      </c>
      <c r="K476" t="s">
        <v>1447</v>
      </c>
      <c r="L476" t="s">
        <v>1454</v>
      </c>
      <c r="M476" t="s">
        <v>1462</v>
      </c>
      <c r="N476" t="s">
        <v>1466</v>
      </c>
    </row>
    <row r="477" spans="1:14" x14ac:dyDescent="0.25">
      <c r="A477" t="s">
        <v>489</v>
      </c>
      <c r="B477">
        <v>38</v>
      </c>
      <c r="C477">
        <v>5</v>
      </c>
      <c r="D477">
        <v>18000</v>
      </c>
      <c r="E477">
        <v>15</v>
      </c>
      <c r="F477">
        <v>3.5</v>
      </c>
      <c r="G477">
        <v>76500</v>
      </c>
      <c r="H477" t="s">
        <v>1729</v>
      </c>
      <c r="I477" t="s">
        <v>1309</v>
      </c>
      <c r="J477" t="s">
        <v>1442</v>
      </c>
      <c r="K477" t="s">
        <v>1447</v>
      </c>
      <c r="L477" t="s">
        <v>1460</v>
      </c>
      <c r="M477" t="s">
        <v>1463</v>
      </c>
      <c r="N477" t="s">
        <v>1467</v>
      </c>
    </row>
    <row r="478" spans="1:14" x14ac:dyDescent="0.25">
      <c r="A478" t="s">
        <v>490</v>
      </c>
      <c r="B478">
        <v>18</v>
      </c>
      <c r="C478">
        <v>2</v>
      </c>
      <c r="D478">
        <v>28000</v>
      </c>
      <c r="E478">
        <v>0</v>
      </c>
      <c r="F478">
        <v>4.7</v>
      </c>
      <c r="G478">
        <v>56000</v>
      </c>
      <c r="H478" t="s">
        <v>1729</v>
      </c>
      <c r="I478" t="s">
        <v>1386</v>
      </c>
      <c r="J478" t="s">
        <v>1445</v>
      </c>
      <c r="K478" t="s">
        <v>1450</v>
      </c>
      <c r="L478" t="s">
        <v>1455</v>
      </c>
      <c r="M478" t="s">
        <v>1464</v>
      </c>
      <c r="N478" t="s">
        <v>1467</v>
      </c>
    </row>
    <row r="479" spans="1:14" x14ac:dyDescent="0.25">
      <c r="A479" t="s">
        <v>491</v>
      </c>
      <c r="B479">
        <v>18</v>
      </c>
      <c r="C479">
        <v>4</v>
      </c>
      <c r="D479">
        <v>18000</v>
      </c>
      <c r="E479">
        <v>20</v>
      </c>
      <c r="F479">
        <v>2.1</v>
      </c>
      <c r="G479">
        <v>57600</v>
      </c>
      <c r="H479" t="s">
        <v>1730</v>
      </c>
      <c r="I479" t="s">
        <v>1386</v>
      </c>
      <c r="J479" t="s">
        <v>1443</v>
      </c>
      <c r="K479" t="s">
        <v>1448</v>
      </c>
      <c r="L479" t="s">
        <v>1461</v>
      </c>
      <c r="M479" t="s">
        <v>1462</v>
      </c>
      <c r="N479" t="s">
        <v>1466</v>
      </c>
    </row>
    <row r="480" spans="1:14" x14ac:dyDescent="0.25">
      <c r="A480" t="s">
        <v>492</v>
      </c>
      <c r="B480">
        <v>25</v>
      </c>
      <c r="C480">
        <v>4</v>
      </c>
      <c r="D480">
        <v>25000</v>
      </c>
      <c r="E480">
        <v>0</v>
      </c>
      <c r="F480">
        <v>1.3</v>
      </c>
      <c r="G480">
        <v>100000</v>
      </c>
      <c r="H480" t="s">
        <v>1731</v>
      </c>
      <c r="I480" t="s">
        <v>1411</v>
      </c>
      <c r="J480" t="s">
        <v>1444</v>
      </c>
      <c r="K480" t="s">
        <v>1449</v>
      </c>
      <c r="L480" t="s">
        <v>1452</v>
      </c>
      <c r="M480" t="s">
        <v>1462</v>
      </c>
      <c r="N480" t="s">
        <v>1465</v>
      </c>
    </row>
    <row r="481" spans="1:14" x14ac:dyDescent="0.25">
      <c r="A481" t="s">
        <v>493</v>
      </c>
      <c r="B481">
        <v>40</v>
      </c>
      <c r="C481">
        <v>3</v>
      </c>
      <c r="D481">
        <v>32000</v>
      </c>
      <c r="E481">
        <v>5</v>
      </c>
      <c r="F481">
        <v>3.8</v>
      </c>
      <c r="G481">
        <v>91200</v>
      </c>
      <c r="H481" t="s">
        <v>1732</v>
      </c>
      <c r="I481" t="s">
        <v>1409</v>
      </c>
      <c r="J481" t="s">
        <v>1443</v>
      </c>
      <c r="K481" t="s">
        <v>1448</v>
      </c>
      <c r="L481" t="s">
        <v>1457</v>
      </c>
      <c r="M481" t="s">
        <v>1463</v>
      </c>
      <c r="N481" t="s">
        <v>1466</v>
      </c>
    </row>
    <row r="482" spans="1:14" x14ac:dyDescent="0.25">
      <c r="A482" t="s">
        <v>494</v>
      </c>
      <c r="B482">
        <v>31</v>
      </c>
      <c r="C482">
        <v>2</v>
      </c>
      <c r="D482">
        <v>23000</v>
      </c>
      <c r="E482">
        <v>5</v>
      </c>
      <c r="F482">
        <v>1.9</v>
      </c>
      <c r="G482">
        <v>43700</v>
      </c>
      <c r="H482" t="s">
        <v>1732</v>
      </c>
      <c r="I482" t="s">
        <v>1420</v>
      </c>
      <c r="J482" t="s">
        <v>1444</v>
      </c>
      <c r="K482" t="s">
        <v>1449</v>
      </c>
      <c r="L482" t="s">
        <v>1456</v>
      </c>
      <c r="M482" t="s">
        <v>1463</v>
      </c>
      <c r="N482" t="s">
        <v>1467</v>
      </c>
    </row>
    <row r="483" spans="1:14" x14ac:dyDescent="0.25">
      <c r="A483" t="s">
        <v>495</v>
      </c>
      <c r="B483">
        <v>48</v>
      </c>
      <c r="C483">
        <v>2</v>
      </c>
      <c r="D483">
        <v>18000</v>
      </c>
      <c r="E483">
        <v>15</v>
      </c>
      <c r="F483">
        <v>2.1</v>
      </c>
      <c r="G483">
        <v>30600</v>
      </c>
      <c r="H483" t="s">
        <v>1732</v>
      </c>
      <c r="I483" t="s">
        <v>1293</v>
      </c>
      <c r="J483" t="s">
        <v>1442</v>
      </c>
      <c r="K483" t="s">
        <v>1447</v>
      </c>
      <c r="L483" t="s">
        <v>1460</v>
      </c>
      <c r="M483" t="s">
        <v>1463</v>
      </c>
      <c r="N483" t="s">
        <v>1466</v>
      </c>
    </row>
    <row r="484" spans="1:14" x14ac:dyDescent="0.25">
      <c r="A484" t="s">
        <v>496</v>
      </c>
      <c r="B484">
        <v>53</v>
      </c>
      <c r="C484">
        <v>2</v>
      </c>
      <c r="D484">
        <v>28000</v>
      </c>
      <c r="E484">
        <v>15</v>
      </c>
      <c r="F484">
        <v>2.8</v>
      </c>
      <c r="G484">
        <v>47600</v>
      </c>
      <c r="H484" t="s">
        <v>1733</v>
      </c>
      <c r="I484" t="s">
        <v>1315</v>
      </c>
      <c r="J484" t="s">
        <v>1443</v>
      </c>
      <c r="K484" t="s">
        <v>1448</v>
      </c>
      <c r="L484" t="s">
        <v>1455</v>
      </c>
      <c r="M484" t="s">
        <v>1464</v>
      </c>
      <c r="N484" t="s">
        <v>1466</v>
      </c>
    </row>
    <row r="485" spans="1:14" x14ac:dyDescent="0.25">
      <c r="A485" t="s">
        <v>497</v>
      </c>
      <c r="B485">
        <v>23</v>
      </c>
      <c r="C485">
        <v>3</v>
      </c>
      <c r="D485">
        <v>18000</v>
      </c>
      <c r="E485">
        <v>0</v>
      </c>
      <c r="F485">
        <v>2.2000000000000002</v>
      </c>
      <c r="G485">
        <v>54000</v>
      </c>
      <c r="H485" t="s">
        <v>1734</v>
      </c>
      <c r="I485" t="s">
        <v>1335</v>
      </c>
      <c r="J485" t="s">
        <v>1444</v>
      </c>
      <c r="K485" t="s">
        <v>1449</v>
      </c>
      <c r="L485" t="s">
        <v>1461</v>
      </c>
      <c r="M485" t="s">
        <v>1462</v>
      </c>
      <c r="N485" t="s">
        <v>1468</v>
      </c>
    </row>
    <row r="486" spans="1:14" x14ac:dyDescent="0.25">
      <c r="A486" t="s">
        <v>498</v>
      </c>
      <c r="B486">
        <v>31</v>
      </c>
      <c r="C486">
        <v>5</v>
      </c>
      <c r="D486">
        <v>18000</v>
      </c>
      <c r="E486">
        <v>10</v>
      </c>
      <c r="F486">
        <v>3.6</v>
      </c>
      <c r="G486">
        <v>81000</v>
      </c>
      <c r="H486" t="s">
        <v>1734</v>
      </c>
      <c r="I486" t="s">
        <v>1263</v>
      </c>
      <c r="J486" t="s">
        <v>1441</v>
      </c>
      <c r="K486" t="s">
        <v>1446</v>
      </c>
      <c r="L486" t="s">
        <v>1461</v>
      </c>
      <c r="M486" t="s">
        <v>1462</v>
      </c>
      <c r="N486" t="s">
        <v>1468</v>
      </c>
    </row>
    <row r="487" spans="1:14" x14ac:dyDescent="0.25">
      <c r="A487" t="s">
        <v>499</v>
      </c>
      <c r="B487">
        <v>46</v>
      </c>
      <c r="C487">
        <v>1</v>
      </c>
      <c r="D487">
        <v>18000</v>
      </c>
      <c r="E487">
        <v>0</v>
      </c>
      <c r="F487">
        <v>3.6</v>
      </c>
      <c r="G487">
        <v>18000</v>
      </c>
      <c r="H487" t="s">
        <v>1735</v>
      </c>
      <c r="I487" t="s">
        <v>1403</v>
      </c>
      <c r="J487" t="s">
        <v>1441</v>
      </c>
      <c r="K487" t="s">
        <v>1446</v>
      </c>
      <c r="L487" t="s">
        <v>1460</v>
      </c>
      <c r="M487" t="s">
        <v>1463</v>
      </c>
      <c r="N487" t="s">
        <v>1468</v>
      </c>
    </row>
    <row r="488" spans="1:14" x14ac:dyDescent="0.25">
      <c r="A488" t="s">
        <v>500</v>
      </c>
      <c r="B488">
        <v>31</v>
      </c>
      <c r="C488">
        <v>2</v>
      </c>
      <c r="D488">
        <v>30000</v>
      </c>
      <c r="E488">
        <v>0</v>
      </c>
      <c r="F488">
        <v>3.2</v>
      </c>
      <c r="G488">
        <v>60000</v>
      </c>
      <c r="H488" t="s">
        <v>1736</v>
      </c>
      <c r="I488" t="s">
        <v>1274</v>
      </c>
      <c r="J488" t="s">
        <v>1443</v>
      </c>
      <c r="K488" t="s">
        <v>1448</v>
      </c>
      <c r="L488" t="s">
        <v>1453</v>
      </c>
      <c r="M488" t="s">
        <v>1463</v>
      </c>
      <c r="N488" t="s">
        <v>1466</v>
      </c>
    </row>
    <row r="489" spans="1:14" x14ac:dyDescent="0.25">
      <c r="A489" t="s">
        <v>501</v>
      </c>
      <c r="B489">
        <v>37</v>
      </c>
      <c r="C489">
        <v>2</v>
      </c>
      <c r="D489">
        <v>23000</v>
      </c>
      <c r="E489">
        <v>10</v>
      </c>
      <c r="F489">
        <v>3.1</v>
      </c>
      <c r="G489">
        <v>41400</v>
      </c>
      <c r="H489" t="s">
        <v>1737</v>
      </c>
      <c r="I489" t="s">
        <v>1406</v>
      </c>
      <c r="J489" t="s">
        <v>1445</v>
      </c>
      <c r="K489" t="s">
        <v>1450</v>
      </c>
      <c r="L489" t="s">
        <v>1456</v>
      </c>
      <c r="M489" t="s">
        <v>1463</v>
      </c>
      <c r="N489" t="s">
        <v>1468</v>
      </c>
    </row>
    <row r="490" spans="1:14" x14ac:dyDescent="0.25">
      <c r="A490" t="s">
        <v>502</v>
      </c>
      <c r="B490">
        <v>25</v>
      </c>
      <c r="C490">
        <v>1</v>
      </c>
      <c r="D490">
        <v>30000</v>
      </c>
      <c r="E490">
        <v>5</v>
      </c>
      <c r="F490">
        <v>3.1</v>
      </c>
      <c r="G490">
        <v>28500</v>
      </c>
      <c r="H490" t="s">
        <v>1737</v>
      </c>
      <c r="I490" t="s">
        <v>1339</v>
      </c>
      <c r="J490" t="s">
        <v>1443</v>
      </c>
      <c r="K490" t="s">
        <v>1448</v>
      </c>
      <c r="L490" t="s">
        <v>1453</v>
      </c>
      <c r="M490" t="s">
        <v>1463</v>
      </c>
      <c r="N490" t="s">
        <v>1466</v>
      </c>
    </row>
    <row r="491" spans="1:14" x14ac:dyDescent="0.25">
      <c r="A491" t="s">
        <v>503</v>
      </c>
      <c r="B491">
        <v>30</v>
      </c>
      <c r="C491">
        <v>2</v>
      </c>
      <c r="D491">
        <v>28000</v>
      </c>
      <c r="E491">
        <v>0</v>
      </c>
      <c r="F491">
        <v>1.5</v>
      </c>
      <c r="G491">
        <v>56000</v>
      </c>
      <c r="H491" t="s">
        <v>1738</v>
      </c>
      <c r="I491" t="s">
        <v>1265</v>
      </c>
      <c r="J491" t="s">
        <v>1444</v>
      </c>
      <c r="K491" t="s">
        <v>1449</v>
      </c>
      <c r="L491" t="s">
        <v>1455</v>
      </c>
      <c r="M491" t="s">
        <v>1464</v>
      </c>
      <c r="N491" t="s">
        <v>1466</v>
      </c>
    </row>
    <row r="492" spans="1:14" x14ac:dyDescent="0.25">
      <c r="A492" t="s">
        <v>504</v>
      </c>
      <c r="B492">
        <v>42</v>
      </c>
      <c r="C492">
        <v>1</v>
      </c>
      <c r="D492">
        <v>18000</v>
      </c>
      <c r="E492">
        <v>10</v>
      </c>
      <c r="F492">
        <v>1.9</v>
      </c>
      <c r="G492">
        <v>16200</v>
      </c>
      <c r="H492" t="s">
        <v>1739</v>
      </c>
      <c r="I492" t="s">
        <v>1320</v>
      </c>
      <c r="J492" t="s">
        <v>1445</v>
      </c>
      <c r="K492" t="s">
        <v>1450</v>
      </c>
      <c r="L492" t="s">
        <v>1460</v>
      </c>
      <c r="M492" t="s">
        <v>1463</v>
      </c>
      <c r="N492" t="s">
        <v>1466</v>
      </c>
    </row>
    <row r="493" spans="1:14" x14ac:dyDescent="0.25">
      <c r="A493" t="s">
        <v>505</v>
      </c>
      <c r="B493">
        <v>49</v>
      </c>
      <c r="C493">
        <v>4</v>
      </c>
      <c r="D493">
        <v>18000</v>
      </c>
      <c r="E493">
        <v>0</v>
      </c>
      <c r="F493">
        <v>2.9</v>
      </c>
      <c r="G493">
        <v>72000</v>
      </c>
      <c r="H493" t="s">
        <v>1740</v>
      </c>
      <c r="I493" t="s">
        <v>1381</v>
      </c>
      <c r="J493" t="s">
        <v>1445</v>
      </c>
      <c r="K493" t="s">
        <v>1450</v>
      </c>
      <c r="L493" t="s">
        <v>1460</v>
      </c>
      <c r="M493" t="s">
        <v>1463</v>
      </c>
      <c r="N493" t="s">
        <v>1465</v>
      </c>
    </row>
    <row r="494" spans="1:14" x14ac:dyDescent="0.25">
      <c r="A494" t="s">
        <v>506</v>
      </c>
      <c r="B494">
        <v>35</v>
      </c>
      <c r="C494">
        <v>1</v>
      </c>
      <c r="D494">
        <v>32000</v>
      </c>
      <c r="E494">
        <v>10</v>
      </c>
      <c r="F494">
        <v>3.9</v>
      </c>
      <c r="G494">
        <v>28800</v>
      </c>
      <c r="H494" t="s">
        <v>1740</v>
      </c>
      <c r="I494" t="s">
        <v>1259</v>
      </c>
      <c r="J494" t="s">
        <v>1444</v>
      </c>
      <c r="K494" t="s">
        <v>1449</v>
      </c>
      <c r="L494" t="s">
        <v>1457</v>
      </c>
      <c r="M494" t="s">
        <v>1463</v>
      </c>
      <c r="N494" t="s">
        <v>1468</v>
      </c>
    </row>
    <row r="495" spans="1:14" x14ac:dyDescent="0.25">
      <c r="A495" t="s">
        <v>507</v>
      </c>
      <c r="B495">
        <v>27</v>
      </c>
      <c r="C495">
        <v>3</v>
      </c>
      <c r="D495">
        <v>18000</v>
      </c>
      <c r="E495">
        <v>0</v>
      </c>
      <c r="F495">
        <v>1.7</v>
      </c>
      <c r="G495">
        <v>54000</v>
      </c>
      <c r="H495" t="s">
        <v>1740</v>
      </c>
      <c r="I495" t="s">
        <v>1384</v>
      </c>
      <c r="J495" t="s">
        <v>1444</v>
      </c>
      <c r="K495" t="s">
        <v>1449</v>
      </c>
      <c r="L495" t="s">
        <v>1461</v>
      </c>
      <c r="M495" t="s">
        <v>1462</v>
      </c>
      <c r="N495" t="s">
        <v>1467</v>
      </c>
    </row>
    <row r="496" spans="1:14" x14ac:dyDescent="0.25">
      <c r="A496" t="s">
        <v>508</v>
      </c>
      <c r="B496">
        <v>25</v>
      </c>
      <c r="C496">
        <v>5</v>
      </c>
      <c r="D496">
        <v>27000</v>
      </c>
      <c r="E496">
        <v>20</v>
      </c>
      <c r="F496">
        <v>2.6</v>
      </c>
      <c r="G496">
        <v>108000</v>
      </c>
      <c r="H496" t="s">
        <v>1740</v>
      </c>
      <c r="I496" t="s">
        <v>1393</v>
      </c>
      <c r="J496" t="s">
        <v>1443</v>
      </c>
      <c r="K496" t="s">
        <v>1448</v>
      </c>
      <c r="L496" t="s">
        <v>1458</v>
      </c>
      <c r="M496" t="s">
        <v>1464</v>
      </c>
      <c r="N496" t="s">
        <v>1465</v>
      </c>
    </row>
    <row r="497" spans="1:14" x14ac:dyDescent="0.25">
      <c r="A497" t="s">
        <v>509</v>
      </c>
      <c r="B497">
        <v>18</v>
      </c>
      <c r="C497">
        <v>3</v>
      </c>
      <c r="D497">
        <v>27000</v>
      </c>
      <c r="E497">
        <v>10</v>
      </c>
      <c r="F497">
        <v>1.7</v>
      </c>
      <c r="G497">
        <v>72900</v>
      </c>
      <c r="H497" t="s">
        <v>1741</v>
      </c>
      <c r="I497" t="s">
        <v>1337</v>
      </c>
      <c r="J497" t="s">
        <v>1441</v>
      </c>
      <c r="K497" t="s">
        <v>1446</v>
      </c>
      <c r="L497" t="s">
        <v>1458</v>
      </c>
      <c r="M497" t="s">
        <v>1464</v>
      </c>
      <c r="N497" t="s">
        <v>1466</v>
      </c>
    </row>
    <row r="498" spans="1:14" x14ac:dyDescent="0.25">
      <c r="A498" t="s">
        <v>510</v>
      </c>
      <c r="B498">
        <v>42</v>
      </c>
      <c r="C498">
        <v>1</v>
      </c>
      <c r="D498">
        <v>32000</v>
      </c>
      <c r="E498">
        <v>5</v>
      </c>
      <c r="F498">
        <v>1.3</v>
      </c>
      <c r="G498">
        <v>30400</v>
      </c>
      <c r="H498" t="s">
        <v>1741</v>
      </c>
      <c r="I498" t="s">
        <v>1359</v>
      </c>
      <c r="J498" t="s">
        <v>1443</v>
      </c>
      <c r="K498" t="s">
        <v>1448</v>
      </c>
      <c r="L498" t="s">
        <v>1457</v>
      </c>
      <c r="M498" t="s">
        <v>1463</v>
      </c>
      <c r="N498" t="s">
        <v>1467</v>
      </c>
    </row>
    <row r="499" spans="1:14" x14ac:dyDescent="0.25">
      <c r="A499" t="s">
        <v>511</v>
      </c>
      <c r="B499">
        <v>27</v>
      </c>
      <c r="C499">
        <v>3</v>
      </c>
      <c r="D499">
        <v>25000</v>
      </c>
      <c r="E499">
        <v>0</v>
      </c>
      <c r="F499">
        <v>3.7</v>
      </c>
      <c r="G499">
        <v>75000</v>
      </c>
      <c r="H499" t="s">
        <v>1741</v>
      </c>
      <c r="I499" t="s">
        <v>1241</v>
      </c>
      <c r="J499" t="s">
        <v>1441</v>
      </c>
      <c r="K499" t="s">
        <v>1446</v>
      </c>
      <c r="L499" t="s">
        <v>1452</v>
      </c>
      <c r="M499" t="s">
        <v>1462</v>
      </c>
      <c r="N499" t="s">
        <v>1467</v>
      </c>
    </row>
    <row r="500" spans="1:14" x14ac:dyDescent="0.25">
      <c r="A500" t="s">
        <v>512</v>
      </c>
      <c r="B500">
        <v>44</v>
      </c>
      <c r="C500">
        <v>4</v>
      </c>
      <c r="D500">
        <v>18000</v>
      </c>
      <c r="E500">
        <v>15</v>
      </c>
      <c r="F500">
        <v>2.2999999999999998</v>
      </c>
      <c r="G500">
        <v>61200</v>
      </c>
      <c r="H500" t="s">
        <v>1741</v>
      </c>
      <c r="I500" t="s">
        <v>1379</v>
      </c>
      <c r="J500" t="s">
        <v>1445</v>
      </c>
      <c r="K500" t="s">
        <v>1450</v>
      </c>
      <c r="L500" t="s">
        <v>1461</v>
      </c>
      <c r="M500" t="s">
        <v>1462</v>
      </c>
      <c r="N500" t="s">
        <v>1467</v>
      </c>
    </row>
    <row r="501" spans="1:14" x14ac:dyDescent="0.25">
      <c r="A501" t="s">
        <v>513</v>
      </c>
      <c r="B501">
        <v>18</v>
      </c>
      <c r="C501">
        <v>1</v>
      </c>
      <c r="D501">
        <v>22000</v>
      </c>
      <c r="E501">
        <v>5</v>
      </c>
      <c r="F501">
        <v>4.5</v>
      </c>
      <c r="G501">
        <v>20900</v>
      </c>
      <c r="H501" t="s">
        <v>1741</v>
      </c>
      <c r="I501" t="s">
        <v>1297</v>
      </c>
      <c r="J501" t="s">
        <v>1443</v>
      </c>
      <c r="K501" t="s">
        <v>1448</v>
      </c>
      <c r="L501" t="s">
        <v>1454</v>
      </c>
      <c r="M501" t="s">
        <v>1462</v>
      </c>
      <c r="N501" t="s">
        <v>1467</v>
      </c>
    </row>
    <row r="502" spans="1:14" x14ac:dyDescent="0.25">
      <c r="A502" t="s">
        <v>514</v>
      </c>
      <c r="B502">
        <v>25</v>
      </c>
      <c r="C502">
        <v>1</v>
      </c>
      <c r="D502">
        <v>23000</v>
      </c>
      <c r="E502">
        <v>0</v>
      </c>
      <c r="F502">
        <v>3.4</v>
      </c>
      <c r="G502">
        <v>23000</v>
      </c>
      <c r="H502" t="s">
        <v>1742</v>
      </c>
      <c r="I502" t="s">
        <v>1411</v>
      </c>
      <c r="J502" t="s">
        <v>1445</v>
      </c>
      <c r="K502" t="s">
        <v>1450</v>
      </c>
      <c r="L502" t="s">
        <v>1456</v>
      </c>
      <c r="M502" t="s">
        <v>1463</v>
      </c>
      <c r="N502" t="s">
        <v>1467</v>
      </c>
    </row>
    <row r="503" spans="1:14" x14ac:dyDescent="0.25">
      <c r="A503" t="s">
        <v>515</v>
      </c>
      <c r="B503">
        <v>52</v>
      </c>
      <c r="C503">
        <v>1</v>
      </c>
      <c r="D503">
        <v>22000</v>
      </c>
      <c r="E503">
        <v>0</v>
      </c>
      <c r="F503">
        <v>1.5</v>
      </c>
      <c r="G503">
        <v>22000</v>
      </c>
      <c r="H503" t="s">
        <v>1743</v>
      </c>
      <c r="I503" t="s">
        <v>1402</v>
      </c>
      <c r="J503" t="s">
        <v>1445</v>
      </c>
      <c r="K503" t="s">
        <v>1450</v>
      </c>
      <c r="L503" t="s">
        <v>1454</v>
      </c>
      <c r="M503" t="s">
        <v>1462</v>
      </c>
      <c r="N503" t="s">
        <v>1468</v>
      </c>
    </row>
    <row r="504" spans="1:14" x14ac:dyDescent="0.25">
      <c r="A504" t="s">
        <v>516</v>
      </c>
      <c r="B504">
        <v>30</v>
      </c>
      <c r="C504">
        <v>1</v>
      </c>
      <c r="D504">
        <v>18000</v>
      </c>
      <c r="E504">
        <v>20</v>
      </c>
      <c r="F504">
        <v>1.5</v>
      </c>
      <c r="G504">
        <v>14400</v>
      </c>
      <c r="H504" t="s">
        <v>1743</v>
      </c>
      <c r="I504" t="s">
        <v>1265</v>
      </c>
      <c r="J504" t="s">
        <v>1445</v>
      </c>
      <c r="K504" t="s">
        <v>1450</v>
      </c>
      <c r="L504" t="s">
        <v>1460</v>
      </c>
      <c r="M504" t="s">
        <v>1463</v>
      </c>
      <c r="N504" t="s">
        <v>1466</v>
      </c>
    </row>
    <row r="505" spans="1:14" x14ac:dyDescent="0.25">
      <c r="A505" t="s">
        <v>517</v>
      </c>
      <c r="B505">
        <v>45</v>
      </c>
      <c r="C505">
        <v>2</v>
      </c>
      <c r="D505">
        <v>20000</v>
      </c>
      <c r="E505">
        <v>5</v>
      </c>
      <c r="F505">
        <v>1.5</v>
      </c>
      <c r="G505">
        <v>38000</v>
      </c>
      <c r="H505" t="s">
        <v>1743</v>
      </c>
      <c r="I505" t="s">
        <v>1415</v>
      </c>
      <c r="J505" t="s">
        <v>1442</v>
      </c>
      <c r="K505" t="s">
        <v>1447</v>
      </c>
      <c r="L505" t="s">
        <v>1459</v>
      </c>
      <c r="M505" t="s">
        <v>1462</v>
      </c>
      <c r="N505" t="s">
        <v>1467</v>
      </c>
    </row>
    <row r="506" spans="1:14" x14ac:dyDescent="0.25">
      <c r="A506" t="s">
        <v>518</v>
      </c>
      <c r="B506">
        <v>53</v>
      </c>
      <c r="C506">
        <v>3</v>
      </c>
      <c r="D506">
        <v>28000</v>
      </c>
      <c r="E506">
        <v>0</v>
      </c>
      <c r="F506">
        <v>4.4000000000000004</v>
      </c>
      <c r="G506">
        <v>84000</v>
      </c>
      <c r="H506" t="s">
        <v>1744</v>
      </c>
      <c r="I506" t="s">
        <v>1301</v>
      </c>
      <c r="J506" t="s">
        <v>1443</v>
      </c>
      <c r="K506" t="s">
        <v>1448</v>
      </c>
      <c r="L506" t="s">
        <v>1455</v>
      </c>
      <c r="M506" t="s">
        <v>1464</v>
      </c>
      <c r="N506" t="s">
        <v>1466</v>
      </c>
    </row>
    <row r="507" spans="1:14" x14ac:dyDescent="0.25">
      <c r="A507" t="s">
        <v>519</v>
      </c>
      <c r="B507">
        <v>48</v>
      </c>
      <c r="C507">
        <v>3</v>
      </c>
      <c r="D507">
        <v>20000</v>
      </c>
      <c r="E507">
        <v>20</v>
      </c>
      <c r="F507">
        <v>2.5</v>
      </c>
      <c r="G507">
        <v>48000</v>
      </c>
      <c r="H507" t="s">
        <v>1744</v>
      </c>
      <c r="I507" t="s">
        <v>1293</v>
      </c>
      <c r="J507" t="s">
        <v>1441</v>
      </c>
      <c r="K507" t="s">
        <v>1446</v>
      </c>
      <c r="L507" t="s">
        <v>1459</v>
      </c>
      <c r="M507" t="s">
        <v>1462</v>
      </c>
      <c r="N507" t="s">
        <v>1465</v>
      </c>
    </row>
    <row r="508" spans="1:14" x14ac:dyDescent="0.25">
      <c r="A508" t="s">
        <v>520</v>
      </c>
      <c r="B508">
        <v>27</v>
      </c>
      <c r="C508">
        <v>4</v>
      </c>
      <c r="D508">
        <v>28000</v>
      </c>
      <c r="E508">
        <v>0</v>
      </c>
      <c r="F508">
        <v>1.9</v>
      </c>
      <c r="G508">
        <v>112000</v>
      </c>
      <c r="H508" t="s">
        <v>1744</v>
      </c>
      <c r="I508" t="s">
        <v>1418</v>
      </c>
      <c r="J508" t="s">
        <v>1442</v>
      </c>
      <c r="K508" t="s">
        <v>1447</v>
      </c>
      <c r="L508" t="s">
        <v>1455</v>
      </c>
      <c r="M508" t="s">
        <v>1464</v>
      </c>
      <c r="N508" t="s">
        <v>1468</v>
      </c>
    </row>
    <row r="509" spans="1:14" x14ac:dyDescent="0.25">
      <c r="A509" t="s">
        <v>521</v>
      </c>
      <c r="B509">
        <v>45</v>
      </c>
      <c r="C509">
        <v>1</v>
      </c>
      <c r="D509">
        <v>30000</v>
      </c>
      <c r="E509">
        <v>0</v>
      </c>
      <c r="F509">
        <v>3.5</v>
      </c>
      <c r="G509">
        <v>30000</v>
      </c>
      <c r="H509" t="s">
        <v>1745</v>
      </c>
      <c r="I509" t="s">
        <v>1415</v>
      </c>
      <c r="J509" t="s">
        <v>1443</v>
      </c>
      <c r="K509" t="s">
        <v>1448</v>
      </c>
      <c r="L509" t="s">
        <v>1453</v>
      </c>
      <c r="M509" t="s">
        <v>1463</v>
      </c>
      <c r="N509" t="s">
        <v>1466</v>
      </c>
    </row>
    <row r="510" spans="1:14" x14ac:dyDescent="0.25">
      <c r="A510" t="s">
        <v>522</v>
      </c>
      <c r="B510">
        <v>33</v>
      </c>
      <c r="C510">
        <v>5</v>
      </c>
      <c r="D510">
        <v>32000</v>
      </c>
      <c r="E510">
        <v>20</v>
      </c>
      <c r="F510">
        <v>2.2000000000000002</v>
      </c>
      <c r="G510">
        <v>128000</v>
      </c>
      <c r="H510" t="s">
        <v>1745</v>
      </c>
      <c r="I510" t="s">
        <v>1253</v>
      </c>
      <c r="J510" t="s">
        <v>1445</v>
      </c>
      <c r="K510" t="s">
        <v>1450</v>
      </c>
      <c r="L510" t="s">
        <v>1457</v>
      </c>
      <c r="M510" t="s">
        <v>1463</v>
      </c>
      <c r="N510" t="s">
        <v>1467</v>
      </c>
    </row>
    <row r="511" spans="1:14" x14ac:dyDescent="0.25">
      <c r="A511" t="s">
        <v>523</v>
      </c>
      <c r="B511">
        <v>52</v>
      </c>
      <c r="C511">
        <v>3</v>
      </c>
      <c r="D511">
        <v>20000</v>
      </c>
      <c r="E511">
        <v>10</v>
      </c>
      <c r="F511">
        <v>4.4000000000000004</v>
      </c>
      <c r="G511">
        <v>54000</v>
      </c>
      <c r="H511" t="s">
        <v>1745</v>
      </c>
      <c r="I511" t="s">
        <v>1365</v>
      </c>
      <c r="J511" t="s">
        <v>1444</v>
      </c>
      <c r="K511" t="s">
        <v>1449</v>
      </c>
      <c r="L511" t="s">
        <v>1459</v>
      </c>
      <c r="M511" t="s">
        <v>1462</v>
      </c>
      <c r="N511" t="s">
        <v>1468</v>
      </c>
    </row>
    <row r="512" spans="1:14" x14ac:dyDescent="0.25">
      <c r="A512" t="s">
        <v>524</v>
      </c>
      <c r="B512">
        <v>49</v>
      </c>
      <c r="C512">
        <v>2</v>
      </c>
      <c r="D512">
        <v>23000</v>
      </c>
      <c r="E512">
        <v>15</v>
      </c>
      <c r="F512">
        <v>1.4</v>
      </c>
      <c r="G512">
        <v>39100</v>
      </c>
      <c r="H512" t="s">
        <v>1745</v>
      </c>
      <c r="I512" t="s">
        <v>1288</v>
      </c>
      <c r="J512" t="s">
        <v>1443</v>
      </c>
      <c r="K512" t="s">
        <v>1448</v>
      </c>
      <c r="L512" t="s">
        <v>1456</v>
      </c>
      <c r="M512" t="s">
        <v>1463</v>
      </c>
      <c r="N512" t="s">
        <v>1466</v>
      </c>
    </row>
    <row r="513" spans="1:14" x14ac:dyDescent="0.25">
      <c r="A513" t="s">
        <v>525</v>
      </c>
      <c r="B513">
        <v>18</v>
      </c>
      <c r="C513">
        <v>1</v>
      </c>
      <c r="D513">
        <v>27000</v>
      </c>
      <c r="E513">
        <v>10</v>
      </c>
      <c r="F513">
        <v>4.4000000000000004</v>
      </c>
      <c r="G513">
        <v>24300</v>
      </c>
      <c r="H513" t="s">
        <v>1746</v>
      </c>
      <c r="I513" t="s">
        <v>1291</v>
      </c>
      <c r="J513" t="s">
        <v>1443</v>
      </c>
      <c r="K513" t="s">
        <v>1448</v>
      </c>
      <c r="L513" t="s">
        <v>1458</v>
      </c>
      <c r="M513" t="s">
        <v>1464</v>
      </c>
      <c r="N513" t="s">
        <v>1465</v>
      </c>
    </row>
    <row r="514" spans="1:14" x14ac:dyDescent="0.25">
      <c r="A514" t="s">
        <v>526</v>
      </c>
      <c r="B514">
        <v>45</v>
      </c>
      <c r="C514">
        <v>4</v>
      </c>
      <c r="D514">
        <v>30000</v>
      </c>
      <c r="E514">
        <v>0</v>
      </c>
      <c r="F514">
        <v>2.4</v>
      </c>
      <c r="G514">
        <v>120000</v>
      </c>
      <c r="H514" t="s">
        <v>1747</v>
      </c>
      <c r="I514" t="s">
        <v>1249</v>
      </c>
      <c r="J514" t="s">
        <v>1441</v>
      </c>
      <c r="K514" t="s">
        <v>1446</v>
      </c>
      <c r="L514" t="s">
        <v>1453</v>
      </c>
      <c r="M514" t="s">
        <v>1463</v>
      </c>
      <c r="N514" t="s">
        <v>1465</v>
      </c>
    </row>
    <row r="515" spans="1:14" x14ac:dyDescent="0.25">
      <c r="A515" t="s">
        <v>527</v>
      </c>
      <c r="B515">
        <v>38</v>
      </c>
      <c r="C515">
        <v>4</v>
      </c>
      <c r="D515">
        <v>25000</v>
      </c>
      <c r="E515">
        <v>15</v>
      </c>
      <c r="F515">
        <v>1.9</v>
      </c>
      <c r="G515">
        <v>85000</v>
      </c>
      <c r="H515" t="s">
        <v>1748</v>
      </c>
      <c r="I515" t="s">
        <v>1376</v>
      </c>
      <c r="J515" t="s">
        <v>1445</v>
      </c>
      <c r="K515" t="s">
        <v>1450</v>
      </c>
      <c r="L515" t="s">
        <v>1452</v>
      </c>
      <c r="M515" t="s">
        <v>1462</v>
      </c>
      <c r="N515" t="s">
        <v>1466</v>
      </c>
    </row>
    <row r="516" spans="1:14" x14ac:dyDescent="0.25">
      <c r="A516" t="s">
        <v>528</v>
      </c>
      <c r="B516">
        <v>25</v>
      </c>
      <c r="C516">
        <v>5</v>
      </c>
      <c r="D516">
        <v>27000</v>
      </c>
      <c r="E516">
        <v>0</v>
      </c>
      <c r="F516">
        <v>4.3</v>
      </c>
      <c r="G516">
        <v>135000</v>
      </c>
      <c r="H516" t="s">
        <v>1749</v>
      </c>
      <c r="I516" t="s">
        <v>1367</v>
      </c>
      <c r="J516" t="s">
        <v>1441</v>
      </c>
      <c r="K516" t="s">
        <v>1446</v>
      </c>
      <c r="L516" t="s">
        <v>1458</v>
      </c>
      <c r="M516" t="s">
        <v>1464</v>
      </c>
      <c r="N516" t="s">
        <v>1465</v>
      </c>
    </row>
    <row r="517" spans="1:14" x14ac:dyDescent="0.25">
      <c r="A517" t="s">
        <v>529</v>
      </c>
      <c r="B517">
        <v>42</v>
      </c>
      <c r="C517">
        <v>4</v>
      </c>
      <c r="D517">
        <v>27000</v>
      </c>
      <c r="E517">
        <v>15</v>
      </c>
      <c r="F517">
        <v>2.8</v>
      </c>
      <c r="G517">
        <v>91800</v>
      </c>
      <c r="H517" t="s">
        <v>1750</v>
      </c>
      <c r="I517" t="s">
        <v>1320</v>
      </c>
      <c r="J517" t="s">
        <v>1442</v>
      </c>
      <c r="K517" t="s">
        <v>1447</v>
      </c>
      <c r="L517" t="s">
        <v>1458</v>
      </c>
      <c r="M517" t="s">
        <v>1464</v>
      </c>
      <c r="N517" t="s">
        <v>1468</v>
      </c>
    </row>
    <row r="518" spans="1:14" x14ac:dyDescent="0.25">
      <c r="A518" t="s">
        <v>530</v>
      </c>
      <c r="B518">
        <v>40</v>
      </c>
      <c r="C518">
        <v>1</v>
      </c>
      <c r="D518">
        <v>22000</v>
      </c>
      <c r="E518">
        <v>0</v>
      </c>
      <c r="F518">
        <v>3</v>
      </c>
      <c r="G518">
        <v>22000</v>
      </c>
      <c r="H518" t="s">
        <v>1750</v>
      </c>
      <c r="I518" t="s">
        <v>1350</v>
      </c>
      <c r="J518" t="s">
        <v>1444</v>
      </c>
      <c r="K518" t="s">
        <v>1449</v>
      </c>
      <c r="L518" t="s">
        <v>1454</v>
      </c>
      <c r="M518" t="s">
        <v>1462</v>
      </c>
      <c r="N518" t="s">
        <v>1467</v>
      </c>
    </row>
    <row r="519" spans="1:14" x14ac:dyDescent="0.25">
      <c r="A519" t="s">
        <v>531</v>
      </c>
      <c r="B519">
        <v>42</v>
      </c>
      <c r="C519">
        <v>4</v>
      </c>
      <c r="D519">
        <v>32000</v>
      </c>
      <c r="E519">
        <v>20</v>
      </c>
      <c r="F519">
        <v>1.9</v>
      </c>
      <c r="G519">
        <v>102400</v>
      </c>
      <c r="H519" t="s">
        <v>1751</v>
      </c>
      <c r="I519" t="s">
        <v>1320</v>
      </c>
      <c r="J519" t="s">
        <v>1444</v>
      </c>
      <c r="K519" t="s">
        <v>1449</v>
      </c>
      <c r="L519" t="s">
        <v>1457</v>
      </c>
      <c r="M519" t="s">
        <v>1463</v>
      </c>
      <c r="N519" t="s">
        <v>1468</v>
      </c>
    </row>
    <row r="520" spans="1:14" x14ac:dyDescent="0.25">
      <c r="A520" t="s">
        <v>532</v>
      </c>
      <c r="B520">
        <v>32</v>
      </c>
      <c r="C520">
        <v>3</v>
      </c>
      <c r="D520">
        <v>32000</v>
      </c>
      <c r="E520">
        <v>0</v>
      </c>
      <c r="F520">
        <v>2.2000000000000002</v>
      </c>
      <c r="G520">
        <v>96000</v>
      </c>
      <c r="H520" t="s">
        <v>1751</v>
      </c>
      <c r="I520" t="s">
        <v>1397</v>
      </c>
      <c r="J520" t="s">
        <v>1444</v>
      </c>
      <c r="K520" t="s">
        <v>1449</v>
      </c>
      <c r="L520" t="s">
        <v>1457</v>
      </c>
      <c r="M520" t="s">
        <v>1463</v>
      </c>
      <c r="N520" t="s">
        <v>1465</v>
      </c>
    </row>
    <row r="521" spans="1:14" x14ac:dyDescent="0.25">
      <c r="A521" t="s">
        <v>533</v>
      </c>
      <c r="B521">
        <v>23</v>
      </c>
      <c r="C521">
        <v>4</v>
      </c>
      <c r="D521">
        <v>28000</v>
      </c>
      <c r="E521">
        <v>0</v>
      </c>
      <c r="F521">
        <v>2.4</v>
      </c>
      <c r="G521">
        <v>112000</v>
      </c>
      <c r="H521" t="s">
        <v>1752</v>
      </c>
      <c r="I521" t="s">
        <v>1283</v>
      </c>
      <c r="J521" t="s">
        <v>1445</v>
      </c>
      <c r="K521" t="s">
        <v>1450</v>
      </c>
      <c r="L521" t="s">
        <v>1455</v>
      </c>
      <c r="M521" t="s">
        <v>1464</v>
      </c>
      <c r="N521" t="s">
        <v>1467</v>
      </c>
    </row>
    <row r="522" spans="1:14" x14ac:dyDescent="0.25">
      <c r="A522" t="s">
        <v>534</v>
      </c>
      <c r="B522">
        <v>32</v>
      </c>
      <c r="C522">
        <v>3</v>
      </c>
      <c r="D522">
        <v>20000</v>
      </c>
      <c r="E522">
        <v>20</v>
      </c>
      <c r="F522">
        <v>4.9000000000000004</v>
      </c>
      <c r="G522">
        <v>48000</v>
      </c>
      <c r="H522" t="s">
        <v>1752</v>
      </c>
      <c r="I522" t="s">
        <v>1366</v>
      </c>
      <c r="J522" t="s">
        <v>1444</v>
      </c>
      <c r="K522" t="s">
        <v>1449</v>
      </c>
      <c r="L522" t="s">
        <v>1459</v>
      </c>
      <c r="M522" t="s">
        <v>1462</v>
      </c>
      <c r="N522" t="s">
        <v>1465</v>
      </c>
    </row>
    <row r="523" spans="1:14" x14ac:dyDescent="0.25">
      <c r="A523" t="s">
        <v>535</v>
      </c>
      <c r="B523">
        <v>17</v>
      </c>
      <c r="C523">
        <v>5</v>
      </c>
      <c r="D523">
        <v>30000</v>
      </c>
      <c r="E523">
        <v>0</v>
      </c>
      <c r="F523">
        <v>1.5</v>
      </c>
      <c r="G523">
        <v>150000</v>
      </c>
      <c r="H523" t="s">
        <v>1753</v>
      </c>
      <c r="I523" t="s">
        <v>1343</v>
      </c>
      <c r="J523" t="s">
        <v>1443</v>
      </c>
      <c r="K523" t="s">
        <v>1448</v>
      </c>
      <c r="L523" t="s">
        <v>1453</v>
      </c>
      <c r="M523" t="s">
        <v>1463</v>
      </c>
      <c r="N523" t="s">
        <v>1466</v>
      </c>
    </row>
    <row r="524" spans="1:14" x14ac:dyDescent="0.25">
      <c r="A524" t="s">
        <v>536</v>
      </c>
      <c r="B524">
        <v>29</v>
      </c>
      <c r="C524">
        <v>5</v>
      </c>
      <c r="D524">
        <v>30000</v>
      </c>
      <c r="E524">
        <v>0</v>
      </c>
      <c r="F524">
        <v>3.9</v>
      </c>
      <c r="G524">
        <v>150000</v>
      </c>
      <c r="H524" t="s">
        <v>1753</v>
      </c>
      <c r="I524" t="s">
        <v>1292</v>
      </c>
      <c r="J524" t="s">
        <v>1441</v>
      </c>
      <c r="K524" t="s">
        <v>1446</v>
      </c>
      <c r="L524" t="s">
        <v>1453</v>
      </c>
      <c r="M524" t="s">
        <v>1463</v>
      </c>
      <c r="N524" t="s">
        <v>1465</v>
      </c>
    </row>
    <row r="525" spans="1:14" x14ac:dyDescent="0.25">
      <c r="A525" t="s">
        <v>537</v>
      </c>
      <c r="B525">
        <v>27</v>
      </c>
      <c r="C525">
        <v>2</v>
      </c>
      <c r="D525">
        <v>20000</v>
      </c>
      <c r="E525">
        <v>0</v>
      </c>
      <c r="F525">
        <v>4.7</v>
      </c>
      <c r="G525">
        <v>40000</v>
      </c>
      <c r="H525" t="s">
        <v>1753</v>
      </c>
      <c r="I525" t="s">
        <v>1384</v>
      </c>
      <c r="J525" t="s">
        <v>1443</v>
      </c>
      <c r="K525" t="s">
        <v>1448</v>
      </c>
      <c r="L525" t="s">
        <v>1459</v>
      </c>
      <c r="M525" t="s">
        <v>1462</v>
      </c>
      <c r="N525" t="s">
        <v>1468</v>
      </c>
    </row>
    <row r="526" spans="1:14" x14ac:dyDescent="0.25">
      <c r="A526" t="s">
        <v>538</v>
      </c>
      <c r="B526">
        <v>18</v>
      </c>
      <c r="C526">
        <v>3</v>
      </c>
      <c r="D526">
        <v>18000</v>
      </c>
      <c r="E526">
        <v>10</v>
      </c>
      <c r="F526">
        <v>1.5</v>
      </c>
      <c r="G526">
        <v>48600</v>
      </c>
      <c r="H526" t="s">
        <v>1754</v>
      </c>
      <c r="I526" t="s">
        <v>1337</v>
      </c>
      <c r="J526" t="s">
        <v>1443</v>
      </c>
      <c r="K526" t="s">
        <v>1448</v>
      </c>
      <c r="L526" t="s">
        <v>1461</v>
      </c>
      <c r="M526" t="s">
        <v>1462</v>
      </c>
      <c r="N526" t="s">
        <v>1467</v>
      </c>
    </row>
    <row r="527" spans="1:14" x14ac:dyDescent="0.25">
      <c r="A527" t="s">
        <v>539</v>
      </c>
      <c r="B527">
        <v>24</v>
      </c>
      <c r="C527">
        <v>3</v>
      </c>
      <c r="D527">
        <v>27000</v>
      </c>
      <c r="E527">
        <v>20</v>
      </c>
      <c r="F527">
        <v>2.6</v>
      </c>
      <c r="G527">
        <v>64800</v>
      </c>
      <c r="H527" t="s">
        <v>1755</v>
      </c>
      <c r="I527" t="s">
        <v>1321</v>
      </c>
      <c r="J527" t="s">
        <v>1445</v>
      </c>
      <c r="K527" t="s">
        <v>1450</v>
      </c>
      <c r="L527" t="s">
        <v>1458</v>
      </c>
      <c r="M527" t="s">
        <v>1464</v>
      </c>
      <c r="N527" t="s">
        <v>1467</v>
      </c>
    </row>
    <row r="528" spans="1:14" x14ac:dyDescent="0.25">
      <c r="A528" t="s">
        <v>540</v>
      </c>
      <c r="B528">
        <v>43</v>
      </c>
      <c r="C528">
        <v>5</v>
      </c>
      <c r="D528">
        <v>28000</v>
      </c>
      <c r="E528">
        <v>15</v>
      </c>
      <c r="F528">
        <v>4.3</v>
      </c>
      <c r="G528">
        <v>119000</v>
      </c>
      <c r="H528" t="s">
        <v>1755</v>
      </c>
      <c r="I528" t="s">
        <v>1311</v>
      </c>
      <c r="J528" t="s">
        <v>1442</v>
      </c>
      <c r="K528" t="s">
        <v>1447</v>
      </c>
      <c r="L528" t="s">
        <v>1455</v>
      </c>
      <c r="M528" t="s">
        <v>1464</v>
      </c>
      <c r="N528" t="s">
        <v>1467</v>
      </c>
    </row>
    <row r="529" spans="1:14" x14ac:dyDescent="0.25">
      <c r="A529" t="s">
        <v>541</v>
      </c>
      <c r="B529">
        <v>41</v>
      </c>
      <c r="C529">
        <v>2</v>
      </c>
      <c r="D529">
        <v>25000</v>
      </c>
      <c r="E529">
        <v>20</v>
      </c>
      <c r="F529">
        <v>1.1000000000000001</v>
      </c>
      <c r="G529">
        <v>40000</v>
      </c>
      <c r="H529" t="s">
        <v>1755</v>
      </c>
      <c r="I529" t="s">
        <v>1419</v>
      </c>
      <c r="J529" t="s">
        <v>1445</v>
      </c>
      <c r="K529" t="s">
        <v>1450</v>
      </c>
      <c r="L529" t="s">
        <v>1452</v>
      </c>
      <c r="M529" t="s">
        <v>1462</v>
      </c>
      <c r="N529" t="s">
        <v>1466</v>
      </c>
    </row>
    <row r="530" spans="1:14" x14ac:dyDescent="0.25">
      <c r="A530" t="s">
        <v>542</v>
      </c>
      <c r="B530">
        <v>23</v>
      </c>
      <c r="C530">
        <v>1</v>
      </c>
      <c r="D530">
        <v>22000</v>
      </c>
      <c r="E530">
        <v>5</v>
      </c>
      <c r="F530">
        <v>4.2</v>
      </c>
      <c r="G530">
        <v>20900</v>
      </c>
      <c r="H530" t="s">
        <v>1756</v>
      </c>
      <c r="I530" t="s">
        <v>1335</v>
      </c>
      <c r="J530" t="s">
        <v>1442</v>
      </c>
      <c r="K530" t="s">
        <v>1447</v>
      </c>
      <c r="L530" t="s">
        <v>1454</v>
      </c>
      <c r="M530" t="s">
        <v>1462</v>
      </c>
      <c r="N530" t="s">
        <v>1466</v>
      </c>
    </row>
    <row r="531" spans="1:14" x14ac:dyDescent="0.25">
      <c r="A531" t="s">
        <v>543</v>
      </c>
      <c r="B531">
        <v>33</v>
      </c>
      <c r="C531">
        <v>4</v>
      </c>
      <c r="D531">
        <v>32000</v>
      </c>
      <c r="E531">
        <v>10</v>
      </c>
      <c r="F531">
        <v>1.1000000000000001</v>
      </c>
      <c r="G531">
        <v>115200</v>
      </c>
      <c r="H531" t="s">
        <v>1757</v>
      </c>
      <c r="I531" t="s">
        <v>1253</v>
      </c>
      <c r="J531" t="s">
        <v>1444</v>
      </c>
      <c r="K531" t="s">
        <v>1449</v>
      </c>
      <c r="L531" t="s">
        <v>1457</v>
      </c>
      <c r="M531" t="s">
        <v>1463</v>
      </c>
      <c r="N531" t="s">
        <v>1468</v>
      </c>
    </row>
    <row r="532" spans="1:14" x14ac:dyDescent="0.25">
      <c r="A532" t="s">
        <v>544</v>
      </c>
      <c r="B532">
        <v>28</v>
      </c>
      <c r="C532">
        <v>5</v>
      </c>
      <c r="D532">
        <v>18000</v>
      </c>
      <c r="E532">
        <v>0</v>
      </c>
      <c r="F532">
        <v>4.8</v>
      </c>
      <c r="G532">
        <v>90000</v>
      </c>
      <c r="H532" t="s">
        <v>1757</v>
      </c>
      <c r="I532" t="s">
        <v>1375</v>
      </c>
      <c r="J532" t="s">
        <v>1443</v>
      </c>
      <c r="K532" t="s">
        <v>1448</v>
      </c>
      <c r="L532" t="s">
        <v>1461</v>
      </c>
      <c r="M532" t="s">
        <v>1462</v>
      </c>
      <c r="N532" t="s">
        <v>1468</v>
      </c>
    </row>
    <row r="533" spans="1:14" x14ac:dyDescent="0.25">
      <c r="A533" t="s">
        <v>545</v>
      </c>
      <c r="B533">
        <v>53</v>
      </c>
      <c r="C533">
        <v>1</v>
      </c>
      <c r="D533">
        <v>32000</v>
      </c>
      <c r="E533">
        <v>15</v>
      </c>
      <c r="F533">
        <v>1.6</v>
      </c>
      <c r="G533">
        <v>27200</v>
      </c>
      <c r="H533" t="s">
        <v>1758</v>
      </c>
      <c r="I533" t="s">
        <v>1245</v>
      </c>
      <c r="J533" t="s">
        <v>1442</v>
      </c>
      <c r="K533" t="s">
        <v>1447</v>
      </c>
      <c r="L533" t="s">
        <v>1457</v>
      </c>
      <c r="M533" t="s">
        <v>1463</v>
      </c>
      <c r="N533" t="s">
        <v>1465</v>
      </c>
    </row>
    <row r="534" spans="1:14" x14ac:dyDescent="0.25">
      <c r="A534" t="s">
        <v>546</v>
      </c>
      <c r="B534">
        <v>20</v>
      </c>
      <c r="C534">
        <v>4</v>
      </c>
      <c r="D534">
        <v>18000</v>
      </c>
      <c r="E534">
        <v>5</v>
      </c>
      <c r="F534">
        <v>2.2000000000000002</v>
      </c>
      <c r="G534">
        <v>68400</v>
      </c>
      <c r="H534" t="s">
        <v>1758</v>
      </c>
      <c r="I534" t="s">
        <v>1289</v>
      </c>
      <c r="J534" t="s">
        <v>1443</v>
      </c>
      <c r="K534" t="s">
        <v>1448</v>
      </c>
      <c r="L534" t="s">
        <v>1460</v>
      </c>
      <c r="M534" t="s">
        <v>1463</v>
      </c>
      <c r="N534" t="s">
        <v>1465</v>
      </c>
    </row>
    <row r="535" spans="1:14" x14ac:dyDescent="0.25">
      <c r="A535" t="s">
        <v>547</v>
      </c>
      <c r="B535">
        <v>53</v>
      </c>
      <c r="C535">
        <v>3</v>
      </c>
      <c r="D535">
        <v>25000</v>
      </c>
      <c r="E535">
        <v>0</v>
      </c>
      <c r="F535">
        <v>3.3</v>
      </c>
      <c r="G535">
        <v>75000</v>
      </c>
      <c r="H535" t="s">
        <v>1758</v>
      </c>
      <c r="I535" t="s">
        <v>1276</v>
      </c>
      <c r="J535" t="s">
        <v>1445</v>
      </c>
      <c r="K535" t="s">
        <v>1450</v>
      </c>
      <c r="L535" t="s">
        <v>1452</v>
      </c>
      <c r="M535" t="s">
        <v>1462</v>
      </c>
      <c r="N535" t="s">
        <v>1466</v>
      </c>
    </row>
    <row r="536" spans="1:14" x14ac:dyDescent="0.25">
      <c r="A536" t="s">
        <v>548</v>
      </c>
      <c r="B536">
        <v>49</v>
      </c>
      <c r="C536">
        <v>4</v>
      </c>
      <c r="D536">
        <v>22000</v>
      </c>
      <c r="E536">
        <v>0</v>
      </c>
      <c r="F536">
        <v>3.3</v>
      </c>
      <c r="G536">
        <v>88000</v>
      </c>
      <c r="H536" t="s">
        <v>1759</v>
      </c>
      <c r="I536" t="s">
        <v>1288</v>
      </c>
      <c r="J536" t="s">
        <v>1445</v>
      </c>
      <c r="K536" t="s">
        <v>1450</v>
      </c>
      <c r="L536" t="s">
        <v>1454</v>
      </c>
      <c r="M536" t="s">
        <v>1462</v>
      </c>
      <c r="N536" t="s">
        <v>1466</v>
      </c>
    </row>
    <row r="537" spans="1:14" x14ac:dyDescent="0.25">
      <c r="A537" t="s">
        <v>549</v>
      </c>
      <c r="B537">
        <v>32</v>
      </c>
      <c r="C537">
        <v>3</v>
      </c>
      <c r="D537">
        <v>30000</v>
      </c>
      <c r="E537">
        <v>5</v>
      </c>
      <c r="F537">
        <v>2.7</v>
      </c>
      <c r="G537">
        <v>85500</v>
      </c>
      <c r="H537" t="s">
        <v>1759</v>
      </c>
      <c r="I537" t="s">
        <v>1366</v>
      </c>
      <c r="J537" t="s">
        <v>1443</v>
      </c>
      <c r="K537" t="s">
        <v>1448</v>
      </c>
      <c r="L537" t="s">
        <v>1453</v>
      </c>
      <c r="M537" t="s">
        <v>1463</v>
      </c>
      <c r="N537" t="s">
        <v>1466</v>
      </c>
    </row>
    <row r="538" spans="1:14" x14ac:dyDescent="0.25">
      <c r="A538" t="s">
        <v>550</v>
      </c>
      <c r="B538">
        <v>48</v>
      </c>
      <c r="C538">
        <v>5</v>
      </c>
      <c r="D538">
        <v>22000</v>
      </c>
      <c r="E538">
        <v>20</v>
      </c>
      <c r="F538">
        <v>3.8</v>
      </c>
      <c r="G538">
        <v>88000</v>
      </c>
      <c r="H538" t="s">
        <v>1760</v>
      </c>
      <c r="I538" t="s">
        <v>1306</v>
      </c>
      <c r="J538" t="s">
        <v>1443</v>
      </c>
      <c r="K538" t="s">
        <v>1448</v>
      </c>
      <c r="L538" t="s">
        <v>1454</v>
      </c>
      <c r="M538" t="s">
        <v>1462</v>
      </c>
      <c r="N538" t="s">
        <v>1467</v>
      </c>
    </row>
    <row r="539" spans="1:14" x14ac:dyDescent="0.25">
      <c r="A539" t="s">
        <v>551</v>
      </c>
      <c r="B539">
        <v>30</v>
      </c>
      <c r="C539">
        <v>3</v>
      </c>
      <c r="D539">
        <v>20000</v>
      </c>
      <c r="E539">
        <v>15</v>
      </c>
      <c r="F539">
        <v>3.9</v>
      </c>
      <c r="G539">
        <v>51000</v>
      </c>
      <c r="H539" t="s">
        <v>1761</v>
      </c>
      <c r="I539" t="s">
        <v>1265</v>
      </c>
      <c r="J539" t="s">
        <v>1443</v>
      </c>
      <c r="K539" t="s">
        <v>1448</v>
      </c>
      <c r="L539" t="s">
        <v>1459</v>
      </c>
      <c r="M539" t="s">
        <v>1462</v>
      </c>
      <c r="N539" t="s">
        <v>1467</v>
      </c>
    </row>
    <row r="540" spans="1:14" x14ac:dyDescent="0.25">
      <c r="A540" t="s">
        <v>552</v>
      </c>
      <c r="B540">
        <v>33</v>
      </c>
      <c r="C540">
        <v>1</v>
      </c>
      <c r="D540">
        <v>30000</v>
      </c>
      <c r="E540">
        <v>0</v>
      </c>
      <c r="F540">
        <v>2.8</v>
      </c>
      <c r="G540">
        <v>30000</v>
      </c>
      <c r="H540" t="s">
        <v>1761</v>
      </c>
      <c r="I540" t="s">
        <v>1269</v>
      </c>
      <c r="J540" t="s">
        <v>1441</v>
      </c>
      <c r="K540" t="s">
        <v>1446</v>
      </c>
      <c r="L540" t="s">
        <v>1453</v>
      </c>
      <c r="M540" t="s">
        <v>1463</v>
      </c>
      <c r="N540" t="s">
        <v>1466</v>
      </c>
    </row>
    <row r="541" spans="1:14" x14ac:dyDescent="0.25">
      <c r="A541" t="s">
        <v>553</v>
      </c>
      <c r="B541">
        <v>41</v>
      </c>
      <c r="C541">
        <v>1</v>
      </c>
      <c r="D541">
        <v>25000</v>
      </c>
      <c r="E541">
        <v>15</v>
      </c>
      <c r="F541">
        <v>4.9000000000000004</v>
      </c>
      <c r="G541">
        <v>21250</v>
      </c>
      <c r="H541" t="s">
        <v>1762</v>
      </c>
      <c r="I541" t="s">
        <v>1318</v>
      </c>
      <c r="J541" t="s">
        <v>1443</v>
      </c>
      <c r="K541" t="s">
        <v>1448</v>
      </c>
      <c r="L541" t="s">
        <v>1452</v>
      </c>
      <c r="M541" t="s">
        <v>1462</v>
      </c>
      <c r="N541" t="s">
        <v>1467</v>
      </c>
    </row>
    <row r="542" spans="1:14" x14ac:dyDescent="0.25">
      <c r="A542" t="s">
        <v>554</v>
      </c>
      <c r="B542">
        <v>41</v>
      </c>
      <c r="C542">
        <v>1</v>
      </c>
      <c r="D542">
        <v>22000</v>
      </c>
      <c r="E542">
        <v>15</v>
      </c>
      <c r="F542">
        <v>4.5999999999999996</v>
      </c>
      <c r="G542">
        <v>18700</v>
      </c>
      <c r="H542" t="s">
        <v>1763</v>
      </c>
      <c r="I542" t="s">
        <v>1421</v>
      </c>
      <c r="J542" t="s">
        <v>1442</v>
      </c>
      <c r="K542" t="s">
        <v>1447</v>
      </c>
      <c r="L542" t="s">
        <v>1454</v>
      </c>
      <c r="M542" t="s">
        <v>1462</v>
      </c>
      <c r="N542" t="s">
        <v>1467</v>
      </c>
    </row>
    <row r="543" spans="1:14" x14ac:dyDescent="0.25">
      <c r="A543" t="s">
        <v>555</v>
      </c>
      <c r="B543">
        <v>44</v>
      </c>
      <c r="C543">
        <v>3</v>
      </c>
      <c r="D543">
        <v>18000</v>
      </c>
      <c r="E543">
        <v>0</v>
      </c>
      <c r="F543">
        <v>1.6</v>
      </c>
      <c r="G543">
        <v>54000</v>
      </c>
      <c r="H543" t="s">
        <v>1764</v>
      </c>
      <c r="I543" t="s">
        <v>1408</v>
      </c>
      <c r="J543" t="s">
        <v>1442</v>
      </c>
      <c r="K543" t="s">
        <v>1447</v>
      </c>
      <c r="L543" t="s">
        <v>1460</v>
      </c>
      <c r="M543" t="s">
        <v>1463</v>
      </c>
      <c r="N543" t="s">
        <v>1467</v>
      </c>
    </row>
    <row r="544" spans="1:14" x14ac:dyDescent="0.25">
      <c r="A544" t="s">
        <v>556</v>
      </c>
      <c r="B544">
        <v>44</v>
      </c>
      <c r="C544">
        <v>3</v>
      </c>
      <c r="D544">
        <v>23000</v>
      </c>
      <c r="E544">
        <v>0</v>
      </c>
      <c r="F544">
        <v>1.5</v>
      </c>
      <c r="G544">
        <v>69000</v>
      </c>
      <c r="H544" t="s">
        <v>1765</v>
      </c>
      <c r="I544" t="s">
        <v>1408</v>
      </c>
      <c r="J544" t="s">
        <v>1443</v>
      </c>
      <c r="K544" t="s">
        <v>1448</v>
      </c>
      <c r="L544" t="s">
        <v>1456</v>
      </c>
      <c r="M544" t="s">
        <v>1463</v>
      </c>
      <c r="N544" t="s">
        <v>1465</v>
      </c>
    </row>
    <row r="545" spans="1:14" x14ac:dyDescent="0.25">
      <c r="A545" t="s">
        <v>557</v>
      </c>
      <c r="B545">
        <v>43</v>
      </c>
      <c r="C545">
        <v>4</v>
      </c>
      <c r="D545">
        <v>18000</v>
      </c>
      <c r="E545">
        <v>0</v>
      </c>
      <c r="F545">
        <v>4.2</v>
      </c>
      <c r="G545">
        <v>72000</v>
      </c>
      <c r="H545" t="s">
        <v>1765</v>
      </c>
      <c r="I545" t="s">
        <v>1278</v>
      </c>
      <c r="J545" t="s">
        <v>1442</v>
      </c>
      <c r="K545" t="s">
        <v>1447</v>
      </c>
      <c r="L545" t="s">
        <v>1461</v>
      </c>
      <c r="M545" t="s">
        <v>1462</v>
      </c>
      <c r="N545" t="s">
        <v>1467</v>
      </c>
    </row>
    <row r="546" spans="1:14" x14ac:dyDescent="0.25">
      <c r="A546" t="s">
        <v>558</v>
      </c>
      <c r="B546">
        <v>30</v>
      </c>
      <c r="C546">
        <v>5</v>
      </c>
      <c r="D546">
        <v>18000</v>
      </c>
      <c r="E546">
        <v>20</v>
      </c>
      <c r="F546">
        <v>2.4</v>
      </c>
      <c r="G546">
        <v>72000</v>
      </c>
      <c r="H546" t="s">
        <v>1766</v>
      </c>
      <c r="I546" t="s">
        <v>1246</v>
      </c>
      <c r="J546" t="s">
        <v>1445</v>
      </c>
      <c r="K546" t="s">
        <v>1450</v>
      </c>
      <c r="L546" t="s">
        <v>1460</v>
      </c>
      <c r="M546" t="s">
        <v>1463</v>
      </c>
      <c r="N546" t="s">
        <v>1465</v>
      </c>
    </row>
    <row r="547" spans="1:14" x14ac:dyDescent="0.25">
      <c r="A547" t="s">
        <v>559</v>
      </c>
      <c r="B547">
        <v>27</v>
      </c>
      <c r="C547">
        <v>4</v>
      </c>
      <c r="D547">
        <v>28000</v>
      </c>
      <c r="E547">
        <v>0</v>
      </c>
      <c r="F547">
        <v>1</v>
      </c>
      <c r="G547">
        <v>112000</v>
      </c>
      <c r="H547" t="s">
        <v>1767</v>
      </c>
      <c r="I547" t="s">
        <v>1422</v>
      </c>
      <c r="J547" t="s">
        <v>1441</v>
      </c>
      <c r="K547" t="s">
        <v>1446</v>
      </c>
      <c r="L547" t="s">
        <v>1455</v>
      </c>
      <c r="M547" t="s">
        <v>1464</v>
      </c>
      <c r="N547" t="s">
        <v>1467</v>
      </c>
    </row>
    <row r="548" spans="1:14" x14ac:dyDescent="0.25">
      <c r="A548" t="s">
        <v>560</v>
      </c>
      <c r="B548">
        <v>41</v>
      </c>
      <c r="C548">
        <v>3</v>
      </c>
      <c r="D548">
        <v>28000</v>
      </c>
      <c r="E548">
        <v>20</v>
      </c>
      <c r="F548">
        <v>2.5</v>
      </c>
      <c r="G548">
        <v>67200</v>
      </c>
      <c r="H548" t="s">
        <v>1768</v>
      </c>
      <c r="I548" t="s">
        <v>1244</v>
      </c>
      <c r="J548" t="s">
        <v>1442</v>
      </c>
      <c r="K548" t="s">
        <v>1447</v>
      </c>
      <c r="L548" t="s">
        <v>1455</v>
      </c>
      <c r="M548" t="s">
        <v>1464</v>
      </c>
      <c r="N548" t="s">
        <v>1466</v>
      </c>
    </row>
    <row r="549" spans="1:14" x14ac:dyDescent="0.25">
      <c r="A549" t="s">
        <v>561</v>
      </c>
      <c r="B549">
        <v>42</v>
      </c>
      <c r="C549">
        <v>1</v>
      </c>
      <c r="D549">
        <v>32000</v>
      </c>
      <c r="E549">
        <v>15</v>
      </c>
      <c r="F549">
        <v>2.4</v>
      </c>
      <c r="G549">
        <v>27200</v>
      </c>
      <c r="H549" t="s">
        <v>1768</v>
      </c>
      <c r="I549" t="s">
        <v>1359</v>
      </c>
      <c r="J549" t="s">
        <v>1441</v>
      </c>
      <c r="K549" t="s">
        <v>1446</v>
      </c>
      <c r="L549" t="s">
        <v>1457</v>
      </c>
      <c r="M549" t="s">
        <v>1463</v>
      </c>
      <c r="N549" t="s">
        <v>1466</v>
      </c>
    </row>
    <row r="550" spans="1:14" x14ac:dyDescent="0.25">
      <c r="A550" t="s">
        <v>562</v>
      </c>
      <c r="B550">
        <v>44</v>
      </c>
      <c r="C550">
        <v>2</v>
      </c>
      <c r="D550">
        <v>18000</v>
      </c>
      <c r="E550">
        <v>5</v>
      </c>
      <c r="F550">
        <v>2.4</v>
      </c>
      <c r="G550">
        <v>34200</v>
      </c>
      <c r="H550" t="s">
        <v>1768</v>
      </c>
      <c r="I550" t="s">
        <v>1379</v>
      </c>
      <c r="J550" t="s">
        <v>1442</v>
      </c>
      <c r="K550" t="s">
        <v>1447</v>
      </c>
      <c r="L550" t="s">
        <v>1460</v>
      </c>
      <c r="M550" t="s">
        <v>1463</v>
      </c>
      <c r="N550" t="s">
        <v>1467</v>
      </c>
    </row>
    <row r="551" spans="1:14" x14ac:dyDescent="0.25">
      <c r="A551" t="s">
        <v>563</v>
      </c>
      <c r="B551">
        <v>44</v>
      </c>
      <c r="C551">
        <v>3</v>
      </c>
      <c r="D551">
        <v>23000</v>
      </c>
      <c r="E551">
        <v>0</v>
      </c>
      <c r="F551">
        <v>3.7</v>
      </c>
      <c r="G551">
        <v>69000</v>
      </c>
      <c r="H551" t="s">
        <v>1769</v>
      </c>
      <c r="I551" t="s">
        <v>1408</v>
      </c>
      <c r="J551" t="s">
        <v>1443</v>
      </c>
      <c r="K551" t="s">
        <v>1448</v>
      </c>
      <c r="L551" t="s">
        <v>1456</v>
      </c>
      <c r="M551" t="s">
        <v>1463</v>
      </c>
      <c r="N551" t="s">
        <v>1468</v>
      </c>
    </row>
    <row r="552" spans="1:14" x14ac:dyDescent="0.25">
      <c r="A552" t="s">
        <v>564</v>
      </c>
      <c r="B552">
        <v>49</v>
      </c>
      <c r="C552">
        <v>4</v>
      </c>
      <c r="D552">
        <v>22000</v>
      </c>
      <c r="E552">
        <v>15</v>
      </c>
      <c r="F552">
        <v>3.3</v>
      </c>
      <c r="G552">
        <v>74800</v>
      </c>
      <c r="H552" t="s">
        <v>1770</v>
      </c>
      <c r="I552" t="s">
        <v>1330</v>
      </c>
      <c r="J552" t="s">
        <v>1445</v>
      </c>
      <c r="K552" t="s">
        <v>1450</v>
      </c>
      <c r="L552" t="s">
        <v>1454</v>
      </c>
      <c r="M552" t="s">
        <v>1462</v>
      </c>
      <c r="N552" t="s">
        <v>1465</v>
      </c>
    </row>
    <row r="553" spans="1:14" x14ac:dyDescent="0.25">
      <c r="A553" t="s">
        <v>565</v>
      </c>
      <c r="B553">
        <v>27</v>
      </c>
      <c r="C553">
        <v>5</v>
      </c>
      <c r="D553">
        <v>18000</v>
      </c>
      <c r="E553">
        <v>0</v>
      </c>
      <c r="F553">
        <v>2</v>
      </c>
      <c r="G553">
        <v>90000</v>
      </c>
      <c r="H553" t="s">
        <v>1771</v>
      </c>
      <c r="I553" t="s">
        <v>1241</v>
      </c>
      <c r="J553" t="s">
        <v>1443</v>
      </c>
      <c r="K553" t="s">
        <v>1448</v>
      </c>
      <c r="L553" t="s">
        <v>1460</v>
      </c>
      <c r="M553" t="s">
        <v>1463</v>
      </c>
      <c r="N553" t="s">
        <v>1465</v>
      </c>
    </row>
    <row r="554" spans="1:14" x14ac:dyDescent="0.25">
      <c r="A554" t="s">
        <v>566</v>
      </c>
      <c r="B554">
        <v>32</v>
      </c>
      <c r="C554">
        <v>3</v>
      </c>
      <c r="D554">
        <v>28000</v>
      </c>
      <c r="E554">
        <v>20</v>
      </c>
      <c r="F554">
        <v>1.7</v>
      </c>
      <c r="G554">
        <v>67200</v>
      </c>
      <c r="H554" t="s">
        <v>1772</v>
      </c>
      <c r="I554" t="s">
        <v>1366</v>
      </c>
      <c r="J554" t="s">
        <v>1444</v>
      </c>
      <c r="K554" t="s">
        <v>1449</v>
      </c>
      <c r="L554" t="s">
        <v>1455</v>
      </c>
      <c r="M554" t="s">
        <v>1464</v>
      </c>
      <c r="N554" t="s">
        <v>1465</v>
      </c>
    </row>
    <row r="555" spans="1:14" x14ac:dyDescent="0.25">
      <c r="A555" t="s">
        <v>567</v>
      </c>
      <c r="B555">
        <v>35</v>
      </c>
      <c r="C555">
        <v>5</v>
      </c>
      <c r="D555">
        <v>22000</v>
      </c>
      <c r="E555">
        <v>10</v>
      </c>
      <c r="F555">
        <v>4.7</v>
      </c>
      <c r="G555">
        <v>99000</v>
      </c>
      <c r="H555" t="s">
        <v>1772</v>
      </c>
      <c r="I555" t="s">
        <v>1423</v>
      </c>
      <c r="J555" t="s">
        <v>1443</v>
      </c>
      <c r="K555" t="s">
        <v>1448</v>
      </c>
      <c r="L555" t="s">
        <v>1454</v>
      </c>
      <c r="M555" t="s">
        <v>1462</v>
      </c>
      <c r="N555" t="s">
        <v>1465</v>
      </c>
    </row>
    <row r="556" spans="1:14" x14ac:dyDescent="0.25">
      <c r="A556" t="s">
        <v>568</v>
      </c>
      <c r="B556">
        <v>18</v>
      </c>
      <c r="C556">
        <v>2</v>
      </c>
      <c r="D556">
        <v>32000</v>
      </c>
      <c r="E556">
        <v>10</v>
      </c>
      <c r="F556">
        <v>3.5</v>
      </c>
      <c r="G556">
        <v>57600</v>
      </c>
      <c r="H556" t="s">
        <v>1773</v>
      </c>
      <c r="I556" t="s">
        <v>1344</v>
      </c>
      <c r="J556" t="s">
        <v>1443</v>
      </c>
      <c r="K556" t="s">
        <v>1448</v>
      </c>
      <c r="L556" t="s">
        <v>1457</v>
      </c>
      <c r="M556" t="s">
        <v>1463</v>
      </c>
      <c r="N556" t="s">
        <v>1468</v>
      </c>
    </row>
    <row r="557" spans="1:14" x14ac:dyDescent="0.25">
      <c r="A557" t="s">
        <v>569</v>
      </c>
      <c r="B557">
        <v>38</v>
      </c>
      <c r="C557">
        <v>5</v>
      </c>
      <c r="D557">
        <v>27000</v>
      </c>
      <c r="E557">
        <v>20</v>
      </c>
      <c r="F557">
        <v>1.4</v>
      </c>
      <c r="G557">
        <v>108000</v>
      </c>
      <c r="H557" t="s">
        <v>1773</v>
      </c>
      <c r="I557" t="s">
        <v>1405</v>
      </c>
      <c r="J557" t="s">
        <v>1442</v>
      </c>
      <c r="K557" t="s">
        <v>1447</v>
      </c>
      <c r="L557" t="s">
        <v>1458</v>
      </c>
      <c r="M557" t="s">
        <v>1464</v>
      </c>
      <c r="N557" t="s">
        <v>1467</v>
      </c>
    </row>
    <row r="558" spans="1:14" x14ac:dyDescent="0.25">
      <c r="A558" t="s">
        <v>570</v>
      </c>
      <c r="B558">
        <v>17</v>
      </c>
      <c r="C558">
        <v>2</v>
      </c>
      <c r="D558">
        <v>27000</v>
      </c>
      <c r="E558">
        <v>15</v>
      </c>
      <c r="F558">
        <v>1.6</v>
      </c>
      <c r="G558">
        <v>45900</v>
      </c>
      <c r="H558" t="s">
        <v>1774</v>
      </c>
      <c r="I558" t="s">
        <v>1327</v>
      </c>
      <c r="J558" t="s">
        <v>1442</v>
      </c>
      <c r="K558" t="s">
        <v>1447</v>
      </c>
      <c r="L558" t="s">
        <v>1458</v>
      </c>
      <c r="M558" t="s">
        <v>1464</v>
      </c>
      <c r="N558" t="s">
        <v>1465</v>
      </c>
    </row>
    <row r="559" spans="1:14" x14ac:dyDescent="0.25">
      <c r="A559" t="s">
        <v>571</v>
      </c>
      <c r="B559">
        <v>54</v>
      </c>
      <c r="C559">
        <v>1</v>
      </c>
      <c r="D559">
        <v>23000</v>
      </c>
      <c r="E559">
        <v>10</v>
      </c>
      <c r="F559">
        <v>3.2</v>
      </c>
      <c r="G559">
        <v>20700</v>
      </c>
      <c r="H559" t="s">
        <v>1774</v>
      </c>
      <c r="I559" t="s">
        <v>1312</v>
      </c>
      <c r="J559" t="s">
        <v>1445</v>
      </c>
      <c r="K559" t="s">
        <v>1450</v>
      </c>
      <c r="L559" t="s">
        <v>1456</v>
      </c>
      <c r="M559" t="s">
        <v>1463</v>
      </c>
      <c r="N559" t="s">
        <v>1466</v>
      </c>
    </row>
    <row r="560" spans="1:14" x14ac:dyDescent="0.25">
      <c r="A560" t="s">
        <v>572</v>
      </c>
      <c r="B560">
        <v>31</v>
      </c>
      <c r="C560">
        <v>4</v>
      </c>
      <c r="D560">
        <v>20000</v>
      </c>
      <c r="E560">
        <v>0</v>
      </c>
      <c r="F560">
        <v>4.3</v>
      </c>
      <c r="G560">
        <v>80000</v>
      </c>
      <c r="H560" t="s">
        <v>1774</v>
      </c>
      <c r="I560" t="s">
        <v>1263</v>
      </c>
      <c r="J560" t="s">
        <v>1444</v>
      </c>
      <c r="K560" t="s">
        <v>1449</v>
      </c>
      <c r="L560" t="s">
        <v>1459</v>
      </c>
      <c r="M560" t="s">
        <v>1462</v>
      </c>
      <c r="N560" t="s">
        <v>1465</v>
      </c>
    </row>
    <row r="561" spans="1:14" x14ac:dyDescent="0.25">
      <c r="A561" t="s">
        <v>573</v>
      </c>
      <c r="B561">
        <v>25</v>
      </c>
      <c r="C561">
        <v>5</v>
      </c>
      <c r="D561">
        <v>18000</v>
      </c>
      <c r="E561">
        <v>0</v>
      </c>
      <c r="F561">
        <v>3.9</v>
      </c>
      <c r="G561">
        <v>90000</v>
      </c>
      <c r="H561" t="s">
        <v>1775</v>
      </c>
      <c r="I561" t="s">
        <v>1339</v>
      </c>
      <c r="J561" t="s">
        <v>1444</v>
      </c>
      <c r="K561" t="s">
        <v>1449</v>
      </c>
      <c r="L561" t="s">
        <v>1460</v>
      </c>
      <c r="M561" t="s">
        <v>1463</v>
      </c>
      <c r="N561" t="s">
        <v>1466</v>
      </c>
    </row>
    <row r="562" spans="1:14" x14ac:dyDescent="0.25">
      <c r="A562" t="s">
        <v>574</v>
      </c>
      <c r="B562">
        <v>48</v>
      </c>
      <c r="C562">
        <v>3</v>
      </c>
      <c r="D562">
        <v>28000</v>
      </c>
      <c r="E562">
        <v>5</v>
      </c>
      <c r="F562">
        <v>3.8</v>
      </c>
      <c r="G562">
        <v>79800</v>
      </c>
      <c r="H562" t="s">
        <v>1775</v>
      </c>
      <c r="I562" t="s">
        <v>1306</v>
      </c>
      <c r="J562" t="s">
        <v>1442</v>
      </c>
      <c r="K562" t="s">
        <v>1447</v>
      </c>
      <c r="L562" t="s">
        <v>1455</v>
      </c>
      <c r="M562" t="s">
        <v>1464</v>
      </c>
      <c r="N562" t="s">
        <v>1465</v>
      </c>
    </row>
    <row r="563" spans="1:14" x14ac:dyDescent="0.25">
      <c r="A563" t="s">
        <v>575</v>
      </c>
      <c r="B563">
        <v>25</v>
      </c>
      <c r="C563">
        <v>3</v>
      </c>
      <c r="D563">
        <v>32000</v>
      </c>
      <c r="E563">
        <v>10</v>
      </c>
      <c r="F563">
        <v>1.3</v>
      </c>
      <c r="G563">
        <v>86400</v>
      </c>
      <c r="H563" t="s">
        <v>1776</v>
      </c>
      <c r="I563" t="s">
        <v>1411</v>
      </c>
      <c r="J563" t="s">
        <v>1441</v>
      </c>
      <c r="K563" t="s">
        <v>1446</v>
      </c>
      <c r="L563" t="s">
        <v>1457</v>
      </c>
      <c r="M563" t="s">
        <v>1463</v>
      </c>
      <c r="N563" t="s">
        <v>1466</v>
      </c>
    </row>
    <row r="564" spans="1:14" x14ac:dyDescent="0.25">
      <c r="A564" t="s">
        <v>576</v>
      </c>
      <c r="B564">
        <v>49</v>
      </c>
      <c r="C564">
        <v>4</v>
      </c>
      <c r="D564">
        <v>28000</v>
      </c>
      <c r="E564">
        <v>5</v>
      </c>
      <c r="F564">
        <v>4.3</v>
      </c>
      <c r="G564">
        <v>106400</v>
      </c>
      <c r="H564" t="s">
        <v>1776</v>
      </c>
      <c r="I564" t="s">
        <v>1338</v>
      </c>
      <c r="J564" t="s">
        <v>1443</v>
      </c>
      <c r="K564" t="s">
        <v>1448</v>
      </c>
      <c r="L564" t="s">
        <v>1455</v>
      </c>
      <c r="M564" t="s">
        <v>1464</v>
      </c>
      <c r="N564" t="s">
        <v>1465</v>
      </c>
    </row>
    <row r="565" spans="1:14" x14ac:dyDescent="0.25">
      <c r="A565" t="s">
        <v>577</v>
      </c>
      <c r="B565">
        <v>27</v>
      </c>
      <c r="C565">
        <v>2</v>
      </c>
      <c r="D565">
        <v>28000</v>
      </c>
      <c r="E565">
        <v>10</v>
      </c>
      <c r="F565">
        <v>2.4</v>
      </c>
      <c r="G565">
        <v>50400</v>
      </c>
      <c r="H565" t="s">
        <v>1776</v>
      </c>
      <c r="I565" t="s">
        <v>1388</v>
      </c>
      <c r="J565" t="s">
        <v>1444</v>
      </c>
      <c r="K565" t="s">
        <v>1449</v>
      </c>
      <c r="L565" t="s">
        <v>1455</v>
      </c>
      <c r="M565" t="s">
        <v>1464</v>
      </c>
      <c r="N565" t="s">
        <v>1466</v>
      </c>
    </row>
    <row r="566" spans="1:14" x14ac:dyDescent="0.25">
      <c r="A566" t="s">
        <v>578</v>
      </c>
      <c r="B566">
        <v>48</v>
      </c>
      <c r="C566">
        <v>4</v>
      </c>
      <c r="D566">
        <v>27000</v>
      </c>
      <c r="E566">
        <v>0</v>
      </c>
      <c r="F566">
        <v>3.7</v>
      </c>
      <c r="G566">
        <v>108000</v>
      </c>
      <c r="H566" t="s">
        <v>1777</v>
      </c>
      <c r="I566" t="s">
        <v>1306</v>
      </c>
      <c r="J566" t="s">
        <v>1444</v>
      </c>
      <c r="K566" t="s">
        <v>1449</v>
      </c>
      <c r="L566" t="s">
        <v>1458</v>
      </c>
      <c r="M566" t="s">
        <v>1464</v>
      </c>
      <c r="N566" t="s">
        <v>1468</v>
      </c>
    </row>
    <row r="567" spans="1:14" x14ac:dyDescent="0.25">
      <c r="A567" t="s">
        <v>579</v>
      </c>
      <c r="B567">
        <v>42</v>
      </c>
      <c r="C567">
        <v>1</v>
      </c>
      <c r="D567">
        <v>22000</v>
      </c>
      <c r="E567">
        <v>5</v>
      </c>
      <c r="F567">
        <v>4.9000000000000004</v>
      </c>
      <c r="G567">
        <v>20900</v>
      </c>
      <c r="H567" t="s">
        <v>1777</v>
      </c>
      <c r="I567" t="s">
        <v>1391</v>
      </c>
      <c r="J567" t="s">
        <v>1443</v>
      </c>
      <c r="K567" t="s">
        <v>1448</v>
      </c>
      <c r="L567" t="s">
        <v>1454</v>
      </c>
      <c r="M567" t="s">
        <v>1462</v>
      </c>
      <c r="N567" t="s">
        <v>1465</v>
      </c>
    </row>
    <row r="568" spans="1:14" x14ac:dyDescent="0.25">
      <c r="A568" t="s">
        <v>580</v>
      </c>
      <c r="B568">
        <v>25</v>
      </c>
      <c r="C568">
        <v>4</v>
      </c>
      <c r="D568">
        <v>23000</v>
      </c>
      <c r="E568">
        <v>0</v>
      </c>
      <c r="F568">
        <v>2.1</v>
      </c>
      <c r="G568">
        <v>92000</v>
      </c>
      <c r="H568" t="s">
        <v>1778</v>
      </c>
      <c r="I568" t="s">
        <v>1334</v>
      </c>
      <c r="J568" t="s">
        <v>1441</v>
      </c>
      <c r="K568" t="s">
        <v>1446</v>
      </c>
      <c r="L568" t="s">
        <v>1456</v>
      </c>
      <c r="M568" t="s">
        <v>1463</v>
      </c>
      <c r="N568" t="s">
        <v>1466</v>
      </c>
    </row>
    <row r="569" spans="1:14" x14ac:dyDescent="0.25">
      <c r="A569" t="s">
        <v>581</v>
      </c>
      <c r="B569">
        <v>19</v>
      </c>
      <c r="C569">
        <v>3</v>
      </c>
      <c r="D569">
        <v>18000</v>
      </c>
      <c r="E569">
        <v>10</v>
      </c>
      <c r="F569">
        <v>4.9000000000000004</v>
      </c>
      <c r="G569">
        <v>48600</v>
      </c>
      <c r="H569" t="s">
        <v>1778</v>
      </c>
      <c r="I569" t="s">
        <v>1416</v>
      </c>
      <c r="J569" t="s">
        <v>1442</v>
      </c>
      <c r="K569" t="s">
        <v>1447</v>
      </c>
      <c r="L569" t="s">
        <v>1461</v>
      </c>
      <c r="M569" t="s">
        <v>1462</v>
      </c>
      <c r="N569" t="s">
        <v>1466</v>
      </c>
    </row>
    <row r="570" spans="1:14" x14ac:dyDescent="0.25">
      <c r="A570" t="s">
        <v>582</v>
      </c>
      <c r="B570">
        <v>19</v>
      </c>
      <c r="C570">
        <v>5</v>
      </c>
      <c r="D570">
        <v>32000</v>
      </c>
      <c r="E570">
        <v>0</v>
      </c>
      <c r="F570">
        <v>4.5</v>
      </c>
      <c r="G570">
        <v>160000</v>
      </c>
      <c r="H570" t="s">
        <v>1779</v>
      </c>
      <c r="I570" t="s">
        <v>1317</v>
      </c>
      <c r="J570" t="s">
        <v>1441</v>
      </c>
      <c r="K570" t="s">
        <v>1446</v>
      </c>
      <c r="L570" t="s">
        <v>1457</v>
      </c>
      <c r="M570" t="s">
        <v>1463</v>
      </c>
      <c r="N570" t="s">
        <v>1467</v>
      </c>
    </row>
    <row r="571" spans="1:14" x14ac:dyDescent="0.25">
      <c r="A571" t="s">
        <v>583</v>
      </c>
      <c r="B571">
        <v>39</v>
      </c>
      <c r="C571">
        <v>4</v>
      </c>
      <c r="D571">
        <v>28000</v>
      </c>
      <c r="E571">
        <v>0</v>
      </c>
      <c r="F571">
        <v>4.0999999999999996</v>
      </c>
      <c r="G571">
        <v>112000</v>
      </c>
      <c r="H571" t="s">
        <v>1780</v>
      </c>
      <c r="I571" t="s">
        <v>1424</v>
      </c>
      <c r="J571" t="s">
        <v>1442</v>
      </c>
      <c r="K571" t="s">
        <v>1447</v>
      </c>
      <c r="L571" t="s">
        <v>1455</v>
      </c>
      <c r="M571" t="s">
        <v>1464</v>
      </c>
      <c r="N571" t="s">
        <v>1467</v>
      </c>
    </row>
    <row r="572" spans="1:14" x14ac:dyDescent="0.25">
      <c r="A572" t="s">
        <v>584</v>
      </c>
      <c r="B572">
        <v>51</v>
      </c>
      <c r="C572">
        <v>2</v>
      </c>
      <c r="D572">
        <v>23000</v>
      </c>
      <c r="E572">
        <v>20</v>
      </c>
      <c r="F572">
        <v>1.4</v>
      </c>
      <c r="G572">
        <v>36800</v>
      </c>
      <c r="H572" t="s">
        <v>1780</v>
      </c>
      <c r="I572" t="s">
        <v>1322</v>
      </c>
      <c r="J572" t="s">
        <v>1443</v>
      </c>
      <c r="K572" t="s">
        <v>1448</v>
      </c>
      <c r="L572" t="s">
        <v>1456</v>
      </c>
      <c r="M572" t="s">
        <v>1463</v>
      </c>
      <c r="N572" t="s">
        <v>1465</v>
      </c>
    </row>
    <row r="573" spans="1:14" x14ac:dyDescent="0.25">
      <c r="A573" t="s">
        <v>585</v>
      </c>
      <c r="B573">
        <v>34</v>
      </c>
      <c r="C573">
        <v>1</v>
      </c>
      <c r="D573">
        <v>18000</v>
      </c>
      <c r="E573">
        <v>15</v>
      </c>
      <c r="F573">
        <v>1</v>
      </c>
      <c r="G573">
        <v>15300</v>
      </c>
      <c r="H573" t="s">
        <v>1780</v>
      </c>
      <c r="I573" t="s">
        <v>1361</v>
      </c>
      <c r="J573" t="s">
        <v>1444</v>
      </c>
      <c r="K573" t="s">
        <v>1449</v>
      </c>
      <c r="L573" t="s">
        <v>1461</v>
      </c>
      <c r="M573" t="s">
        <v>1462</v>
      </c>
      <c r="N573" t="s">
        <v>1468</v>
      </c>
    </row>
    <row r="574" spans="1:14" x14ac:dyDescent="0.25">
      <c r="A574" t="s">
        <v>586</v>
      </c>
      <c r="B574">
        <v>19</v>
      </c>
      <c r="C574">
        <v>3</v>
      </c>
      <c r="D574">
        <v>28000</v>
      </c>
      <c r="E574">
        <v>20</v>
      </c>
      <c r="F574">
        <v>1.5</v>
      </c>
      <c r="G574">
        <v>67200</v>
      </c>
      <c r="H574" t="s">
        <v>1781</v>
      </c>
      <c r="I574" t="s">
        <v>1400</v>
      </c>
      <c r="J574" t="s">
        <v>1445</v>
      </c>
      <c r="K574" t="s">
        <v>1450</v>
      </c>
      <c r="L574" t="s">
        <v>1455</v>
      </c>
      <c r="M574" t="s">
        <v>1464</v>
      </c>
      <c r="N574" t="s">
        <v>1467</v>
      </c>
    </row>
    <row r="575" spans="1:14" x14ac:dyDescent="0.25">
      <c r="A575" t="s">
        <v>587</v>
      </c>
      <c r="B575">
        <v>30</v>
      </c>
      <c r="C575">
        <v>5</v>
      </c>
      <c r="D575">
        <v>32000</v>
      </c>
      <c r="E575">
        <v>20</v>
      </c>
      <c r="F575">
        <v>4.5</v>
      </c>
      <c r="G575">
        <v>128000</v>
      </c>
      <c r="H575" t="s">
        <v>1781</v>
      </c>
      <c r="I575" t="s">
        <v>1425</v>
      </c>
      <c r="J575" t="s">
        <v>1444</v>
      </c>
      <c r="K575" t="s">
        <v>1449</v>
      </c>
      <c r="L575" t="s">
        <v>1457</v>
      </c>
      <c r="M575" t="s">
        <v>1463</v>
      </c>
      <c r="N575" t="s">
        <v>1465</v>
      </c>
    </row>
    <row r="576" spans="1:14" x14ac:dyDescent="0.25">
      <c r="A576" t="s">
        <v>588</v>
      </c>
      <c r="B576">
        <v>40</v>
      </c>
      <c r="C576">
        <v>3</v>
      </c>
      <c r="D576">
        <v>20000</v>
      </c>
      <c r="E576">
        <v>0</v>
      </c>
      <c r="F576">
        <v>2.8</v>
      </c>
      <c r="G576">
        <v>60000</v>
      </c>
      <c r="H576" t="s">
        <v>1782</v>
      </c>
      <c r="I576" t="s">
        <v>1395</v>
      </c>
      <c r="J576" t="s">
        <v>1441</v>
      </c>
      <c r="K576" t="s">
        <v>1446</v>
      </c>
      <c r="L576" t="s">
        <v>1459</v>
      </c>
      <c r="M576" t="s">
        <v>1462</v>
      </c>
      <c r="N576" t="s">
        <v>1466</v>
      </c>
    </row>
    <row r="577" spans="1:14" x14ac:dyDescent="0.25">
      <c r="A577" t="s">
        <v>589</v>
      </c>
      <c r="B577">
        <v>43</v>
      </c>
      <c r="C577">
        <v>3</v>
      </c>
      <c r="D577">
        <v>32000</v>
      </c>
      <c r="E577">
        <v>5</v>
      </c>
      <c r="F577">
        <v>4.4000000000000004</v>
      </c>
      <c r="G577">
        <v>91200</v>
      </c>
      <c r="H577" t="s">
        <v>1783</v>
      </c>
      <c r="I577" t="s">
        <v>1390</v>
      </c>
      <c r="J577" t="s">
        <v>1441</v>
      </c>
      <c r="K577" t="s">
        <v>1446</v>
      </c>
      <c r="L577" t="s">
        <v>1457</v>
      </c>
      <c r="M577" t="s">
        <v>1463</v>
      </c>
      <c r="N577" t="s">
        <v>1468</v>
      </c>
    </row>
    <row r="578" spans="1:14" x14ac:dyDescent="0.25">
      <c r="A578" t="s">
        <v>590</v>
      </c>
      <c r="B578">
        <v>21</v>
      </c>
      <c r="C578">
        <v>5</v>
      </c>
      <c r="D578">
        <v>32000</v>
      </c>
      <c r="E578">
        <v>20</v>
      </c>
      <c r="F578">
        <v>2.8</v>
      </c>
      <c r="G578">
        <v>128000</v>
      </c>
      <c r="H578" t="s">
        <v>1784</v>
      </c>
      <c r="I578" t="s">
        <v>1329</v>
      </c>
      <c r="J578" t="s">
        <v>1442</v>
      </c>
      <c r="K578" t="s">
        <v>1447</v>
      </c>
      <c r="L578" t="s">
        <v>1457</v>
      </c>
      <c r="M578" t="s">
        <v>1463</v>
      </c>
      <c r="N578" t="s">
        <v>1465</v>
      </c>
    </row>
    <row r="579" spans="1:14" x14ac:dyDescent="0.25">
      <c r="A579" t="s">
        <v>591</v>
      </c>
      <c r="B579">
        <v>51</v>
      </c>
      <c r="C579">
        <v>4</v>
      </c>
      <c r="D579">
        <v>30000</v>
      </c>
      <c r="E579">
        <v>20</v>
      </c>
      <c r="F579">
        <v>3</v>
      </c>
      <c r="G579">
        <v>96000</v>
      </c>
      <c r="H579" t="s">
        <v>1784</v>
      </c>
      <c r="I579" t="s">
        <v>1254</v>
      </c>
      <c r="J579" t="s">
        <v>1443</v>
      </c>
      <c r="K579" t="s">
        <v>1448</v>
      </c>
      <c r="L579" t="s">
        <v>1453</v>
      </c>
      <c r="M579" t="s">
        <v>1463</v>
      </c>
      <c r="N579" t="s">
        <v>1468</v>
      </c>
    </row>
    <row r="580" spans="1:14" x14ac:dyDescent="0.25">
      <c r="A580" t="s">
        <v>592</v>
      </c>
      <c r="B580">
        <v>18</v>
      </c>
      <c r="C580">
        <v>5</v>
      </c>
      <c r="D580">
        <v>18000</v>
      </c>
      <c r="E580">
        <v>0</v>
      </c>
      <c r="F580">
        <v>3.5</v>
      </c>
      <c r="G580">
        <v>90000</v>
      </c>
      <c r="H580" t="s">
        <v>1784</v>
      </c>
      <c r="I580" t="s">
        <v>1332</v>
      </c>
      <c r="J580" t="s">
        <v>1443</v>
      </c>
      <c r="K580" t="s">
        <v>1448</v>
      </c>
      <c r="L580" t="s">
        <v>1460</v>
      </c>
      <c r="M580" t="s">
        <v>1463</v>
      </c>
      <c r="N580" t="s">
        <v>1467</v>
      </c>
    </row>
    <row r="581" spans="1:14" x14ac:dyDescent="0.25">
      <c r="A581" t="s">
        <v>593</v>
      </c>
      <c r="B581">
        <v>39</v>
      </c>
      <c r="C581">
        <v>3</v>
      </c>
      <c r="D581">
        <v>18000</v>
      </c>
      <c r="E581">
        <v>0</v>
      </c>
      <c r="F581">
        <v>2.4</v>
      </c>
      <c r="G581">
        <v>54000</v>
      </c>
      <c r="H581" t="s">
        <v>1785</v>
      </c>
      <c r="I581" t="s">
        <v>1424</v>
      </c>
      <c r="J581" t="s">
        <v>1443</v>
      </c>
      <c r="K581" t="s">
        <v>1448</v>
      </c>
      <c r="L581" t="s">
        <v>1460</v>
      </c>
      <c r="M581" t="s">
        <v>1463</v>
      </c>
      <c r="N581" t="s">
        <v>1467</v>
      </c>
    </row>
    <row r="582" spans="1:14" x14ac:dyDescent="0.25">
      <c r="A582" t="s">
        <v>594</v>
      </c>
      <c r="B582">
        <v>38</v>
      </c>
      <c r="C582">
        <v>5</v>
      </c>
      <c r="D582">
        <v>28000</v>
      </c>
      <c r="E582">
        <v>0</v>
      </c>
      <c r="F582">
        <v>2.2999999999999998</v>
      </c>
      <c r="G582">
        <v>140000</v>
      </c>
      <c r="H582" t="s">
        <v>1786</v>
      </c>
      <c r="I582" t="s">
        <v>1299</v>
      </c>
      <c r="J582" t="s">
        <v>1443</v>
      </c>
      <c r="K582" t="s">
        <v>1448</v>
      </c>
      <c r="L582" t="s">
        <v>1455</v>
      </c>
      <c r="M582" t="s">
        <v>1464</v>
      </c>
      <c r="N582" t="s">
        <v>1468</v>
      </c>
    </row>
    <row r="583" spans="1:14" x14ac:dyDescent="0.25">
      <c r="A583" t="s">
        <v>595</v>
      </c>
      <c r="B583">
        <v>18</v>
      </c>
      <c r="C583">
        <v>2</v>
      </c>
      <c r="D583">
        <v>22000</v>
      </c>
      <c r="E583">
        <v>20</v>
      </c>
      <c r="F583">
        <v>2.4</v>
      </c>
      <c r="G583">
        <v>35200</v>
      </c>
      <c r="H583" t="s">
        <v>1786</v>
      </c>
      <c r="I583" t="s">
        <v>1344</v>
      </c>
      <c r="J583" t="s">
        <v>1445</v>
      </c>
      <c r="K583" t="s">
        <v>1450</v>
      </c>
      <c r="L583" t="s">
        <v>1454</v>
      </c>
      <c r="M583" t="s">
        <v>1462</v>
      </c>
      <c r="N583" t="s">
        <v>1466</v>
      </c>
    </row>
    <row r="584" spans="1:14" x14ac:dyDescent="0.25">
      <c r="A584" t="s">
        <v>596</v>
      </c>
      <c r="B584">
        <v>18</v>
      </c>
      <c r="C584">
        <v>3</v>
      </c>
      <c r="D584">
        <v>27000</v>
      </c>
      <c r="E584">
        <v>0</v>
      </c>
      <c r="F584">
        <v>2</v>
      </c>
      <c r="G584">
        <v>81000</v>
      </c>
      <c r="H584" t="s">
        <v>1787</v>
      </c>
      <c r="I584" t="s">
        <v>1337</v>
      </c>
      <c r="J584" t="s">
        <v>1442</v>
      </c>
      <c r="K584" t="s">
        <v>1447</v>
      </c>
      <c r="L584" t="s">
        <v>1458</v>
      </c>
      <c r="M584" t="s">
        <v>1464</v>
      </c>
      <c r="N584" t="s">
        <v>1468</v>
      </c>
    </row>
    <row r="585" spans="1:14" x14ac:dyDescent="0.25">
      <c r="A585" t="s">
        <v>597</v>
      </c>
      <c r="B585">
        <v>18</v>
      </c>
      <c r="C585">
        <v>1</v>
      </c>
      <c r="D585">
        <v>27000</v>
      </c>
      <c r="E585">
        <v>10</v>
      </c>
      <c r="F585">
        <v>1.8</v>
      </c>
      <c r="G585">
        <v>24300</v>
      </c>
      <c r="H585" t="s">
        <v>1788</v>
      </c>
      <c r="I585" t="s">
        <v>1302</v>
      </c>
      <c r="J585" t="s">
        <v>1442</v>
      </c>
      <c r="K585" t="s">
        <v>1447</v>
      </c>
      <c r="L585" t="s">
        <v>1458</v>
      </c>
      <c r="M585" t="s">
        <v>1464</v>
      </c>
      <c r="N585" t="s">
        <v>1465</v>
      </c>
    </row>
    <row r="586" spans="1:14" x14ac:dyDescent="0.25">
      <c r="A586" t="s">
        <v>598</v>
      </c>
      <c r="B586">
        <v>27</v>
      </c>
      <c r="C586">
        <v>4</v>
      </c>
      <c r="D586">
        <v>18000</v>
      </c>
      <c r="E586">
        <v>20</v>
      </c>
      <c r="F586">
        <v>2.4</v>
      </c>
      <c r="G586">
        <v>57600</v>
      </c>
      <c r="H586" t="s">
        <v>1788</v>
      </c>
      <c r="I586" t="s">
        <v>1384</v>
      </c>
      <c r="J586" t="s">
        <v>1445</v>
      </c>
      <c r="K586" t="s">
        <v>1450</v>
      </c>
      <c r="L586" t="s">
        <v>1461</v>
      </c>
      <c r="M586" t="s">
        <v>1462</v>
      </c>
      <c r="N586" t="s">
        <v>1467</v>
      </c>
    </row>
    <row r="587" spans="1:14" x14ac:dyDescent="0.25">
      <c r="A587" t="s">
        <v>599</v>
      </c>
      <c r="B587">
        <v>53</v>
      </c>
      <c r="C587">
        <v>4</v>
      </c>
      <c r="D587">
        <v>25000</v>
      </c>
      <c r="E587">
        <v>10</v>
      </c>
      <c r="F587">
        <v>1.7</v>
      </c>
      <c r="G587">
        <v>90000</v>
      </c>
      <c r="H587" t="s">
        <v>1789</v>
      </c>
      <c r="I587" t="s">
        <v>1301</v>
      </c>
      <c r="J587" t="s">
        <v>1444</v>
      </c>
      <c r="K587" t="s">
        <v>1449</v>
      </c>
      <c r="L587" t="s">
        <v>1452</v>
      </c>
      <c r="M587" t="s">
        <v>1462</v>
      </c>
      <c r="N587" t="s">
        <v>1465</v>
      </c>
    </row>
    <row r="588" spans="1:14" x14ac:dyDescent="0.25">
      <c r="A588" t="s">
        <v>600</v>
      </c>
      <c r="B588">
        <v>27</v>
      </c>
      <c r="C588">
        <v>2</v>
      </c>
      <c r="D588">
        <v>28000</v>
      </c>
      <c r="E588">
        <v>5</v>
      </c>
      <c r="F588">
        <v>3.1</v>
      </c>
      <c r="G588">
        <v>53200</v>
      </c>
      <c r="H588" t="s">
        <v>1789</v>
      </c>
      <c r="I588" t="s">
        <v>1384</v>
      </c>
      <c r="J588" t="s">
        <v>1445</v>
      </c>
      <c r="K588" t="s">
        <v>1450</v>
      </c>
      <c r="L588" t="s">
        <v>1455</v>
      </c>
      <c r="M588" t="s">
        <v>1464</v>
      </c>
      <c r="N588" t="s">
        <v>1466</v>
      </c>
    </row>
    <row r="589" spans="1:14" x14ac:dyDescent="0.25">
      <c r="A589" t="s">
        <v>601</v>
      </c>
      <c r="B589">
        <v>39</v>
      </c>
      <c r="C589">
        <v>1</v>
      </c>
      <c r="D589">
        <v>23000</v>
      </c>
      <c r="E589">
        <v>20</v>
      </c>
      <c r="F589">
        <v>3.9</v>
      </c>
      <c r="G589">
        <v>18400</v>
      </c>
      <c r="H589" t="s">
        <v>1790</v>
      </c>
      <c r="I589" t="s">
        <v>1424</v>
      </c>
      <c r="J589" t="s">
        <v>1443</v>
      </c>
      <c r="K589" t="s">
        <v>1448</v>
      </c>
      <c r="L589" t="s">
        <v>1456</v>
      </c>
      <c r="M589" t="s">
        <v>1463</v>
      </c>
      <c r="N589" t="s">
        <v>1468</v>
      </c>
    </row>
    <row r="590" spans="1:14" x14ac:dyDescent="0.25">
      <c r="A590" t="s">
        <v>602</v>
      </c>
      <c r="B590">
        <v>27</v>
      </c>
      <c r="C590">
        <v>5</v>
      </c>
      <c r="D590">
        <v>20000</v>
      </c>
      <c r="E590">
        <v>0</v>
      </c>
      <c r="F590">
        <v>4.2</v>
      </c>
      <c r="G590">
        <v>100000</v>
      </c>
      <c r="H590" t="s">
        <v>1791</v>
      </c>
      <c r="I590" t="s">
        <v>1418</v>
      </c>
      <c r="J590" t="s">
        <v>1442</v>
      </c>
      <c r="K590" t="s">
        <v>1447</v>
      </c>
      <c r="L590" t="s">
        <v>1459</v>
      </c>
      <c r="M590" t="s">
        <v>1462</v>
      </c>
      <c r="N590" t="s">
        <v>1467</v>
      </c>
    </row>
    <row r="591" spans="1:14" x14ac:dyDescent="0.25">
      <c r="A591" t="s">
        <v>603</v>
      </c>
      <c r="B591">
        <v>39</v>
      </c>
      <c r="C591">
        <v>1</v>
      </c>
      <c r="D591">
        <v>27000</v>
      </c>
      <c r="E591">
        <v>0</v>
      </c>
      <c r="F591">
        <v>1.5</v>
      </c>
      <c r="G591">
        <v>27000</v>
      </c>
      <c r="H591" t="s">
        <v>1791</v>
      </c>
      <c r="I591" t="s">
        <v>1351</v>
      </c>
      <c r="J591" t="s">
        <v>1443</v>
      </c>
      <c r="K591" t="s">
        <v>1448</v>
      </c>
      <c r="L591" t="s">
        <v>1458</v>
      </c>
      <c r="M591" t="s">
        <v>1464</v>
      </c>
      <c r="N591" t="s">
        <v>1468</v>
      </c>
    </row>
    <row r="592" spans="1:14" x14ac:dyDescent="0.25">
      <c r="A592" t="s">
        <v>604</v>
      </c>
      <c r="B592">
        <v>30</v>
      </c>
      <c r="C592">
        <v>1</v>
      </c>
      <c r="D592">
        <v>20000</v>
      </c>
      <c r="E592">
        <v>0</v>
      </c>
      <c r="F592">
        <v>3</v>
      </c>
      <c r="G592">
        <v>20000</v>
      </c>
      <c r="H592" t="s">
        <v>1791</v>
      </c>
      <c r="I592" t="s">
        <v>1355</v>
      </c>
      <c r="J592" t="s">
        <v>1445</v>
      </c>
      <c r="K592" t="s">
        <v>1450</v>
      </c>
      <c r="L592" t="s">
        <v>1459</v>
      </c>
      <c r="M592" t="s">
        <v>1462</v>
      </c>
      <c r="N592" t="s">
        <v>1466</v>
      </c>
    </row>
    <row r="593" spans="1:14" x14ac:dyDescent="0.25">
      <c r="A593" t="s">
        <v>605</v>
      </c>
      <c r="B593">
        <v>53</v>
      </c>
      <c r="C593">
        <v>1</v>
      </c>
      <c r="D593">
        <v>28000</v>
      </c>
      <c r="E593">
        <v>5</v>
      </c>
      <c r="F593">
        <v>3.7</v>
      </c>
      <c r="G593">
        <v>26600</v>
      </c>
      <c r="H593" t="s">
        <v>1792</v>
      </c>
      <c r="I593" t="s">
        <v>1276</v>
      </c>
      <c r="J593" t="s">
        <v>1445</v>
      </c>
      <c r="K593" t="s">
        <v>1450</v>
      </c>
      <c r="L593" t="s">
        <v>1455</v>
      </c>
      <c r="M593" t="s">
        <v>1464</v>
      </c>
      <c r="N593" t="s">
        <v>1465</v>
      </c>
    </row>
    <row r="594" spans="1:14" x14ac:dyDescent="0.25">
      <c r="A594" t="s">
        <v>606</v>
      </c>
      <c r="B594">
        <v>54</v>
      </c>
      <c r="C594">
        <v>5</v>
      </c>
      <c r="D594">
        <v>18000</v>
      </c>
      <c r="E594">
        <v>0</v>
      </c>
      <c r="F594">
        <v>3.5</v>
      </c>
      <c r="G594">
        <v>90000</v>
      </c>
      <c r="H594" t="s">
        <v>1793</v>
      </c>
      <c r="I594" t="s">
        <v>1273</v>
      </c>
      <c r="J594" t="s">
        <v>1441</v>
      </c>
      <c r="K594" t="s">
        <v>1446</v>
      </c>
      <c r="L594" t="s">
        <v>1461</v>
      </c>
      <c r="M594" t="s">
        <v>1462</v>
      </c>
      <c r="N594" t="s">
        <v>1468</v>
      </c>
    </row>
    <row r="595" spans="1:14" x14ac:dyDescent="0.25">
      <c r="A595" t="s">
        <v>607</v>
      </c>
      <c r="B595">
        <v>22</v>
      </c>
      <c r="C595">
        <v>5</v>
      </c>
      <c r="D595">
        <v>28000</v>
      </c>
      <c r="E595">
        <v>20</v>
      </c>
      <c r="F595">
        <v>3</v>
      </c>
      <c r="G595">
        <v>112000</v>
      </c>
      <c r="H595" t="s">
        <v>1793</v>
      </c>
      <c r="I595" t="s">
        <v>1258</v>
      </c>
      <c r="J595" t="s">
        <v>1443</v>
      </c>
      <c r="K595" t="s">
        <v>1448</v>
      </c>
      <c r="L595" t="s">
        <v>1455</v>
      </c>
      <c r="M595" t="s">
        <v>1464</v>
      </c>
      <c r="N595" t="s">
        <v>1466</v>
      </c>
    </row>
    <row r="596" spans="1:14" x14ac:dyDescent="0.25">
      <c r="A596" t="s">
        <v>608</v>
      </c>
      <c r="B596">
        <v>23</v>
      </c>
      <c r="C596">
        <v>2</v>
      </c>
      <c r="D596">
        <v>32000</v>
      </c>
      <c r="E596">
        <v>0</v>
      </c>
      <c r="F596">
        <v>3.3</v>
      </c>
      <c r="G596">
        <v>64000</v>
      </c>
      <c r="H596" t="s">
        <v>1793</v>
      </c>
      <c r="I596" t="s">
        <v>1335</v>
      </c>
      <c r="J596" t="s">
        <v>1443</v>
      </c>
      <c r="K596" t="s">
        <v>1448</v>
      </c>
      <c r="L596" t="s">
        <v>1457</v>
      </c>
      <c r="M596" t="s">
        <v>1463</v>
      </c>
      <c r="N596" t="s">
        <v>1465</v>
      </c>
    </row>
    <row r="597" spans="1:14" x14ac:dyDescent="0.25">
      <c r="A597" t="s">
        <v>609</v>
      </c>
      <c r="B597">
        <v>34</v>
      </c>
      <c r="C597">
        <v>5</v>
      </c>
      <c r="D597">
        <v>27000</v>
      </c>
      <c r="E597">
        <v>0</v>
      </c>
      <c r="F597">
        <v>2.2999999999999998</v>
      </c>
      <c r="G597">
        <v>135000</v>
      </c>
      <c r="H597" t="s">
        <v>1794</v>
      </c>
      <c r="I597" t="s">
        <v>1426</v>
      </c>
      <c r="J597" t="s">
        <v>1443</v>
      </c>
      <c r="K597" t="s">
        <v>1448</v>
      </c>
      <c r="L597" t="s">
        <v>1458</v>
      </c>
      <c r="M597" t="s">
        <v>1464</v>
      </c>
      <c r="N597" t="s">
        <v>1466</v>
      </c>
    </row>
    <row r="598" spans="1:14" x14ac:dyDescent="0.25">
      <c r="A598" t="s">
        <v>610</v>
      </c>
      <c r="B598">
        <v>33</v>
      </c>
      <c r="C598">
        <v>1</v>
      </c>
      <c r="D598">
        <v>32000</v>
      </c>
      <c r="E598">
        <v>0</v>
      </c>
      <c r="F598">
        <v>1.8</v>
      </c>
      <c r="G598">
        <v>32000</v>
      </c>
      <c r="H598" t="s">
        <v>1795</v>
      </c>
      <c r="I598" t="s">
        <v>1264</v>
      </c>
      <c r="J598" t="s">
        <v>1443</v>
      </c>
      <c r="K598" t="s">
        <v>1448</v>
      </c>
      <c r="L598" t="s">
        <v>1457</v>
      </c>
      <c r="M598" t="s">
        <v>1463</v>
      </c>
      <c r="N598" t="s">
        <v>1466</v>
      </c>
    </row>
    <row r="599" spans="1:14" x14ac:dyDescent="0.25">
      <c r="A599" t="s">
        <v>611</v>
      </c>
      <c r="B599">
        <v>23</v>
      </c>
      <c r="C599">
        <v>2</v>
      </c>
      <c r="D599">
        <v>32000</v>
      </c>
      <c r="E599">
        <v>20</v>
      </c>
      <c r="F599">
        <v>4.8</v>
      </c>
      <c r="G599">
        <v>51200</v>
      </c>
      <c r="H599" t="s">
        <v>1795</v>
      </c>
      <c r="I599" t="s">
        <v>1323</v>
      </c>
      <c r="J599" t="s">
        <v>1441</v>
      </c>
      <c r="K599" t="s">
        <v>1446</v>
      </c>
      <c r="L599" t="s">
        <v>1457</v>
      </c>
      <c r="M599" t="s">
        <v>1463</v>
      </c>
      <c r="N599" t="s">
        <v>1468</v>
      </c>
    </row>
    <row r="600" spans="1:14" x14ac:dyDescent="0.25">
      <c r="A600" t="s">
        <v>612</v>
      </c>
      <c r="B600">
        <v>49</v>
      </c>
      <c r="C600">
        <v>2</v>
      </c>
      <c r="D600">
        <v>18000</v>
      </c>
      <c r="E600">
        <v>0</v>
      </c>
      <c r="F600">
        <v>4.5</v>
      </c>
      <c r="G600">
        <v>36000</v>
      </c>
      <c r="H600" t="s">
        <v>1795</v>
      </c>
      <c r="I600" t="s">
        <v>1338</v>
      </c>
      <c r="J600" t="s">
        <v>1443</v>
      </c>
      <c r="K600" t="s">
        <v>1448</v>
      </c>
      <c r="L600" t="s">
        <v>1461</v>
      </c>
      <c r="M600" t="s">
        <v>1462</v>
      </c>
      <c r="N600" t="s">
        <v>1468</v>
      </c>
    </row>
    <row r="601" spans="1:14" x14ac:dyDescent="0.25">
      <c r="A601" t="s">
        <v>613</v>
      </c>
      <c r="B601">
        <v>38</v>
      </c>
      <c r="C601">
        <v>5</v>
      </c>
      <c r="D601">
        <v>22000</v>
      </c>
      <c r="E601">
        <v>5</v>
      </c>
      <c r="F601">
        <v>1.3</v>
      </c>
      <c r="G601">
        <v>104500</v>
      </c>
      <c r="H601" t="s">
        <v>1795</v>
      </c>
      <c r="I601" t="s">
        <v>1405</v>
      </c>
      <c r="J601" t="s">
        <v>1443</v>
      </c>
      <c r="K601" t="s">
        <v>1448</v>
      </c>
      <c r="L601" t="s">
        <v>1454</v>
      </c>
      <c r="M601" t="s">
        <v>1462</v>
      </c>
      <c r="N601" t="s">
        <v>1465</v>
      </c>
    </row>
    <row r="602" spans="1:14" x14ac:dyDescent="0.25">
      <c r="A602" t="s">
        <v>614</v>
      </c>
      <c r="B602">
        <v>52</v>
      </c>
      <c r="C602">
        <v>4</v>
      </c>
      <c r="D602">
        <v>20000</v>
      </c>
      <c r="E602">
        <v>10</v>
      </c>
      <c r="F602">
        <v>2.8</v>
      </c>
      <c r="G602">
        <v>72000</v>
      </c>
      <c r="H602" t="s">
        <v>1796</v>
      </c>
      <c r="I602" t="s">
        <v>1402</v>
      </c>
      <c r="J602" t="s">
        <v>1443</v>
      </c>
      <c r="K602" t="s">
        <v>1448</v>
      </c>
      <c r="L602" t="s">
        <v>1459</v>
      </c>
      <c r="M602" t="s">
        <v>1462</v>
      </c>
      <c r="N602" t="s">
        <v>1468</v>
      </c>
    </row>
    <row r="603" spans="1:14" x14ac:dyDescent="0.25">
      <c r="A603" t="s">
        <v>615</v>
      </c>
      <c r="B603">
        <v>36</v>
      </c>
      <c r="C603">
        <v>2</v>
      </c>
      <c r="D603">
        <v>28000</v>
      </c>
      <c r="E603">
        <v>20</v>
      </c>
      <c r="F603">
        <v>1.3</v>
      </c>
      <c r="G603">
        <v>44800</v>
      </c>
      <c r="H603" t="s">
        <v>1796</v>
      </c>
      <c r="I603" t="s">
        <v>1358</v>
      </c>
      <c r="J603" t="s">
        <v>1441</v>
      </c>
      <c r="K603" t="s">
        <v>1446</v>
      </c>
      <c r="L603" t="s">
        <v>1455</v>
      </c>
      <c r="M603" t="s">
        <v>1464</v>
      </c>
      <c r="N603" t="s">
        <v>1465</v>
      </c>
    </row>
    <row r="604" spans="1:14" x14ac:dyDescent="0.25">
      <c r="A604" t="s">
        <v>616</v>
      </c>
      <c r="B604">
        <v>42</v>
      </c>
      <c r="C604">
        <v>4</v>
      </c>
      <c r="D604">
        <v>20000</v>
      </c>
      <c r="E604">
        <v>15</v>
      </c>
      <c r="F604">
        <v>2.4</v>
      </c>
      <c r="G604">
        <v>68000</v>
      </c>
      <c r="H604" t="s">
        <v>1796</v>
      </c>
      <c r="I604" t="s">
        <v>1359</v>
      </c>
      <c r="J604" t="s">
        <v>1444</v>
      </c>
      <c r="K604" t="s">
        <v>1449</v>
      </c>
      <c r="L604" t="s">
        <v>1459</v>
      </c>
      <c r="M604" t="s">
        <v>1462</v>
      </c>
      <c r="N604" t="s">
        <v>1466</v>
      </c>
    </row>
    <row r="605" spans="1:14" x14ac:dyDescent="0.25">
      <c r="A605" t="s">
        <v>617</v>
      </c>
      <c r="B605">
        <v>53</v>
      </c>
      <c r="C605">
        <v>2</v>
      </c>
      <c r="D605">
        <v>22000</v>
      </c>
      <c r="E605">
        <v>10</v>
      </c>
      <c r="F605">
        <v>3</v>
      </c>
      <c r="G605">
        <v>39600</v>
      </c>
      <c r="H605" t="s">
        <v>1796</v>
      </c>
      <c r="I605" t="s">
        <v>1324</v>
      </c>
      <c r="J605" t="s">
        <v>1444</v>
      </c>
      <c r="K605" t="s">
        <v>1449</v>
      </c>
      <c r="L605" t="s">
        <v>1454</v>
      </c>
      <c r="M605" t="s">
        <v>1462</v>
      </c>
      <c r="N605" t="s">
        <v>1467</v>
      </c>
    </row>
    <row r="606" spans="1:14" x14ac:dyDescent="0.25">
      <c r="A606" t="s">
        <v>618</v>
      </c>
      <c r="B606">
        <v>33</v>
      </c>
      <c r="C606">
        <v>3</v>
      </c>
      <c r="D606">
        <v>32000</v>
      </c>
      <c r="E606">
        <v>0</v>
      </c>
      <c r="F606">
        <v>3.5</v>
      </c>
      <c r="G606">
        <v>96000</v>
      </c>
      <c r="H606" t="s">
        <v>1797</v>
      </c>
      <c r="I606" t="s">
        <v>1269</v>
      </c>
      <c r="J606" t="s">
        <v>1443</v>
      </c>
      <c r="K606" t="s">
        <v>1448</v>
      </c>
      <c r="L606" t="s">
        <v>1457</v>
      </c>
      <c r="M606" t="s">
        <v>1463</v>
      </c>
      <c r="N606" t="s">
        <v>1466</v>
      </c>
    </row>
    <row r="607" spans="1:14" x14ac:dyDescent="0.25">
      <c r="A607" t="s">
        <v>619</v>
      </c>
      <c r="B607">
        <v>40</v>
      </c>
      <c r="C607">
        <v>5</v>
      </c>
      <c r="D607">
        <v>25000</v>
      </c>
      <c r="E607">
        <v>20</v>
      </c>
      <c r="F607">
        <v>1.5</v>
      </c>
      <c r="G607">
        <v>100000</v>
      </c>
      <c r="H607" t="s">
        <v>1798</v>
      </c>
      <c r="I607" t="s">
        <v>1271</v>
      </c>
      <c r="J607" t="s">
        <v>1445</v>
      </c>
      <c r="K607" t="s">
        <v>1450</v>
      </c>
      <c r="L607" t="s">
        <v>1452</v>
      </c>
      <c r="M607" t="s">
        <v>1462</v>
      </c>
      <c r="N607" t="s">
        <v>1465</v>
      </c>
    </row>
    <row r="608" spans="1:14" x14ac:dyDescent="0.25">
      <c r="A608" t="s">
        <v>620</v>
      </c>
      <c r="B608">
        <v>24</v>
      </c>
      <c r="C608">
        <v>5</v>
      </c>
      <c r="D608">
        <v>20000</v>
      </c>
      <c r="E608">
        <v>0</v>
      </c>
      <c r="F608">
        <v>4</v>
      </c>
      <c r="G608">
        <v>100000</v>
      </c>
      <c r="H608" t="s">
        <v>1799</v>
      </c>
      <c r="I608" t="s">
        <v>1412</v>
      </c>
      <c r="J608" t="s">
        <v>1443</v>
      </c>
      <c r="K608" t="s">
        <v>1448</v>
      </c>
      <c r="L608" t="s">
        <v>1459</v>
      </c>
      <c r="M608" t="s">
        <v>1462</v>
      </c>
      <c r="N608" t="s">
        <v>1465</v>
      </c>
    </row>
    <row r="609" spans="1:14" x14ac:dyDescent="0.25">
      <c r="A609" t="s">
        <v>621</v>
      </c>
      <c r="B609">
        <v>24</v>
      </c>
      <c r="C609">
        <v>5</v>
      </c>
      <c r="D609">
        <v>27000</v>
      </c>
      <c r="E609">
        <v>0</v>
      </c>
      <c r="F609">
        <v>2.5</v>
      </c>
      <c r="G609">
        <v>135000</v>
      </c>
      <c r="H609" t="s">
        <v>1800</v>
      </c>
      <c r="I609" t="s">
        <v>1427</v>
      </c>
      <c r="J609" t="s">
        <v>1441</v>
      </c>
      <c r="K609" t="s">
        <v>1446</v>
      </c>
      <c r="L609" t="s">
        <v>1458</v>
      </c>
      <c r="M609" t="s">
        <v>1464</v>
      </c>
      <c r="N609" t="s">
        <v>1467</v>
      </c>
    </row>
    <row r="610" spans="1:14" x14ac:dyDescent="0.25">
      <c r="A610" t="s">
        <v>622</v>
      </c>
      <c r="B610">
        <v>38</v>
      </c>
      <c r="C610">
        <v>4</v>
      </c>
      <c r="D610">
        <v>18000</v>
      </c>
      <c r="E610">
        <v>15</v>
      </c>
      <c r="F610">
        <v>4.8</v>
      </c>
      <c r="G610">
        <v>61200</v>
      </c>
      <c r="H610" t="s">
        <v>1801</v>
      </c>
      <c r="I610" t="s">
        <v>1309</v>
      </c>
      <c r="J610" t="s">
        <v>1444</v>
      </c>
      <c r="K610" t="s">
        <v>1449</v>
      </c>
      <c r="L610" t="s">
        <v>1460</v>
      </c>
      <c r="M610" t="s">
        <v>1463</v>
      </c>
      <c r="N610" t="s">
        <v>1467</v>
      </c>
    </row>
    <row r="611" spans="1:14" x14ac:dyDescent="0.25">
      <c r="A611" t="s">
        <v>623</v>
      </c>
      <c r="B611">
        <v>48</v>
      </c>
      <c r="C611">
        <v>5</v>
      </c>
      <c r="D611">
        <v>20000</v>
      </c>
      <c r="E611">
        <v>0</v>
      </c>
      <c r="F611">
        <v>3.5</v>
      </c>
      <c r="G611">
        <v>100000</v>
      </c>
      <c r="H611" t="s">
        <v>1802</v>
      </c>
      <c r="I611" t="s">
        <v>1298</v>
      </c>
      <c r="J611" t="s">
        <v>1443</v>
      </c>
      <c r="K611" t="s">
        <v>1448</v>
      </c>
      <c r="L611" t="s">
        <v>1459</v>
      </c>
      <c r="M611" t="s">
        <v>1462</v>
      </c>
      <c r="N611" t="s">
        <v>1468</v>
      </c>
    </row>
    <row r="612" spans="1:14" x14ac:dyDescent="0.25">
      <c r="A612" t="s">
        <v>624</v>
      </c>
      <c r="B612">
        <v>31</v>
      </c>
      <c r="C612">
        <v>2</v>
      </c>
      <c r="D612">
        <v>25000</v>
      </c>
      <c r="E612">
        <v>15</v>
      </c>
      <c r="F612">
        <v>1.2</v>
      </c>
      <c r="G612">
        <v>42500</v>
      </c>
      <c r="H612" t="s">
        <v>1803</v>
      </c>
      <c r="I612" t="s">
        <v>1274</v>
      </c>
      <c r="J612" t="s">
        <v>1441</v>
      </c>
      <c r="K612" t="s">
        <v>1446</v>
      </c>
      <c r="L612" t="s">
        <v>1452</v>
      </c>
      <c r="M612" t="s">
        <v>1462</v>
      </c>
      <c r="N612" t="s">
        <v>1467</v>
      </c>
    </row>
    <row r="613" spans="1:14" x14ac:dyDescent="0.25">
      <c r="A613" t="s">
        <v>625</v>
      </c>
      <c r="B613">
        <v>29</v>
      </c>
      <c r="C613">
        <v>4</v>
      </c>
      <c r="D613">
        <v>32000</v>
      </c>
      <c r="E613">
        <v>10</v>
      </c>
      <c r="F613">
        <v>2.9</v>
      </c>
      <c r="G613">
        <v>115200</v>
      </c>
      <c r="H613" t="s">
        <v>1803</v>
      </c>
      <c r="I613" t="s">
        <v>1292</v>
      </c>
      <c r="J613" t="s">
        <v>1442</v>
      </c>
      <c r="K613" t="s">
        <v>1447</v>
      </c>
      <c r="L613" t="s">
        <v>1457</v>
      </c>
      <c r="M613" t="s">
        <v>1463</v>
      </c>
      <c r="N613" t="s">
        <v>1467</v>
      </c>
    </row>
    <row r="614" spans="1:14" x14ac:dyDescent="0.25">
      <c r="A614" t="s">
        <v>626</v>
      </c>
      <c r="B614">
        <v>42</v>
      </c>
      <c r="C614">
        <v>4</v>
      </c>
      <c r="D614">
        <v>27000</v>
      </c>
      <c r="E614">
        <v>0</v>
      </c>
      <c r="F614">
        <v>3</v>
      </c>
      <c r="G614">
        <v>108000</v>
      </c>
      <c r="H614" t="s">
        <v>1803</v>
      </c>
      <c r="I614" t="s">
        <v>1272</v>
      </c>
      <c r="J614" t="s">
        <v>1441</v>
      </c>
      <c r="K614" t="s">
        <v>1446</v>
      </c>
      <c r="L614" t="s">
        <v>1458</v>
      </c>
      <c r="M614" t="s">
        <v>1464</v>
      </c>
      <c r="N614" t="s">
        <v>1467</v>
      </c>
    </row>
    <row r="615" spans="1:14" x14ac:dyDescent="0.25">
      <c r="A615" t="s">
        <v>627</v>
      </c>
      <c r="B615">
        <v>48</v>
      </c>
      <c r="C615">
        <v>2</v>
      </c>
      <c r="D615">
        <v>20000</v>
      </c>
      <c r="E615">
        <v>0</v>
      </c>
      <c r="F615">
        <v>2.2000000000000002</v>
      </c>
      <c r="G615">
        <v>40000</v>
      </c>
      <c r="H615" t="s">
        <v>1803</v>
      </c>
      <c r="I615" t="s">
        <v>1306</v>
      </c>
      <c r="J615" t="s">
        <v>1441</v>
      </c>
      <c r="K615" t="s">
        <v>1446</v>
      </c>
      <c r="L615" t="s">
        <v>1459</v>
      </c>
      <c r="M615" t="s">
        <v>1462</v>
      </c>
      <c r="N615" t="s">
        <v>1467</v>
      </c>
    </row>
    <row r="616" spans="1:14" x14ac:dyDescent="0.25">
      <c r="A616" t="s">
        <v>628</v>
      </c>
      <c r="B616">
        <v>22</v>
      </c>
      <c r="C616">
        <v>5</v>
      </c>
      <c r="D616">
        <v>20000</v>
      </c>
      <c r="E616">
        <v>0</v>
      </c>
      <c r="F616">
        <v>2.8</v>
      </c>
      <c r="G616">
        <v>100000</v>
      </c>
      <c r="H616" t="s">
        <v>1803</v>
      </c>
      <c r="I616" t="s">
        <v>1314</v>
      </c>
      <c r="J616" t="s">
        <v>1443</v>
      </c>
      <c r="K616" t="s">
        <v>1448</v>
      </c>
      <c r="L616" t="s">
        <v>1459</v>
      </c>
      <c r="M616" t="s">
        <v>1462</v>
      </c>
      <c r="N616" t="s">
        <v>1466</v>
      </c>
    </row>
    <row r="617" spans="1:14" x14ac:dyDescent="0.25">
      <c r="A617" t="s">
        <v>629</v>
      </c>
      <c r="B617">
        <v>51</v>
      </c>
      <c r="C617">
        <v>5</v>
      </c>
      <c r="D617">
        <v>18000</v>
      </c>
      <c r="E617">
        <v>10</v>
      </c>
      <c r="F617">
        <v>1.8</v>
      </c>
      <c r="G617">
        <v>81000</v>
      </c>
      <c r="H617" t="s">
        <v>1804</v>
      </c>
      <c r="I617" t="s">
        <v>1382</v>
      </c>
      <c r="J617" t="s">
        <v>1445</v>
      </c>
      <c r="K617" t="s">
        <v>1450</v>
      </c>
      <c r="L617" t="s">
        <v>1460</v>
      </c>
      <c r="M617" t="s">
        <v>1463</v>
      </c>
      <c r="N617" t="s">
        <v>1467</v>
      </c>
    </row>
    <row r="618" spans="1:14" x14ac:dyDescent="0.25">
      <c r="A618" t="s">
        <v>630</v>
      </c>
      <c r="B618">
        <v>49</v>
      </c>
      <c r="C618">
        <v>2</v>
      </c>
      <c r="D618">
        <v>18000</v>
      </c>
      <c r="E618">
        <v>5</v>
      </c>
      <c r="F618">
        <v>2</v>
      </c>
      <c r="G618">
        <v>34200</v>
      </c>
      <c r="H618" t="s">
        <v>1805</v>
      </c>
      <c r="I618" t="s">
        <v>1330</v>
      </c>
      <c r="J618" t="s">
        <v>1443</v>
      </c>
      <c r="K618" t="s">
        <v>1448</v>
      </c>
      <c r="L618" t="s">
        <v>1460</v>
      </c>
      <c r="M618" t="s">
        <v>1463</v>
      </c>
      <c r="N618" t="s">
        <v>1467</v>
      </c>
    </row>
    <row r="619" spans="1:14" x14ac:dyDescent="0.25">
      <c r="A619" t="s">
        <v>631</v>
      </c>
      <c r="B619">
        <v>48</v>
      </c>
      <c r="C619">
        <v>4</v>
      </c>
      <c r="D619">
        <v>32000</v>
      </c>
      <c r="E619">
        <v>0</v>
      </c>
      <c r="F619">
        <v>2.8</v>
      </c>
      <c r="G619">
        <v>128000</v>
      </c>
      <c r="H619" t="s">
        <v>1805</v>
      </c>
      <c r="I619" t="s">
        <v>1298</v>
      </c>
      <c r="J619" t="s">
        <v>1444</v>
      </c>
      <c r="K619" t="s">
        <v>1449</v>
      </c>
      <c r="L619" t="s">
        <v>1457</v>
      </c>
      <c r="M619" t="s">
        <v>1463</v>
      </c>
      <c r="N619" t="s">
        <v>1465</v>
      </c>
    </row>
    <row r="620" spans="1:14" x14ac:dyDescent="0.25">
      <c r="A620" t="s">
        <v>632</v>
      </c>
      <c r="B620">
        <v>31</v>
      </c>
      <c r="C620">
        <v>2</v>
      </c>
      <c r="D620">
        <v>23000</v>
      </c>
      <c r="E620">
        <v>10</v>
      </c>
      <c r="F620">
        <v>1.7</v>
      </c>
      <c r="G620">
        <v>41400</v>
      </c>
      <c r="H620" t="s">
        <v>1806</v>
      </c>
      <c r="I620" t="s">
        <v>1369</v>
      </c>
      <c r="J620" t="s">
        <v>1442</v>
      </c>
      <c r="K620" t="s">
        <v>1447</v>
      </c>
      <c r="L620" t="s">
        <v>1456</v>
      </c>
      <c r="M620" t="s">
        <v>1463</v>
      </c>
      <c r="N620" t="s">
        <v>1466</v>
      </c>
    </row>
    <row r="621" spans="1:14" x14ac:dyDescent="0.25">
      <c r="A621" t="s">
        <v>633</v>
      </c>
      <c r="B621">
        <v>40</v>
      </c>
      <c r="C621">
        <v>4</v>
      </c>
      <c r="D621">
        <v>20000</v>
      </c>
      <c r="E621">
        <v>20</v>
      </c>
      <c r="F621">
        <v>1.4</v>
      </c>
      <c r="G621">
        <v>64000</v>
      </c>
      <c r="H621" t="s">
        <v>1806</v>
      </c>
      <c r="I621" t="s">
        <v>1326</v>
      </c>
      <c r="J621" t="s">
        <v>1444</v>
      </c>
      <c r="K621" t="s">
        <v>1449</v>
      </c>
      <c r="L621" t="s">
        <v>1459</v>
      </c>
      <c r="M621" t="s">
        <v>1462</v>
      </c>
      <c r="N621" t="s">
        <v>1468</v>
      </c>
    </row>
    <row r="622" spans="1:14" x14ac:dyDescent="0.25">
      <c r="A622" t="s">
        <v>634</v>
      </c>
      <c r="B622">
        <v>54</v>
      </c>
      <c r="C622">
        <v>2</v>
      </c>
      <c r="D622">
        <v>32000</v>
      </c>
      <c r="E622">
        <v>15</v>
      </c>
      <c r="F622">
        <v>3.6</v>
      </c>
      <c r="G622">
        <v>54400</v>
      </c>
      <c r="H622" t="s">
        <v>1807</v>
      </c>
      <c r="I622" t="s">
        <v>1312</v>
      </c>
      <c r="J622" t="s">
        <v>1442</v>
      </c>
      <c r="K622" t="s">
        <v>1447</v>
      </c>
      <c r="L622" t="s">
        <v>1457</v>
      </c>
      <c r="M622" t="s">
        <v>1463</v>
      </c>
      <c r="N622" t="s">
        <v>1467</v>
      </c>
    </row>
    <row r="623" spans="1:14" x14ac:dyDescent="0.25">
      <c r="A623" t="s">
        <v>635</v>
      </c>
      <c r="B623">
        <v>44</v>
      </c>
      <c r="C623">
        <v>3</v>
      </c>
      <c r="D623">
        <v>18000</v>
      </c>
      <c r="E623">
        <v>0</v>
      </c>
      <c r="F623">
        <v>4.2</v>
      </c>
      <c r="G623">
        <v>54000</v>
      </c>
      <c r="H623" t="s">
        <v>1807</v>
      </c>
      <c r="I623" t="s">
        <v>1290</v>
      </c>
      <c r="J623" t="s">
        <v>1444</v>
      </c>
      <c r="K623" t="s">
        <v>1449</v>
      </c>
      <c r="L623" t="s">
        <v>1461</v>
      </c>
      <c r="M623" t="s">
        <v>1462</v>
      </c>
      <c r="N623" t="s">
        <v>1467</v>
      </c>
    </row>
    <row r="624" spans="1:14" x14ac:dyDescent="0.25">
      <c r="A624" t="s">
        <v>636</v>
      </c>
      <c r="B624">
        <v>48</v>
      </c>
      <c r="C624">
        <v>3</v>
      </c>
      <c r="D624">
        <v>18000</v>
      </c>
      <c r="E624">
        <v>0</v>
      </c>
      <c r="F624">
        <v>3.3</v>
      </c>
      <c r="G624">
        <v>54000</v>
      </c>
      <c r="H624" t="s">
        <v>1807</v>
      </c>
      <c r="I624" t="s">
        <v>1298</v>
      </c>
      <c r="J624" t="s">
        <v>1442</v>
      </c>
      <c r="K624" t="s">
        <v>1447</v>
      </c>
      <c r="L624" t="s">
        <v>1461</v>
      </c>
      <c r="M624" t="s">
        <v>1462</v>
      </c>
      <c r="N624" t="s">
        <v>1467</v>
      </c>
    </row>
    <row r="625" spans="1:14" x14ac:dyDescent="0.25">
      <c r="A625" t="s">
        <v>637</v>
      </c>
      <c r="B625">
        <v>33</v>
      </c>
      <c r="C625">
        <v>3</v>
      </c>
      <c r="D625">
        <v>30000</v>
      </c>
      <c r="E625">
        <v>0</v>
      </c>
      <c r="F625">
        <v>1.2</v>
      </c>
      <c r="G625">
        <v>90000</v>
      </c>
      <c r="H625" t="s">
        <v>1808</v>
      </c>
      <c r="I625" t="s">
        <v>1269</v>
      </c>
      <c r="J625" t="s">
        <v>1441</v>
      </c>
      <c r="K625" t="s">
        <v>1446</v>
      </c>
      <c r="L625" t="s">
        <v>1453</v>
      </c>
      <c r="M625" t="s">
        <v>1463</v>
      </c>
      <c r="N625" t="s">
        <v>1466</v>
      </c>
    </row>
    <row r="626" spans="1:14" x14ac:dyDescent="0.25">
      <c r="A626" t="s">
        <v>638</v>
      </c>
      <c r="B626">
        <v>19</v>
      </c>
      <c r="C626">
        <v>4</v>
      </c>
      <c r="D626">
        <v>27000</v>
      </c>
      <c r="E626">
        <v>5</v>
      </c>
      <c r="F626">
        <v>2.2000000000000002</v>
      </c>
      <c r="G626">
        <v>102600</v>
      </c>
      <c r="H626" t="s">
        <v>1809</v>
      </c>
      <c r="I626" t="s">
        <v>1353</v>
      </c>
      <c r="J626" t="s">
        <v>1443</v>
      </c>
      <c r="K626" t="s">
        <v>1448</v>
      </c>
      <c r="L626" t="s">
        <v>1458</v>
      </c>
      <c r="M626" t="s">
        <v>1464</v>
      </c>
      <c r="N626" t="s">
        <v>1465</v>
      </c>
    </row>
    <row r="627" spans="1:14" x14ac:dyDescent="0.25">
      <c r="A627" t="s">
        <v>639</v>
      </c>
      <c r="B627">
        <v>22</v>
      </c>
      <c r="C627">
        <v>4</v>
      </c>
      <c r="D627">
        <v>28000</v>
      </c>
      <c r="E627">
        <v>15</v>
      </c>
      <c r="F627">
        <v>2.1</v>
      </c>
      <c r="G627">
        <v>95200</v>
      </c>
      <c r="H627" t="s">
        <v>1809</v>
      </c>
      <c r="I627" t="s">
        <v>1314</v>
      </c>
      <c r="J627" t="s">
        <v>1444</v>
      </c>
      <c r="K627" t="s">
        <v>1449</v>
      </c>
      <c r="L627" t="s">
        <v>1455</v>
      </c>
      <c r="M627" t="s">
        <v>1464</v>
      </c>
      <c r="N627" t="s">
        <v>1468</v>
      </c>
    </row>
    <row r="628" spans="1:14" x14ac:dyDescent="0.25">
      <c r="A628" t="s">
        <v>640</v>
      </c>
      <c r="B628">
        <v>49</v>
      </c>
      <c r="C628">
        <v>4</v>
      </c>
      <c r="D628">
        <v>28000</v>
      </c>
      <c r="E628">
        <v>15</v>
      </c>
      <c r="F628">
        <v>1.4</v>
      </c>
      <c r="G628">
        <v>95200</v>
      </c>
      <c r="H628" t="s">
        <v>1810</v>
      </c>
      <c r="I628" t="s">
        <v>1428</v>
      </c>
      <c r="J628" t="s">
        <v>1444</v>
      </c>
      <c r="K628" t="s">
        <v>1449</v>
      </c>
      <c r="L628" t="s">
        <v>1455</v>
      </c>
      <c r="M628" t="s">
        <v>1464</v>
      </c>
      <c r="N628" t="s">
        <v>1465</v>
      </c>
    </row>
    <row r="629" spans="1:14" x14ac:dyDescent="0.25">
      <c r="A629" t="s">
        <v>641</v>
      </c>
      <c r="B629">
        <v>31</v>
      </c>
      <c r="C629">
        <v>3</v>
      </c>
      <c r="D629">
        <v>30000</v>
      </c>
      <c r="E629">
        <v>20</v>
      </c>
      <c r="F629">
        <v>1</v>
      </c>
      <c r="G629">
        <v>72000</v>
      </c>
      <c r="H629" t="s">
        <v>1811</v>
      </c>
      <c r="I629" t="s">
        <v>1274</v>
      </c>
      <c r="J629" t="s">
        <v>1443</v>
      </c>
      <c r="K629" t="s">
        <v>1448</v>
      </c>
      <c r="L629" t="s">
        <v>1453</v>
      </c>
      <c r="M629" t="s">
        <v>1463</v>
      </c>
      <c r="N629" t="s">
        <v>1466</v>
      </c>
    </row>
    <row r="630" spans="1:14" x14ac:dyDescent="0.25">
      <c r="A630" t="s">
        <v>642</v>
      </c>
      <c r="B630">
        <v>35</v>
      </c>
      <c r="C630">
        <v>2</v>
      </c>
      <c r="D630">
        <v>20000</v>
      </c>
      <c r="E630">
        <v>20</v>
      </c>
      <c r="F630">
        <v>1.1000000000000001</v>
      </c>
      <c r="G630">
        <v>32000</v>
      </c>
      <c r="H630" t="s">
        <v>1811</v>
      </c>
      <c r="I630" t="s">
        <v>1389</v>
      </c>
      <c r="J630" t="s">
        <v>1441</v>
      </c>
      <c r="K630" t="s">
        <v>1446</v>
      </c>
      <c r="L630" t="s">
        <v>1459</v>
      </c>
      <c r="M630" t="s">
        <v>1462</v>
      </c>
      <c r="N630" t="s">
        <v>1466</v>
      </c>
    </row>
    <row r="631" spans="1:14" x14ac:dyDescent="0.25">
      <c r="A631" t="s">
        <v>643</v>
      </c>
      <c r="B631">
        <v>52</v>
      </c>
      <c r="C631">
        <v>5</v>
      </c>
      <c r="D631">
        <v>20000</v>
      </c>
      <c r="E631">
        <v>0</v>
      </c>
      <c r="F631">
        <v>1.9</v>
      </c>
      <c r="G631">
        <v>100000</v>
      </c>
      <c r="H631" t="s">
        <v>1812</v>
      </c>
      <c r="I631" t="s">
        <v>1333</v>
      </c>
      <c r="J631" t="s">
        <v>1443</v>
      </c>
      <c r="K631" t="s">
        <v>1448</v>
      </c>
      <c r="L631" t="s">
        <v>1459</v>
      </c>
      <c r="M631" t="s">
        <v>1462</v>
      </c>
      <c r="N631" t="s">
        <v>1465</v>
      </c>
    </row>
    <row r="632" spans="1:14" x14ac:dyDescent="0.25">
      <c r="A632" t="s">
        <v>644</v>
      </c>
      <c r="B632">
        <v>25</v>
      </c>
      <c r="C632">
        <v>3</v>
      </c>
      <c r="D632">
        <v>27000</v>
      </c>
      <c r="E632">
        <v>15</v>
      </c>
      <c r="F632">
        <v>4</v>
      </c>
      <c r="G632">
        <v>68850</v>
      </c>
      <c r="H632" t="s">
        <v>1812</v>
      </c>
      <c r="I632" t="s">
        <v>1393</v>
      </c>
      <c r="J632" t="s">
        <v>1443</v>
      </c>
      <c r="K632" t="s">
        <v>1448</v>
      </c>
      <c r="L632" t="s">
        <v>1458</v>
      </c>
      <c r="M632" t="s">
        <v>1464</v>
      </c>
      <c r="N632" t="s">
        <v>1466</v>
      </c>
    </row>
    <row r="633" spans="1:14" x14ac:dyDescent="0.25">
      <c r="A633" t="s">
        <v>645</v>
      </c>
      <c r="B633">
        <v>38</v>
      </c>
      <c r="C633">
        <v>1</v>
      </c>
      <c r="D633">
        <v>25000</v>
      </c>
      <c r="E633">
        <v>0</v>
      </c>
      <c r="F633">
        <v>4.2</v>
      </c>
      <c r="G633">
        <v>25000</v>
      </c>
      <c r="H633" t="s">
        <v>1813</v>
      </c>
      <c r="I633" t="s">
        <v>1309</v>
      </c>
      <c r="J633" t="s">
        <v>1444</v>
      </c>
      <c r="K633" t="s">
        <v>1449</v>
      </c>
      <c r="L633" t="s">
        <v>1452</v>
      </c>
      <c r="M633" t="s">
        <v>1462</v>
      </c>
      <c r="N633" t="s">
        <v>1465</v>
      </c>
    </row>
    <row r="634" spans="1:14" x14ac:dyDescent="0.25">
      <c r="A634" t="s">
        <v>646</v>
      </c>
      <c r="B634">
        <v>22</v>
      </c>
      <c r="C634">
        <v>1</v>
      </c>
      <c r="D634">
        <v>20000</v>
      </c>
      <c r="E634">
        <v>0</v>
      </c>
      <c r="F634">
        <v>2.8</v>
      </c>
      <c r="G634">
        <v>20000</v>
      </c>
      <c r="H634" t="s">
        <v>1813</v>
      </c>
      <c r="I634" t="s">
        <v>1314</v>
      </c>
      <c r="J634" t="s">
        <v>1444</v>
      </c>
      <c r="K634" t="s">
        <v>1449</v>
      </c>
      <c r="L634" t="s">
        <v>1459</v>
      </c>
      <c r="M634" t="s">
        <v>1462</v>
      </c>
      <c r="N634" t="s">
        <v>1465</v>
      </c>
    </row>
    <row r="635" spans="1:14" x14ac:dyDescent="0.25">
      <c r="A635" t="s">
        <v>647</v>
      </c>
      <c r="B635">
        <v>46</v>
      </c>
      <c r="C635">
        <v>3</v>
      </c>
      <c r="D635">
        <v>25000</v>
      </c>
      <c r="E635">
        <v>0</v>
      </c>
      <c r="F635">
        <v>4.2</v>
      </c>
      <c r="G635">
        <v>75000</v>
      </c>
      <c r="H635" t="s">
        <v>1814</v>
      </c>
      <c r="I635" t="s">
        <v>1255</v>
      </c>
      <c r="J635" t="s">
        <v>1442</v>
      </c>
      <c r="K635" t="s">
        <v>1447</v>
      </c>
      <c r="L635" t="s">
        <v>1452</v>
      </c>
      <c r="M635" t="s">
        <v>1462</v>
      </c>
      <c r="N635" t="s">
        <v>1467</v>
      </c>
    </row>
    <row r="636" spans="1:14" x14ac:dyDescent="0.25">
      <c r="A636" t="s">
        <v>648</v>
      </c>
      <c r="B636">
        <v>49</v>
      </c>
      <c r="C636">
        <v>4</v>
      </c>
      <c r="D636">
        <v>18000</v>
      </c>
      <c r="E636">
        <v>0</v>
      </c>
      <c r="F636">
        <v>1.7</v>
      </c>
      <c r="G636">
        <v>72000</v>
      </c>
      <c r="H636" t="s">
        <v>1815</v>
      </c>
      <c r="I636" t="s">
        <v>1288</v>
      </c>
      <c r="J636" t="s">
        <v>1445</v>
      </c>
      <c r="K636" t="s">
        <v>1450</v>
      </c>
      <c r="L636" t="s">
        <v>1461</v>
      </c>
      <c r="M636" t="s">
        <v>1462</v>
      </c>
      <c r="N636" t="s">
        <v>1465</v>
      </c>
    </row>
    <row r="637" spans="1:14" x14ac:dyDescent="0.25">
      <c r="A637" t="s">
        <v>649</v>
      </c>
      <c r="B637">
        <v>36</v>
      </c>
      <c r="C637">
        <v>3</v>
      </c>
      <c r="D637">
        <v>25000</v>
      </c>
      <c r="E637">
        <v>10</v>
      </c>
      <c r="F637">
        <v>3</v>
      </c>
      <c r="G637">
        <v>67500</v>
      </c>
      <c r="H637" t="s">
        <v>1816</v>
      </c>
      <c r="I637" t="s">
        <v>1267</v>
      </c>
      <c r="J637" t="s">
        <v>1445</v>
      </c>
      <c r="K637" t="s">
        <v>1450</v>
      </c>
      <c r="L637" t="s">
        <v>1452</v>
      </c>
      <c r="M637" t="s">
        <v>1462</v>
      </c>
      <c r="N637" t="s">
        <v>1466</v>
      </c>
    </row>
    <row r="638" spans="1:14" x14ac:dyDescent="0.25">
      <c r="A638" t="s">
        <v>650</v>
      </c>
      <c r="B638">
        <v>37</v>
      </c>
      <c r="C638">
        <v>5</v>
      </c>
      <c r="D638">
        <v>18000</v>
      </c>
      <c r="E638">
        <v>10</v>
      </c>
      <c r="F638">
        <v>4.5</v>
      </c>
      <c r="G638">
        <v>81000</v>
      </c>
      <c r="H638" t="s">
        <v>1816</v>
      </c>
      <c r="I638" t="s">
        <v>1300</v>
      </c>
      <c r="J638" t="s">
        <v>1442</v>
      </c>
      <c r="K638" t="s">
        <v>1447</v>
      </c>
      <c r="L638" t="s">
        <v>1461</v>
      </c>
      <c r="M638" t="s">
        <v>1462</v>
      </c>
      <c r="N638" t="s">
        <v>1465</v>
      </c>
    </row>
    <row r="639" spans="1:14" x14ac:dyDescent="0.25">
      <c r="A639" t="s">
        <v>651</v>
      </c>
      <c r="B639">
        <v>21</v>
      </c>
      <c r="C639">
        <v>3</v>
      </c>
      <c r="D639">
        <v>28000</v>
      </c>
      <c r="E639">
        <v>0</v>
      </c>
      <c r="F639">
        <v>4.5</v>
      </c>
      <c r="G639">
        <v>84000</v>
      </c>
      <c r="H639" t="s">
        <v>1817</v>
      </c>
      <c r="I639" t="s">
        <v>1368</v>
      </c>
      <c r="J639" t="s">
        <v>1442</v>
      </c>
      <c r="K639" t="s">
        <v>1447</v>
      </c>
      <c r="L639" t="s">
        <v>1455</v>
      </c>
      <c r="M639" t="s">
        <v>1464</v>
      </c>
      <c r="N639" t="s">
        <v>1466</v>
      </c>
    </row>
    <row r="640" spans="1:14" x14ac:dyDescent="0.25">
      <c r="A640" t="s">
        <v>652</v>
      </c>
      <c r="B640">
        <v>40</v>
      </c>
      <c r="C640">
        <v>4</v>
      </c>
      <c r="D640">
        <v>18000</v>
      </c>
      <c r="E640">
        <v>5</v>
      </c>
      <c r="F640">
        <v>3.1</v>
      </c>
      <c r="G640">
        <v>68400</v>
      </c>
      <c r="H640" t="s">
        <v>1818</v>
      </c>
      <c r="I640" t="s">
        <v>1352</v>
      </c>
      <c r="J640" t="s">
        <v>1441</v>
      </c>
      <c r="K640" t="s">
        <v>1446</v>
      </c>
      <c r="L640" t="s">
        <v>1461</v>
      </c>
      <c r="M640" t="s">
        <v>1462</v>
      </c>
      <c r="N640" t="s">
        <v>1468</v>
      </c>
    </row>
    <row r="641" spans="1:14" x14ac:dyDescent="0.25">
      <c r="A641" t="s">
        <v>653</v>
      </c>
      <c r="B641">
        <v>23</v>
      </c>
      <c r="C641">
        <v>5</v>
      </c>
      <c r="D641">
        <v>27000</v>
      </c>
      <c r="E641">
        <v>0</v>
      </c>
      <c r="F641">
        <v>3.9</v>
      </c>
      <c r="G641">
        <v>135000</v>
      </c>
      <c r="H641" t="s">
        <v>1819</v>
      </c>
      <c r="I641" t="s">
        <v>1335</v>
      </c>
      <c r="J641" t="s">
        <v>1444</v>
      </c>
      <c r="K641" t="s">
        <v>1449</v>
      </c>
      <c r="L641" t="s">
        <v>1458</v>
      </c>
      <c r="M641" t="s">
        <v>1464</v>
      </c>
      <c r="N641" t="s">
        <v>1465</v>
      </c>
    </row>
    <row r="642" spans="1:14" x14ac:dyDescent="0.25">
      <c r="A642" t="s">
        <v>654</v>
      </c>
      <c r="B642">
        <v>46</v>
      </c>
      <c r="C642">
        <v>4</v>
      </c>
      <c r="D642">
        <v>27000</v>
      </c>
      <c r="E642">
        <v>10</v>
      </c>
      <c r="F642">
        <v>3.8</v>
      </c>
      <c r="G642">
        <v>97200</v>
      </c>
      <c r="H642" t="s">
        <v>1819</v>
      </c>
      <c r="I642" t="s">
        <v>1255</v>
      </c>
      <c r="J642" t="s">
        <v>1441</v>
      </c>
      <c r="K642" t="s">
        <v>1446</v>
      </c>
      <c r="L642" t="s">
        <v>1458</v>
      </c>
      <c r="M642" t="s">
        <v>1464</v>
      </c>
      <c r="N642" t="s">
        <v>1468</v>
      </c>
    </row>
    <row r="643" spans="1:14" x14ac:dyDescent="0.25">
      <c r="A643" t="s">
        <v>655</v>
      </c>
      <c r="B643">
        <v>18</v>
      </c>
      <c r="C643">
        <v>2</v>
      </c>
      <c r="D643">
        <v>25000</v>
      </c>
      <c r="E643">
        <v>15</v>
      </c>
      <c r="F643">
        <v>3</v>
      </c>
      <c r="G643">
        <v>42500</v>
      </c>
      <c r="H643" t="s">
        <v>1819</v>
      </c>
      <c r="I643" t="s">
        <v>1332</v>
      </c>
      <c r="J643" t="s">
        <v>1442</v>
      </c>
      <c r="K643" t="s">
        <v>1447</v>
      </c>
      <c r="L643" t="s">
        <v>1452</v>
      </c>
      <c r="M643" t="s">
        <v>1462</v>
      </c>
      <c r="N643" t="s">
        <v>1467</v>
      </c>
    </row>
    <row r="644" spans="1:14" x14ac:dyDescent="0.25">
      <c r="A644" t="s">
        <v>656</v>
      </c>
      <c r="B644">
        <v>40</v>
      </c>
      <c r="C644">
        <v>1</v>
      </c>
      <c r="D644">
        <v>32000</v>
      </c>
      <c r="E644">
        <v>20</v>
      </c>
      <c r="F644">
        <v>2.8</v>
      </c>
      <c r="G644">
        <v>25600</v>
      </c>
      <c r="H644" t="s">
        <v>1820</v>
      </c>
      <c r="I644" t="s">
        <v>1410</v>
      </c>
      <c r="J644" t="s">
        <v>1445</v>
      </c>
      <c r="K644" t="s">
        <v>1450</v>
      </c>
      <c r="L644" t="s">
        <v>1457</v>
      </c>
      <c r="M644" t="s">
        <v>1463</v>
      </c>
      <c r="N644" t="s">
        <v>1468</v>
      </c>
    </row>
    <row r="645" spans="1:14" x14ac:dyDescent="0.25">
      <c r="A645" t="s">
        <v>657</v>
      </c>
      <c r="B645">
        <v>49</v>
      </c>
      <c r="C645">
        <v>1</v>
      </c>
      <c r="D645">
        <v>18000</v>
      </c>
      <c r="E645">
        <v>5</v>
      </c>
      <c r="F645">
        <v>1.4</v>
      </c>
      <c r="G645">
        <v>17100</v>
      </c>
      <c r="H645" t="s">
        <v>1821</v>
      </c>
      <c r="I645" t="s">
        <v>1288</v>
      </c>
      <c r="J645" t="s">
        <v>1444</v>
      </c>
      <c r="K645" t="s">
        <v>1449</v>
      </c>
      <c r="L645" t="s">
        <v>1461</v>
      </c>
      <c r="M645" t="s">
        <v>1462</v>
      </c>
      <c r="N645" t="s">
        <v>1466</v>
      </c>
    </row>
    <row r="646" spans="1:14" x14ac:dyDescent="0.25">
      <c r="A646" t="s">
        <v>658</v>
      </c>
      <c r="B646">
        <v>23</v>
      </c>
      <c r="C646">
        <v>5</v>
      </c>
      <c r="D646">
        <v>30000</v>
      </c>
      <c r="E646">
        <v>0</v>
      </c>
      <c r="F646">
        <v>4.5</v>
      </c>
      <c r="G646">
        <v>150000</v>
      </c>
      <c r="H646" t="s">
        <v>1822</v>
      </c>
      <c r="I646" t="s">
        <v>1335</v>
      </c>
      <c r="J646" t="s">
        <v>1443</v>
      </c>
      <c r="K646" t="s">
        <v>1448</v>
      </c>
      <c r="L646" t="s">
        <v>1453</v>
      </c>
      <c r="M646" t="s">
        <v>1463</v>
      </c>
      <c r="N646" t="s">
        <v>1468</v>
      </c>
    </row>
    <row r="647" spans="1:14" x14ac:dyDescent="0.25">
      <c r="A647" t="s">
        <v>659</v>
      </c>
      <c r="B647">
        <v>49</v>
      </c>
      <c r="C647">
        <v>4</v>
      </c>
      <c r="D647">
        <v>28000</v>
      </c>
      <c r="E647">
        <v>10</v>
      </c>
      <c r="F647">
        <v>1.7</v>
      </c>
      <c r="G647">
        <v>100800</v>
      </c>
      <c r="H647" t="s">
        <v>1822</v>
      </c>
      <c r="I647" t="s">
        <v>1268</v>
      </c>
      <c r="J647" t="s">
        <v>1444</v>
      </c>
      <c r="K647" t="s">
        <v>1449</v>
      </c>
      <c r="L647" t="s">
        <v>1455</v>
      </c>
      <c r="M647" t="s">
        <v>1464</v>
      </c>
      <c r="N647" t="s">
        <v>1468</v>
      </c>
    </row>
    <row r="648" spans="1:14" x14ac:dyDescent="0.25">
      <c r="A648" t="s">
        <v>660</v>
      </c>
      <c r="B648">
        <v>42</v>
      </c>
      <c r="C648">
        <v>3</v>
      </c>
      <c r="D648">
        <v>22000</v>
      </c>
      <c r="E648">
        <v>15</v>
      </c>
      <c r="F648">
        <v>3.1</v>
      </c>
      <c r="G648">
        <v>56100</v>
      </c>
      <c r="H648" t="s">
        <v>1823</v>
      </c>
      <c r="I648" t="s">
        <v>1374</v>
      </c>
      <c r="J648" t="s">
        <v>1444</v>
      </c>
      <c r="K648" t="s">
        <v>1449</v>
      </c>
      <c r="L648" t="s">
        <v>1454</v>
      </c>
      <c r="M648" t="s">
        <v>1462</v>
      </c>
      <c r="N648" t="s">
        <v>1468</v>
      </c>
    </row>
    <row r="649" spans="1:14" x14ac:dyDescent="0.25">
      <c r="A649" t="s">
        <v>661</v>
      </c>
      <c r="B649">
        <v>17</v>
      </c>
      <c r="C649">
        <v>5</v>
      </c>
      <c r="D649">
        <v>27000</v>
      </c>
      <c r="E649">
        <v>15</v>
      </c>
      <c r="F649">
        <v>2.7</v>
      </c>
      <c r="G649">
        <v>114750</v>
      </c>
      <c r="H649" t="s">
        <v>1823</v>
      </c>
      <c r="I649" t="s">
        <v>1429</v>
      </c>
      <c r="J649" t="s">
        <v>1441</v>
      </c>
      <c r="K649" t="s">
        <v>1446</v>
      </c>
      <c r="L649" t="s">
        <v>1458</v>
      </c>
      <c r="M649" t="s">
        <v>1464</v>
      </c>
      <c r="N649" t="s">
        <v>1465</v>
      </c>
    </row>
    <row r="650" spans="1:14" x14ac:dyDescent="0.25">
      <c r="A650" t="s">
        <v>662</v>
      </c>
      <c r="B650">
        <v>31</v>
      </c>
      <c r="C650">
        <v>2</v>
      </c>
      <c r="D650">
        <v>27000</v>
      </c>
      <c r="E650">
        <v>0</v>
      </c>
      <c r="F650">
        <v>4.4000000000000004</v>
      </c>
      <c r="G650">
        <v>54000</v>
      </c>
      <c r="H650" t="s">
        <v>1824</v>
      </c>
      <c r="I650" t="s">
        <v>1360</v>
      </c>
      <c r="J650" t="s">
        <v>1445</v>
      </c>
      <c r="K650" t="s">
        <v>1450</v>
      </c>
      <c r="L650" t="s">
        <v>1458</v>
      </c>
      <c r="M650" t="s">
        <v>1464</v>
      </c>
      <c r="N650" t="s">
        <v>1465</v>
      </c>
    </row>
    <row r="651" spans="1:14" x14ac:dyDescent="0.25">
      <c r="A651" t="s">
        <v>663</v>
      </c>
      <c r="B651">
        <v>54</v>
      </c>
      <c r="C651">
        <v>2</v>
      </c>
      <c r="D651">
        <v>18000</v>
      </c>
      <c r="E651">
        <v>10</v>
      </c>
      <c r="F651">
        <v>1.2</v>
      </c>
      <c r="G651">
        <v>32400</v>
      </c>
      <c r="H651" t="s">
        <v>1825</v>
      </c>
      <c r="I651" t="s">
        <v>1312</v>
      </c>
      <c r="J651" t="s">
        <v>1441</v>
      </c>
      <c r="K651" t="s">
        <v>1446</v>
      </c>
      <c r="L651" t="s">
        <v>1460</v>
      </c>
      <c r="M651" t="s">
        <v>1463</v>
      </c>
      <c r="N651" t="s">
        <v>1465</v>
      </c>
    </row>
    <row r="652" spans="1:14" x14ac:dyDescent="0.25">
      <c r="A652" t="s">
        <v>664</v>
      </c>
      <c r="B652">
        <v>34</v>
      </c>
      <c r="C652">
        <v>3</v>
      </c>
      <c r="D652">
        <v>32000</v>
      </c>
      <c r="E652">
        <v>0</v>
      </c>
      <c r="F652">
        <v>4.4000000000000004</v>
      </c>
      <c r="G652">
        <v>96000</v>
      </c>
      <c r="H652" t="s">
        <v>1825</v>
      </c>
      <c r="I652" t="s">
        <v>1336</v>
      </c>
      <c r="J652" t="s">
        <v>1442</v>
      </c>
      <c r="K652" t="s">
        <v>1447</v>
      </c>
      <c r="L652" t="s">
        <v>1457</v>
      </c>
      <c r="M652" t="s">
        <v>1463</v>
      </c>
      <c r="N652" t="s">
        <v>1466</v>
      </c>
    </row>
    <row r="653" spans="1:14" x14ac:dyDescent="0.25">
      <c r="A653" t="s">
        <v>665</v>
      </c>
      <c r="B653">
        <v>19</v>
      </c>
      <c r="C653">
        <v>5</v>
      </c>
      <c r="D653">
        <v>22000</v>
      </c>
      <c r="E653">
        <v>20</v>
      </c>
      <c r="F653">
        <v>1.4</v>
      </c>
      <c r="G653">
        <v>88000</v>
      </c>
      <c r="H653" t="s">
        <v>1826</v>
      </c>
      <c r="I653" t="s">
        <v>1353</v>
      </c>
      <c r="J653" t="s">
        <v>1445</v>
      </c>
      <c r="K653" t="s">
        <v>1450</v>
      </c>
      <c r="L653" t="s">
        <v>1454</v>
      </c>
      <c r="M653" t="s">
        <v>1462</v>
      </c>
      <c r="N653" t="s">
        <v>1466</v>
      </c>
    </row>
    <row r="654" spans="1:14" x14ac:dyDescent="0.25">
      <c r="A654" t="s">
        <v>666</v>
      </c>
      <c r="B654">
        <v>53</v>
      </c>
      <c r="C654">
        <v>3</v>
      </c>
      <c r="D654">
        <v>32000</v>
      </c>
      <c r="E654">
        <v>20</v>
      </c>
      <c r="F654">
        <v>3.6</v>
      </c>
      <c r="G654">
        <v>76800</v>
      </c>
      <c r="H654" t="s">
        <v>1826</v>
      </c>
      <c r="I654" t="s">
        <v>1301</v>
      </c>
      <c r="J654" t="s">
        <v>1441</v>
      </c>
      <c r="K654" t="s">
        <v>1446</v>
      </c>
      <c r="L654" t="s">
        <v>1457</v>
      </c>
      <c r="M654" t="s">
        <v>1463</v>
      </c>
      <c r="N654" t="s">
        <v>1465</v>
      </c>
    </row>
    <row r="655" spans="1:14" x14ac:dyDescent="0.25">
      <c r="A655" t="s">
        <v>667</v>
      </c>
      <c r="B655">
        <v>19</v>
      </c>
      <c r="C655">
        <v>4</v>
      </c>
      <c r="D655">
        <v>22000</v>
      </c>
      <c r="E655">
        <v>15</v>
      </c>
      <c r="F655">
        <v>1.1000000000000001</v>
      </c>
      <c r="G655">
        <v>74800</v>
      </c>
      <c r="H655" t="s">
        <v>1827</v>
      </c>
      <c r="I655" t="s">
        <v>1310</v>
      </c>
      <c r="J655" t="s">
        <v>1443</v>
      </c>
      <c r="K655" t="s">
        <v>1448</v>
      </c>
      <c r="L655" t="s">
        <v>1454</v>
      </c>
      <c r="M655" t="s">
        <v>1462</v>
      </c>
      <c r="N655" t="s">
        <v>1465</v>
      </c>
    </row>
    <row r="656" spans="1:14" x14ac:dyDescent="0.25">
      <c r="A656" t="s">
        <v>668</v>
      </c>
      <c r="B656">
        <v>33</v>
      </c>
      <c r="C656">
        <v>3</v>
      </c>
      <c r="D656">
        <v>23000</v>
      </c>
      <c r="E656">
        <v>0</v>
      </c>
      <c r="F656">
        <v>1.5</v>
      </c>
      <c r="G656">
        <v>69000</v>
      </c>
      <c r="H656" t="s">
        <v>1828</v>
      </c>
      <c r="I656" t="s">
        <v>1269</v>
      </c>
      <c r="J656" t="s">
        <v>1441</v>
      </c>
      <c r="K656" t="s">
        <v>1446</v>
      </c>
      <c r="L656" t="s">
        <v>1456</v>
      </c>
      <c r="M656" t="s">
        <v>1463</v>
      </c>
      <c r="N656" t="s">
        <v>1465</v>
      </c>
    </row>
    <row r="657" spans="1:14" x14ac:dyDescent="0.25">
      <c r="A657" t="s">
        <v>669</v>
      </c>
      <c r="B657">
        <v>21</v>
      </c>
      <c r="C657">
        <v>5</v>
      </c>
      <c r="D657">
        <v>32000</v>
      </c>
      <c r="E657">
        <v>20</v>
      </c>
      <c r="F657">
        <v>3</v>
      </c>
      <c r="G657">
        <v>128000</v>
      </c>
      <c r="H657" t="s">
        <v>1829</v>
      </c>
      <c r="I657" t="s">
        <v>1248</v>
      </c>
      <c r="J657" t="s">
        <v>1441</v>
      </c>
      <c r="K657" t="s">
        <v>1446</v>
      </c>
      <c r="L657" t="s">
        <v>1457</v>
      </c>
      <c r="M657" t="s">
        <v>1463</v>
      </c>
      <c r="N657" t="s">
        <v>1468</v>
      </c>
    </row>
    <row r="658" spans="1:14" x14ac:dyDescent="0.25">
      <c r="A658" t="s">
        <v>670</v>
      </c>
      <c r="B658">
        <v>49</v>
      </c>
      <c r="C658">
        <v>3</v>
      </c>
      <c r="D658">
        <v>25000</v>
      </c>
      <c r="E658">
        <v>20</v>
      </c>
      <c r="F658">
        <v>3.9</v>
      </c>
      <c r="G658">
        <v>60000</v>
      </c>
      <c r="H658" t="s">
        <v>1830</v>
      </c>
      <c r="I658" t="s">
        <v>1428</v>
      </c>
      <c r="J658" t="s">
        <v>1444</v>
      </c>
      <c r="K658" t="s">
        <v>1449</v>
      </c>
      <c r="L658" t="s">
        <v>1452</v>
      </c>
      <c r="M658" t="s">
        <v>1462</v>
      </c>
      <c r="N658" t="s">
        <v>1465</v>
      </c>
    </row>
    <row r="659" spans="1:14" x14ac:dyDescent="0.25">
      <c r="A659" t="s">
        <v>671</v>
      </c>
      <c r="B659">
        <v>43</v>
      </c>
      <c r="C659">
        <v>1</v>
      </c>
      <c r="D659">
        <v>28000</v>
      </c>
      <c r="E659">
        <v>0</v>
      </c>
      <c r="F659">
        <v>3.8</v>
      </c>
      <c r="G659">
        <v>28000</v>
      </c>
      <c r="H659" t="s">
        <v>1830</v>
      </c>
      <c r="I659" t="s">
        <v>1278</v>
      </c>
      <c r="J659" t="s">
        <v>1445</v>
      </c>
      <c r="K659" t="s">
        <v>1450</v>
      </c>
      <c r="L659" t="s">
        <v>1455</v>
      </c>
      <c r="M659" t="s">
        <v>1464</v>
      </c>
      <c r="N659" t="s">
        <v>1466</v>
      </c>
    </row>
    <row r="660" spans="1:14" x14ac:dyDescent="0.25">
      <c r="A660" t="s">
        <v>672</v>
      </c>
      <c r="B660">
        <v>42</v>
      </c>
      <c r="C660">
        <v>4</v>
      </c>
      <c r="D660">
        <v>23000</v>
      </c>
      <c r="E660">
        <v>20</v>
      </c>
      <c r="F660">
        <v>1.1000000000000001</v>
      </c>
      <c r="G660">
        <v>73600</v>
      </c>
      <c r="H660" t="s">
        <v>1830</v>
      </c>
      <c r="I660" t="s">
        <v>1374</v>
      </c>
      <c r="J660" t="s">
        <v>1444</v>
      </c>
      <c r="K660" t="s">
        <v>1449</v>
      </c>
      <c r="L660" t="s">
        <v>1456</v>
      </c>
      <c r="M660" t="s">
        <v>1463</v>
      </c>
      <c r="N660" t="s">
        <v>1468</v>
      </c>
    </row>
    <row r="661" spans="1:14" x14ac:dyDescent="0.25">
      <c r="A661" t="s">
        <v>673</v>
      </c>
      <c r="B661">
        <v>48</v>
      </c>
      <c r="C661">
        <v>3</v>
      </c>
      <c r="D661">
        <v>25000</v>
      </c>
      <c r="E661">
        <v>0</v>
      </c>
      <c r="F661">
        <v>1.7</v>
      </c>
      <c r="G661">
        <v>75000</v>
      </c>
      <c r="H661" t="s">
        <v>1831</v>
      </c>
      <c r="I661" t="s">
        <v>1430</v>
      </c>
      <c r="J661" t="s">
        <v>1445</v>
      </c>
      <c r="K661" t="s">
        <v>1450</v>
      </c>
      <c r="L661" t="s">
        <v>1452</v>
      </c>
      <c r="M661" t="s">
        <v>1462</v>
      </c>
      <c r="N661" t="s">
        <v>1467</v>
      </c>
    </row>
    <row r="662" spans="1:14" x14ac:dyDescent="0.25">
      <c r="A662" t="s">
        <v>674</v>
      </c>
      <c r="B662">
        <v>25</v>
      </c>
      <c r="C662">
        <v>3</v>
      </c>
      <c r="D662">
        <v>30000</v>
      </c>
      <c r="E662">
        <v>0</v>
      </c>
      <c r="F662">
        <v>3.9</v>
      </c>
      <c r="G662">
        <v>90000</v>
      </c>
      <c r="H662" t="s">
        <v>1831</v>
      </c>
      <c r="I662" t="s">
        <v>1308</v>
      </c>
      <c r="J662" t="s">
        <v>1444</v>
      </c>
      <c r="K662" t="s">
        <v>1449</v>
      </c>
      <c r="L662" t="s">
        <v>1453</v>
      </c>
      <c r="M662" t="s">
        <v>1463</v>
      </c>
      <c r="N662" t="s">
        <v>1465</v>
      </c>
    </row>
    <row r="663" spans="1:14" x14ac:dyDescent="0.25">
      <c r="A663" t="s">
        <v>675</v>
      </c>
      <c r="B663">
        <v>18</v>
      </c>
      <c r="C663">
        <v>3</v>
      </c>
      <c r="D663">
        <v>22000</v>
      </c>
      <c r="E663">
        <v>20</v>
      </c>
      <c r="F663">
        <v>3.2</v>
      </c>
      <c r="G663">
        <v>52800</v>
      </c>
      <c r="H663" t="s">
        <v>1832</v>
      </c>
      <c r="I663" t="s">
        <v>1386</v>
      </c>
      <c r="J663" t="s">
        <v>1444</v>
      </c>
      <c r="K663" t="s">
        <v>1449</v>
      </c>
      <c r="L663" t="s">
        <v>1454</v>
      </c>
      <c r="M663" t="s">
        <v>1462</v>
      </c>
      <c r="N663" t="s">
        <v>1467</v>
      </c>
    </row>
    <row r="664" spans="1:14" x14ac:dyDescent="0.25">
      <c r="A664" t="s">
        <v>676</v>
      </c>
      <c r="B664">
        <v>17</v>
      </c>
      <c r="C664">
        <v>4</v>
      </c>
      <c r="D664">
        <v>18000</v>
      </c>
      <c r="E664">
        <v>20</v>
      </c>
      <c r="F664">
        <v>3.1</v>
      </c>
      <c r="G664">
        <v>57600</v>
      </c>
      <c r="H664" t="s">
        <v>1832</v>
      </c>
      <c r="I664" t="s">
        <v>1429</v>
      </c>
      <c r="J664" t="s">
        <v>1443</v>
      </c>
      <c r="K664" t="s">
        <v>1448</v>
      </c>
      <c r="L664" t="s">
        <v>1460</v>
      </c>
      <c r="M664" t="s">
        <v>1463</v>
      </c>
      <c r="N664" t="s">
        <v>1467</v>
      </c>
    </row>
    <row r="665" spans="1:14" x14ac:dyDescent="0.25">
      <c r="A665" t="s">
        <v>677</v>
      </c>
      <c r="B665">
        <v>29</v>
      </c>
      <c r="C665">
        <v>5</v>
      </c>
      <c r="D665">
        <v>32000</v>
      </c>
      <c r="E665">
        <v>15</v>
      </c>
      <c r="F665">
        <v>3.7</v>
      </c>
      <c r="G665">
        <v>136000</v>
      </c>
      <c r="H665" t="s">
        <v>1833</v>
      </c>
      <c r="I665" t="s">
        <v>1356</v>
      </c>
      <c r="J665" t="s">
        <v>1443</v>
      </c>
      <c r="K665" t="s">
        <v>1448</v>
      </c>
      <c r="L665" t="s">
        <v>1457</v>
      </c>
      <c r="M665" t="s">
        <v>1463</v>
      </c>
      <c r="N665" t="s">
        <v>1466</v>
      </c>
    </row>
    <row r="666" spans="1:14" x14ac:dyDescent="0.25">
      <c r="A666" t="s">
        <v>678</v>
      </c>
      <c r="B666">
        <v>44</v>
      </c>
      <c r="C666">
        <v>4</v>
      </c>
      <c r="D666">
        <v>20000</v>
      </c>
      <c r="E666">
        <v>20</v>
      </c>
      <c r="F666">
        <v>1.5</v>
      </c>
      <c r="G666">
        <v>64000</v>
      </c>
      <c r="H666" t="s">
        <v>1833</v>
      </c>
      <c r="I666" t="s">
        <v>1404</v>
      </c>
      <c r="J666" t="s">
        <v>1443</v>
      </c>
      <c r="K666" t="s">
        <v>1448</v>
      </c>
      <c r="L666" t="s">
        <v>1459</v>
      </c>
      <c r="M666" t="s">
        <v>1462</v>
      </c>
      <c r="N666" t="s">
        <v>1465</v>
      </c>
    </row>
    <row r="667" spans="1:14" x14ac:dyDescent="0.25">
      <c r="A667" t="s">
        <v>679</v>
      </c>
      <c r="B667">
        <v>18</v>
      </c>
      <c r="C667">
        <v>5</v>
      </c>
      <c r="D667">
        <v>28000</v>
      </c>
      <c r="E667">
        <v>10</v>
      </c>
      <c r="F667">
        <v>4.8</v>
      </c>
      <c r="G667">
        <v>126000</v>
      </c>
      <c r="H667" t="s">
        <v>1834</v>
      </c>
      <c r="I667" t="s">
        <v>1373</v>
      </c>
      <c r="J667" t="s">
        <v>1443</v>
      </c>
      <c r="K667" t="s">
        <v>1448</v>
      </c>
      <c r="L667" t="s">
        <v>1455</v>
      </c>
      <c r="M667" t="s">
        <v>1464</v>
      </c>
      <c r="N667" t="s">
        <v>1466</v>
      </c>
    </row>
    <row r="668" spans="1:14" x14ac:dyDescent="0.25">
      <c r="A668" t="s">
        <v>680</v>
      </c>
      <c r="B668">
        <v>44</v>
      </c>
      <c r="C668">
        <v>3</v>
      </c>
      <c r="D668">
        <v>22000</v>
      </c>
      <c r="E668">
        <v>0</v>
      </c>
      <c r="F668">
        <v>2.6</v>
      </c>
      <c r="G668">
        <v>66000</v>
      </c>
      <c r="H668" t="s">
        <v>1834</v>
      </c>
      <c r="I668" t="s">
        <v>1398</v>
      </c>
      <c r="J668" t="s">
        <v>1445</v>
      </c>
      <c r="K668" t="s">
        <v>1450</v>
      </c>
      <c r="L668" t="s">
        <v>1454</v>
      </c>
      <c r="M668" t="s">
        <v>1462</v>
      </c>
      <c r="N668" t="s">
        <v>1466</v>
      </c>
    </row>
    <row r="669" spans="1:14" x14ac:dyDescent="0.25">
      <c r="A669" t="s">
        <v>681</v>
      </c>
      <c r="B669">
        <v>41</v>
      </c>
      <c r="C669">
        <v>4</v>
      </c>
      <c r="D669">
        <v>18000</v>
      </c>
      <c r="E669">
        <v>0</v>
      </c>
      <c r="F669">
        <v>4.8</v>
      </c>
      <c r="G669">
        <v>72000</v>
      </c>
      <c r="H669" t="s">
        <v>1834</v>
      </c>
      <c r="I669" t="s">
        <v>1244</v>
      </c>
      <c r="J669" t="s">
        <v>1444</v>
      </c>
      <c r="K669" t="s">
        <v>1449</v>
      </c>
      <c r="L669" t="s">
        <v>1461</v>
      </c>
      <c r="M669" t="s">
        <v>1462</v>
      </c>
      <c r="N669" t="s">
        <v>1465</v>
      </c>
    </row>
    <row r="670" spans="1:14" x14ac:dyDescent="0.25">
      <c r="A670" t="s">
        <v>682</v>
      </c>
      <c r="B670">
        <v>42</v>
      </c>
      <c r="C670">
        <v>1</v>
      </c>
      <c r="D670">
        <v>25000</v>
      </c>
      <c r="E670">
        <v>0</v>
      </c>
      <c r="F670">
        <v>2.7</v>
      </c>
      <c r="G670">
        <v>25000</v>
      </c>
      <c r="H670" t="s">
        <v>1834</v>
      </c>
      <c r="I670" t="s">
        <v>1272</v>
      </c>
      <c r="J670" t="s">
        <v>1443</v>
      </c>
      <c r="K670" t="s">
        <v>1448</v>
      </c>
      <c r="L670" t="s">
        <v>1452</v>
      </c>
      <c r="M670" t="s">
        <v>1462</v>
      </c>
      <c r="N670" t="s">
        <v>1468</v>
      </c>
    </row>
    <row r="671" spans="1:14" x14ac:dyDescent="0.25">
      <c r="A671" t="s">
        <v>683</v>
      </c>
      <c r="B671">
        <v>42</v>
      </c>
      <c r="C671">
        <v>1</v>
      </c>
      <c r="D671">
        <v>18000</v>
      </c>
      <c r="E671">
        <v>10</v>
      </c>
      <c r="F671">
        <v>1.3</v>
      </c>
      <c r="G671">
        <v>16200</v>
      </c>
      <c r="H671" t="s">
        <v>1835</v>
      </c>
      <c r="I671" t="s">
        <v>1391</v>
      </c>
      <c r="J671" t="s">
        <v>1445</v>
      </c>
      <c r="K671" t="s">
        <v>1450</v>
      </c>
      <c r="L671" t="s">
        <v>1460</v>
      </c>
      <c r="M671" t="s">
        <v>1463</v>
      </c>
      <c r="N671" t="s">
        <v>1468</v>
      </c>
    </row>
    <row r="672" spans="1:14" x14ac:dyDescent="0.25">
      <c r="A672" t="s">
        <v>684</v>
      </c>
      <c r="B672">
        <v>53</v>
      </c>
      <c r="C672">
        <v>2</v>
      </c>
      <c r="D672">
        <v>22000</v>
      </c>
      <c r="E672">
        <v>10</v>
      </c>
      <c r="F672">
        <v>3.6</v>
      </c>
      <c r="G672">
        <v>39600</v>
      </c>
      <c r="H672" t="s">
        <v>1835</v>
      </c>
      <c r="I672" t="s">
        <v>1276</v>
      </c>
      <c r="J672" t="s">
        <v>1441</v>
      </c>
      <c r="K672" t="s">
        <v>1446</v>
      </c>
      <c r="L672" t="s">
        <v>1454</v>
      </c>
      <c r="M672" t="s">
        <v>1462</v>
      </c>
      <c r="N672" t="s">
        <v>1466</v>
      </c>
    </row>
    <row r="673" spans="1:14" x14ac:dyDescent="0.25">
      <c r="A673" t="s">
        <v>685</v>
      </c>
      <c r="B673">
        <v>28</v>
      </c>
      <c r="C673">
        <v>1</v>
      </c>
      <c r="D673">
        <v>30000</v>
      </c>
      <c r="E673">
        <v>0</v>
      </c>
      <c r="F673">
        <v>2.1</v>
      </c>
      <c r="G673">
        <v>30000</v>
      </c>
      <c r="H673" t="s">
        <v>1836</v>
      </c>
      <c r="I673" t="s">
        <v>1431</v>
      </c>
      <c r="J673" t="s">
        <v>1444</v>
      </c>
      <c r="K673" t="s">
        <v>1449</v>
      </c>
      <c r="L673" t="s">
        <v>1453</v>
      </c>
      <c r="M673" t="s">
        <v>1463</v>
      </c>
      <c r="N673" t="s">
        <v>1468</v>
      </c>
    </row>
    <row r="674" spans="1:14" x14ac:dyDescent="0.25">
      <c r="A674" t="s">
        <v>686</v>
      </c>
      <c r="B674">
        <v>31</v>
      </c>
      <c r="C674">
        <v>5</v>
      </c>
      <c r="D674">
        <v>20000</v>
      </c>
      <c r="E674">
        <v>15</v>
      </c>
      <c r="F674">
        <v>4.5</v>
      </c>
      <c r="G674">
        <v>85000</v>
      </c>
      <c r="H674" t="s">
        <v>1836</v>
      </c>
      <c r="I674" t="s">
        <v>1369</v>
      </c>
      <c r="J674" t="s">
        <v>1443</v>
      </c>
      <c r="K674" t="s">
        <v>1448</v>
      </c>
      <c r="L674" t="s">
        <v>1459</v>
      </c>
      <c r="M674" t="s">
        <v>1462</v>
      </c>
      <c r="N674" t="s">
        <v>1466</v>
      </c>
    </row>
    <row r="675" spans="1:14" x14ac:dyDescent="0.25">
      <c r="A675" t="s">
        <v>687</v>
      </c>
      <c r="B675">
        <v>24</v>
      </c>
      <c r="C675">
        <v>4</v>
      </c>
      <c r="D675">
        <v>22000</v>
      </c>
      <c r="E675">
        <v>15</v>
      </c>
      <c r="F675">
        <v>1.2</v>
      </c>
      <c r="G675">
        <v>74800</v>
      </c>
      <c r="H675" t="s">
        <v>1836</v>
      </c>
      <c r="I675" t="s">
        <v>1295</v>
      </c>
      <c r="J675" t="s">
        <v>1443</v>
      </c>
      <c r="K675" t="s">
        <v>1448</v>
      </c>
      <c r="L675" t="s">
        <v>1454</v>
      </c>
      <c r="M675" t="s">
        <v>1462</v>
      </c>
      <c r="N675" t="s">
        <v>1465</v>
      </c>
    </row>
    <row r="676" spans="1:14" x14ac:dyDescent="0.25">
      <c r="A676" t="s">
        <v>688</v>
      </c>
      <c r="B676">
        <v>32</v>
      </c>
      <c r="C676">
        <v>3</v>
      </c>
      <c r="D676">
        <v>22000</v>
      </c>
      <c r="E676">
        <v>0</v>
      </c>
      <c r="F676">
        <v>4.7</v>
      </c>
      <c r="G676">
        <v>66000</v>
      </c>
      <c r="H676" t="s">
        <v>1836</v>
      </c>
      <c r="I676" t="s">
        <v>1366</v>
      </c>
      <c r="J676" t="s">
        <v>1441</v>
      </c>
      <c r="K676" t="s">
        <v>1446</v>
      </c>
      <c r="L676" t="s">
        <v>1454</v>
      </c>
      <c r="M676" t="s">
        <v>1462</v>
      </c>
      <c r="N676" t="s">
        <v>1467</v>
      </c>
    </row>
    <row r="677" spans="1:14" x14ac:dyDescent="0.25">
      <c r="A677" t="s">
        <v>689</v>
      </c>
      <c r="B677">
        <v>21</v>
      </c>
      <c r="C677">
        <v>1</v>
      </c>
      <c r="D677">
        <v>18000</v>
      </c>
      <c r="E677">
        <v>5</v>
      </c>
      <c r="F677">
        <v>4.5999999999999996</v>
      </c>
      <c r="G677">
        <v>17100</v>
      </c>
      <c r="H677" t="s">
        <v>1837</v>
      </c>
      <c r="I677" t="s">
        <v>1368</v>
      </c>
      <c r="J677" t="s">
        <v>1444</v>
      </c>
      <c r="K677" t="s">
        <v>1449</v>
      </c>
      <c r="L677" t="s">
        <v>1461</v>
      </c>
      <c r="M677" t="s">
        <v>1462</v>
      </c>
      <c r="N677" t="s">
        <v>1468</v>
      </c>
    </row>
    <row r="678" spans="1:14" x14ac:dyDescent="0.25">
      <c r="A678" t="s">
        <v>690</v>
      </c>
      <c r="B678">
        <v>33</v>
      </c>
      <c r="C678">
        <v>3</v>
      </c>
      <c r="D678">
        <v>22000</v>
      </c>
      <c r="E678">
        <v>5</v>
      </c>
      <c r="F678">
        <v>1.1000000000000001</v>
      </c>
      <c r="G678">
        <v>62700</v>
      </c>
      <c r="H678" t="s">
        <v>1837</v>
      </c>
      <c r="I678" t="s">
        <v>1264</v>
      </c>
      <c r="J678" t="s">
        <v>1444</v>
      </c>
      <c r="K678" t="s">
        <v>1449</v>
      </c>
      <c r="L678" t="s">
        <v>1454</v>
      </c>
      <c r="M678" t="s">
        <v>1462</v>
      </c>
      <c r="N678" t="s">
        <v>1468</v>
      </c>
    </row>
    <row r="679" spans="1:14" x14ac:dyDescent="0.25">
      <c r="A679" t="s">
        <v>691</v>
      </c>
      <c r="B679">
        <v>30</v>
      </c>
      <c r="C679">
        <v>1</v>
      </c>
      <c r="D679">
        <v>18000</v>
      </c>
      <c r="E679">
        <v>0</v>
      </c>
      <c r="F679">
        <v>2.6</v>
      </c>
      <c r="G679">
        <v>18000</v>
      </c>
      <c r="H679" t="s">
        <v>1837</v>
      </c>
      <c r="I679" t="s">
        <v>1425</v>
      </c>
      <c r="J679" t="s">
        <v>1442</v>
      </c>
      <c r="K679" t="s">
        <v>1447</v>
      </c>
      <c r="L679" t="s">
        <v>1461</v>
      </c>
      <c r="M679" t="s">
        <v>1462</v>
      </c>
      <c r="N679" t="s">
        <v>1465</v>
      </c>
    </row>
    <row r="680" spans="1:14" x14ac:dyDescent="0.25">
      <c r="A680" t="s">
        <v>692</v>
      </c>
      <c r="B680">
        <v>21</v>
      </c>
      <c r="C680">
        <v>3</v>
      </c>
      <c r="D680">
        <v>23000</v>
      </c>
      <c r="E680">
        <v>0</v>
      </c>
      <c r="F680">
        <v>4.7</v>
      </c>
      <c r="G680">
        <v>69000</v>
      </c>
      <c r="H680" t="s">
        <v>1838</v>
      </c>
      <c r="I680" t="s">
        <v>1248</v>
      </c>
      <c r="J680" t="s">
        <v>1442</v>
      </c>
      <c r="K680" t="s">
        <v>1447</v>
      </c>
      <c r="L680" t="s">
        <v>1456</v>
      </c>
      <c r="M680" t="s">
        <v>1463</v>
      </c>
      <c r="N680" t="s">
        <v>1467</v>
      </c>
    </row>
    <row r="681" spans="1:14" x14ac:dyDescent="0.25">
      <c r="A681" t="s">
        <v>693</v>
      </c>
      <c r="B681">
        <v>48</v>
      </c>
      <c r="C681">
        <v>2</v>
      </c>
      <c r="D681">
        <v>18000</v>
      </c>
      <c r="E681">
        <v>0</v>
      </c>
      <c r="F681">
        <v>1.7</v>
      </c>
      <c r="G681">
        <v>36000</v>
      </c>
      <c r="H681" t="s">
        <v>1839</v>
      </c>
      <c r="I681" t="s">
        <v>1306</v>
      </c>
      <c r="J681" t="s">
        <v>1441</v>
      </c>
      <c r="K681" t="s">
        <v>1446</v>
      </c>
      <c r="L681" t="s">
        <v>1461</v>
      </c>
      <c r="M681" t="s">
        <v>1462</v>
      </c>
      <c r="N681" t="s">
        <v>1468</v>
      </c>
    </row>
    <row r="682" spans="1:14" x14ac:dyDescent="0.25">
      <c r="A682" t="s">
        <v>694</v>
      </c>
      <c r="B682">
        <v>34</v>
      </c>
      <c r="C682">
        <v>3</v>
      </c>
      <c r="D682">
        <v>30000</v>
      </c>
      <c r="E682">
        <v>0</v>
      </c>
      <c r="F682">
        <v>1.5</v>
      </c>
      <c r="G682">
        <v>90000</v>
      </c>
      <c r="H682" t="s">
        <v>1839</v>
      </c>
      <c r="I682" t="s">
        <v>1361</v>
      </c>
      <c r="J682" t="s">
        <v>1442</v>
      </c>
      <c r="K682" t="s">
        <v>1447</v>
      </c>
      <c r="L682" t="s">
        <v>1453</v>
      </c>
      <c r="M682" t="s">
        <v>1463</v>
      </c>
      <c r="N682" t="s">
        <v>1468</v>
      </c>
    </row>
    <row r="683" spans="1:14" x14ac:dyDescent="0.25">
      <c r="A683" t="s">
        <v>695</v>
      </c>
      <c r="B683">
        <v>29</v>
      </c>
      <c r="C683">
        <v>4</v>
      </c>
      <c r="D683">
        <v>25000</v>
      </c>
      <c r="E683">
        <v>0</v>
      </c>
      <c r="F683">
        <v>1.8</v>
      </c>
      <c r="G683">
        <v>100000</v>
      </c>
      <c r="H683" t="s">
        <v>1840</v>
      </c>
      <c r="I683" t="s">
        <v>1377</v>
      </c>
      <c r="J683" t="s">
        <v>1441</v>
      </c>
      <c r="K683" t="s">
        <v>1446</v>
      </c>
      <c r="L683" t="s">
        <v>1452</v>
      </c>
      <c r="M683" t="s">
        <v>1462</v>
      </c>
      <c r="N683" t="s">
        <v>1465</v>
      </c>
    </row>
    <row r="684" spans="1:14" x14ac:dyDescent="0.25">
      <c r="A684" t="s">
        <v>696</v>
      </c>
      <c r="B684">
        <v>40</v>
      </c>
      <c r="C684">
        <v>4</v>
      </c>
      <c r="D684">
        <v>30000</v>
      </c>
      <c r="E684">
        <v>5</v>
      </c>
      <c r="F684">
        <v>4.9000000000000004</v>
      </c>
      <c r="G684">
        <v>114000</v>
      </c>
      <c r="H684" t="s">
        <v>1841</v>
      </c>
      <c r="I684" t="s">
        <v>1251</v>
      </c>
      <c r="J684" t="s">
        <v>1441</v>
      </c>
      <c r="K684" t="s">
        <v>1446</v>
      </c>
      <c r="L684" t="s">
        <v>1453</v>
      </c>
      <c r="M684" t="s">
        <v>1463</v>
      </c>
      <c r="N684" t="s">
        <v>1466</v>
      </c>
    </row>
    <row r="685" spans="1:14" x14ac:dyDescent="0.25">
      <c r="A685" t="s">
        <v>697</v>
      </c>
      <c r="B685">
        <v>33</v>
      </c>
      <c r="C685">
        <v>2</v>
      </c>
      <c r="D685">
        <v>25000</v>
      </c>
      <c r="E685">
        <v>0</v>
      </c>
      <c r="F685">
        <v>1.8</v>
      </c>
      <c r="G685">
        <v>50000</v>
      </c>
      <c r="H685" t="s">
        <v>1842</v>
      </c>
      <c r="I685" t="s">
        <v>1253</v>
      </c>
      <c r="J685" t="s">
        <v>1445</v>
      </c>
      <c r="K685" t="s">
        <v>1450</v>
      </c>
      <c r="L685" t="s">
        <v>1452</v>
      </c>
      <c r="M685" t="s">
        <v>1462</v>
      </c>
      <c r="N685" t="s">
        <v>1467</v>
      </c>
    </row>
    <row r="686" spans="1:14" x14ac:dyDescent="0.25">
      <c r="A686" t="s">
        <v>698</v>
      </c>
      <c r="B686">
        <v>40</v>
      </c>
      <c r="C686">
        <v>5</v>
      </c>
      <c r="D686">
        <v>23000</v>
      </c>
      <c r="E686">
        <v>15</v>
      </c>
      <c r="F686">
        <v>4.5</v>
      </c>
      <c r="G686">
        <v>97750</v>
      </c>
      <c r="H686" t="s">
        <v>1842</v>
      </c>
      <c r="I686" t="s">
        <v>1326</v>
      </c>
      <c r="J686" t="s">
        <v>1441</v>
      </c>
      <c r="K686" t="s">
        <v>1446</v>
      </c>
      <c r="L686" t="s">
        <v>1456</v>
      </c>
      <c r="M686" t="s">
        <v>1463</v>
      </c>
      <c r="N686" t="s">
        <v>1465</v>
      </c>
    </row>
    <row r="687" spans="1:14" x14ac:dyDescent="0.25">
      <c r="A687" t="s">
        <v>699</v>
      </c>
      <c r="B687">
        <v>42</v>
      </c>
      <c r="C687">
        <v>5</v>
      </c>
      <c r="D687">
        <v>20000</v>
      </c>
      <c r="E687">
        <v>20</v>
      </c>
      <c r="F687">
        <v>2.7</v>
      </c>
      <c r="G687">
        <v>80000</v>
      </c>
      <c r="H687" t="s">
        <v>1843</v>
      </c>
      <c r="I687" t="s">
        <v>1320</v>
      </c>
      <c r="J687" t="s">
        <v>1443</v>
      </c>
      <c r="K687" t="s">
        <v>1448</v>
      </c>
      <c r="L687" t="s">
        <v>1459</v>
      </c>
      <c r="M687" t="s">
        <v>1462</v>
      </c>
      <c r="N687" t="s">
        <v>1467</v>
      </c>
    </row>
    <row r="688" spans="1:14" x14ac:dyDescent="0.25">
      <c r="A688" t="s">
        <v>700</v>
      </c>
      <c r="B688">
        <v>27</v>
      </c>
      <c r="C688">
        <v>5</v>
      </c>
      <c r="D688">
        <v>28000</v>
      </c>
      <c r="E688">
        <v>5</v>
      </c>
      <c r="F688">
        <v>1.6</v>
      </c>
      <c r="G688">
        <v>133000</v>
      </c>
      <c r="H688" t="s">
        <v>1844</v>
      </c>
      <c r="I688" t="s">
        <v>1241</v>
      </c>
      <c r="J688" t="s">
        <v>1442</v>
      </c>
      <c r="K688" t="s">
        <v>1447</v>
      </c>
      <c r="L688" t="s">
        <v>1455</v>
      </c>
      <c r="M688" t="s">
        <v>1464</v>
      </c>
      <c r="N688" t="s">
        <v>1467</v>
      </c>
    </row>
    <row r="689" spans="1:14" x14ac:dyDescent="0.25">
      <c r="A689" t="s">
        <v>701</v>
      </c>
      <c r="B689">
        <v>42</v>
      </c>
      <c r="C689">
        <v>4</v>
      </c>
      <c r="D689">
        <v>32000</v>
      </c>
      <c r="E689">
        <v>0</v>
      </c>
      <c r="F689">
        <v>4.5999999999999996</v>
      </c>
      <c r="G689">
        <v>128000</v>
      </c>
      <c r="H689" t="s">
        <v>1845</v>
      </c>
      <c r="I689" t="s">
        <v>1370</v>
      </c>
      <c r="J689" t="s">
        <v>1442</v>
      </c>
      <c r="K689" t="s">
        <v>1447</v>
      </c>
      <c r="L689" t="s">
        <v>1457</v>
      </c>
      <c r="M689" t="s">
        <v>1463</v>
      </c>
      <c r="N689" t="s">
        <v>1466</v>
      </c>
    </row>
    <row r="690" spans="1:14" x14ac:dyDescent="0.25">
      <c r="A690" t="s">
        <v>702</v>
      </c>
      <c r="B690">
        <v>18</v>
      </c>
      <c r="C690">
        <v>5</v>
      </c>
      <c r="D690">
        <v>28000</v>
      </c>
      <c r="E690">
        <v>10</v>
      </c>
      <c r="F690">
        <v>2.4</v>
      </c>
      <c r="G690">
        <v>126000</v>
      </c>
      <c r="H690" t="s">
        <v>1846</v>
      </c>
      <c r="I690" t="s">
        <v>1344</v>
      </c>
      <c r="J690" t="s">
        <v>1445</v>
      </c>
      <c r="K690" t="s">
        <v>1450</v>
      </c>
      <c r="L690" t="s">
        <v>1455</v>
      </c>
      <c r="M690" t="s">
        <v>1464</v>
      </c>
      <c r="N690" t="s">
        <v>1468</v>
      </c>
    </row>
    <row r="691" spans="1:14" x14ac:dyDescent="0.25">
      <c r="A691" t="s">
        <v>703</v>
      </c>
      <c r="B691">
        <v>49</v>
      </c>
      <c r="C691">
        <v>5</v>
      </c>
      <c r="D691">
        <v>32000</v>
      </c>
      <c r="E691">
        <v>20</v>
      </c>
      <c r="F691">
        <v>2.9</v>
      </c>
      <c r="G691">
        <v>128000</v>
      </c>
      <c r="H691" t="s">
        <v>1847</v>
      </c>
      <c r="I691" t="s">
        <v>1330</v>
      </c>
      <c r="J691" t="s">
        <v>1441</v>
      </c>
      <c r="K691" t="s">
        <v>1446</v>
      </c>
      <c r="L691" t="s">
        <v>1457</v>
      </c>
      <c r="M691" t="s">
        <v>1463</v>
      </c>
      <c r="N691" t="s">
        <v>1466</v>
      </c>
    </row>
    <row r="692" spans="1:14" x14ac:dyDescent="0.25">
      <c r="A692" t="s">
        <v>704</v>
      </c>
      <c r="B692">
        <v>39</v>
      </c>
      <c r="C692">
        <v>5</v>
      </c>
      <c r="D692">
        <v>22000</v>
      </c>
      <c r="E692">
        <v>10</v>
      </c>
      <c r="F692">
        <v>4</v>
      </c>
      <c r="G692">
        <v>99000</v>
      </c>
      <c r="H692" t="s">
        <v>1848</v>
      </c>
      <c r="I692" t="s">
        <v>1250</v>
      </c>
      <c r="J692" t="s">
        <v>1444</v>
      </c>
      <c r="K692" t="s">
        <v>1449</v>
      </c>
      <c r="L692" t="s">
        <v>1454</v>
      </c>
      <c r="M692" t="s">
        <v>1462</v>
      </c>
      <c r="N692" t="s">
        <v>1468</v>
      </c>
    </row>
    <row r="693" spans="1:14" x14ac:dyDescent="0.25">
      <c r="A693" t="s">
        <v>705</v>
      </c>
      <c r="B693">
        <v>49</v>
      </c>
      <c r="C693">
        <v>2</v>
      </c>
      <c r="D693">
        <v>28000</v>
      </c>
      <c r="E693">
        <v>5</v>
      </c>
      <c r="F693">
        <v>1.2</v>
      </c>
      <c r="G693">
        <v>53200</v>
      </c>
      <c r="H693" t="s">
        <v>1848</v>
      </c>
      <c r="I693" t="s">
        <v>1279</v>
      </c>
      <c r="J693" t="s">
        <v>1441</v>
      </c>
      <c r="K693" t="s">
        <v>1446</v>
      </c>
      <c r="L693" t="s">
        <v>1455</v>
      </c>
      <c r="M693" t="s">
        <v>1464</v>
      </c>
      <c r="N693" t="s">
        <v>1467</v>
      </c>
    </row>
    <row r="694" spans="1:14" x14ac:dyDescent="0.25">
      <c r="A694" t="s">
        <v>706</v>
      </c>
      <c r="B694">
        <v>19</v>
      </c>
      <c r="C694">
        <v>5</v>
      </c>
      <c r="D694">
        <v>22000</v>
      </c>
      <c r="E694">
        <v>0</v>
      </c>
      <c r="F694">
        <v>2.1</v>
      </c>
      <c r="G694">
        <v>110000</v>
      </c>
      <c r="H694" t="s">
        <v>1849</v>
      </c>
      <c r="I694" t="s">
        <v>1281</v>
      </c>
      <c r="J694" t="s">
        <v>1445</v>
      </c>
      <c r="K694" t="s">
        <v>1450</v>
      </c>
      <c r="L694" t="s">
        <v>1454</v>
      </c>
      <c r="M694" t="s">
        <v>1462</v>
      </c>
      <c r="N694" t="s">
        <v>1466</v>
      </c>
    </row>
    <row r="695" spans="1:14" x14ac:dyDescent="0.25">
      <c r="A695" t="s">
        <v>707</v>
      </c>
      <c r="B695">
        <v>40</v>
      </c>
      <c r="C695">
        <v>4</v>
      </c>
      <c r="D695">
        <v>18000</v>
      </c>
      <c r="E695">
        <v>15</v>
      </c>
      <c r="F695">
        <v>2</v>
      </c>
      <c r="G695">
        <v>61200</v>
      </c>
      <c r="H695" t="s">
        <v>1850</v>
      </c>
      <c r="I695" t="s">
        <v>1363</v>
      </c>
      <c r="J695" t="s">
        <v>1442</v>
      </c>
      <c r="K695" t="s">
        <v>1447</v>
      </c>
      <c r="L695" t="s">
        <v>1461</v>
      </c>
      <c r="M695" t="s">
        <v>1462</v>
      </c>
      <c r="N695" t="s">
        <v>1466</v>
      </c>
    </row>
    <row r="696" spans="1:14" x14ac:dyDescent="0.25">
      <c r="A696" t="s">
        <v>708</v>
      </c>
      <c r="B696">
        <v>41</v>
      </c>
      <c r="C696">
        <v>4</v>
      </c>
      <c r="D696">
        <v>18000</v>
      </c>
      <c r="E696">
        <v>0</v>
      </c>
      <c r="F696">
        <v>5</v>
      </c>
      <c r="G696">
        <v>72000</v>
      </c>
      <c r="H696" t="s">
        <v>1850</v>
      </c>
      <c r="I696" t="s">
        <v>1318</v>
      </c>
      <c r="J696" t="s">
        <v>1443</v>
      </c>
      <c r="K696" t="s">
        <v>1448</v>
      </c>
      <c r="L696" t="s">
        <v>1460</v>
      </c>
      <c r="M696" t="s">
        <v>1463</v>
      </c>
      <c r="N696" t="s">
        <v>1465</v>
      </c>
    </row>
    <row r="697" spans="1:14" x14ac:dyDescent="0.25">
      <c r="A697" t="s">
        <v>709</v>
      </c>
      <c r="B697">
        <v>42</v>
      </c>
      <c r="C697">
        <v>1</v>
      </c>
      <c r="D697">
        <v>18000</v>
      </c>
      <c r="E697">
        <v>10</v>
      </c>
      <c r="F697">
        <v>1.1000000000000001</v>
      </c>
      <c r="G697">
        <v>16200</v>
      </c>
      <c r="H697" t="s">
        <v>1850</v>
      </c>
      <c r="I697" t="s">
        <v>1272</v>
      </c>
      <c r="J697" t="s">
        <v>1445</v>
      </c>
      <c r="K697" t="s">
        <v>1450</v>
      </c>
      <c r="L697" t="s">
        <v>1460</v>
      </c>
      <c r="M697" t="s">
        <v>1463</v>
      </c>
      <c r="N697" t="s">
        <v>1465</v>
      </c>
    </row>
    <row r="698" spans="1:14" x14ac:dyDescent="0.25">
      <c r="A698" t="s">
        <v>710</v>
      </c>
      <c r="B698">
        <v>52</v>
      </c>
      <c r="C698">
        <v>4</v>
      </c>
      <c r="D698">
        <v>27000</v>
      </c>
      <c r="E698">
        <v>10</v>
      </c>
      <c r="F698">
        <v>4.4000000000000004</v>
      </c>
      <c r="G698">
        <v>97200</v>
      </c>
      <c r="H698" t="s">
        <v>1851</v>
      </c>
      <c r="I698" t="s">
        <v>1333</v>
      </c>
      <c r="J698" t="s">
        <v>1445</v>
      </c>
      <c r="K698" t="s">
        <v>1450</v>
      </c>
      <c r="L698" t="s">
        <v>1458</v>
      </c>
      <c r="M698" t="s">
        <v>1464</v>
      </c>
      <c r="N698" t="s">
        <v>1468</v>
      </c>
    </row>
    <row r="699" spans="1:14" x14ac:dyDescent="0.25">
      <c r="A699" t="s">
        <v>711</v>
      </c>
      <c r="B699">
        <v>49</v>
      </c>
      <c r="C699">
        <v>1</v>
      </c>
      <c r="D699">
        <v>22000</v>
      </c>
      <c r="E699">
        <v>5</v>
      </c>
      <c r="F699">
        <v>3</v>
      </c>
      <c r="G699">
        <v>20900</v>
      </c>
      <c r="H699" t="s">
        <v>1851</v>
      </c>
      <c r="I699" t="s">
        <v>1330</v>
      </c>
      <c r="J699" t="s">
        <v>1443</v>
      </c>
      <c r="K699" t="s">
        <v>1448</v>
      </c>
      <c r="L699" t="s">
        <v>1454</v>
      </c>
      <c r="M699" t="s">
        <v>1462</v>
      </c>
      <c r="N699" t="s">
        <v>1468</v>
      </c>
    </row>
    <row r="700" spans="1:14" x14ac:dyDescent="0.25">
      <c r="A700" t="s">
        <v>712</v>
      </c>
      <c r="B700">
        <v>27</v>
      </c>
      <c r="C700">
        <v>2</v>
      </c>
      <c r="D700">
        <v>27000</v>
      </c>
      <c r="E700">
        <v>5</v>
      </c>
      <c r="F700">
        <v>2.9</v>
      </c>
      <c r="G700">
        <v>51300</v>
      </c>
      <c r="H700" t="s">
        <v>1852</v>
      </c>
      <c r="I700" t="s">
        <v>1418</v>
      </c>
      <c r="J700" t="s">
        <v>1442</v>
      </c>
      <c r="K700" t="s">
        <v>1447</v>
      </c>
      <c r="L700" t="s">
        <v>1458</v>
      </c>
      <c r="M700" t="s">
        <v>1464</v>
      </c>
      <c r="N700" t="s">
        <v>1468</v>
      </c>
    </row>
    <row r="701" spans="1:14" x14ac:dyDescent="0.25">
      <c r="A701" t="s">
        <v>713</v>
      </c>
      <c r="B701">
        <v>22</v>
      </c>
      <c r="C701">
        <v>3</v>
      </c>
      <c r="D701">
        <v>28000</v>
      </c>
      <c r="E701">
        <v>0</v>
      </c>
      <c r="F701">
        <v>4.0999999999999996</v>
      </c>
      <c r="G701">
        <v>84000</v>
      </c>
      <c r="H701" t="s">
        <v>1852</v>
      </c>
      <c r="I701" t="s">
        <v>1252</v>
      </c>
      <c r="J701" t="s">
        <v>1444</v>
      </c>
      <c r="K701" t="s">
        <v>1449</v>
      </c>
      <c r="L701" t="s">
        <v>1455</v>
      </c>
      <c r="M701" t="s">
        <v>1464</v>
      </c>
      <c r="N701" t="s">
        <v>1467</v>
      </c>
    </row>
    <row r="702" spans="1:14" x14ac:dyDescent="0.25">
      <c r="A702" t="s">
        <v>714</v>
      </c>
      <c r="B702">
        <v>45</v>
      </c>
      <c r="C702">
        <v>1</v>
      </c>
      <c r="D702">
        <v>27000</v>
      </c>
      <c r="E702">
        <v>20</v>
      </c>
      <c r="F702">
        <v>4.8</v>
      </c>
      <c r="G702">
        <v>21600</v>
      </c>
      <c r="H702" t="s">
        <v>1853</v>
      </c>
      <c r="I702" t="s">
        <v>1415</v>
      </c>
      <c r="J702" t="s">
        <v>1441</v>
      </c>
      <c r="K702" t="s">
        <v>1446</v>
      </c>
      <c r="L702" t="s">
        <v>1458</v>
      </c>
      <c r="M702" t="s">
        <v>1464</v>
      </c>
      <c r="N702" t="s">
        <v>1466</v>
      </c>
    </row>
    <row r="703" spans="1:14" x14ac:dyDescent="0.25">
      <c r="A703" t="s">
        <v>715</v>
      </c>
      <c r="B703">
        <v>40</v>
      </c>
      <c r="C703">
        <v>3</v>
      </c>
      <c r="D703">
        <v>23000</v>
      </c>
      <c r="E703">
        <v>0</v>
      </c>
      <c r="F703">
        <v>3.8</v>
      </c>
      <c r="G703">
        <v>69000</v>
      </c>
      <c r="H703" t="s">
        <v>1853</v>
      </c>
      <c r="I703" t="s">
        <v>1395</v>
      </c>
      <c r="J703" t="s">
        <v>1443</v>
      </c>
      <c r="K703" t="s">
        <v>1448</v>
      </c>
      <c r="L703" t="s">
        <v>1456</v>
      </c>
      <c r="M703" t="s">
        <v>1463</v>
      </c>
      <c r="N703" t="s">
        <v>1468</v>
      </c>
    </row>
    <row r="704" spans="1:14" x14ac:dyDescent="0.25">
      <c r="A704" t="s">
        <v>716</v>
      </c>
      <c r="B704">
        <v>34</v>
      </c>
      <c r="C704">
        <v>4</v>
      </c>
      <c r="D704">
        <v>30000</v>
      </c>
      <c r="E704">
        <v>0</v>
      </c>
      <c r="F704">
        <v>4.8</v>
      </c>
      <c r="G704">
        <v>120000</v>
      </c>
      <c r="H704" t="s">
        <v>1854</v>
      </c>
      <c r="I704" t="s">
        <v>1426</v>
      </c>
      <c r="J704" t="s">
        <v>1441</v>
      </c>
      <c r="K704" t="s">
        <v>1446</v>
      </c>
      <c r="L704" t="s">
        <v>1453</v>
      </c>
      <c r="M704" t="s">
        <v>1463</v>
      </c>
      <c r="N704" t="s">
        <v>1465</v>
      </c>
    </row>
    <row r="705" spans="1:14" x14ac:dyDescent="0.25">
      <c r="A705" t="s">
        <v>717</v>
      </c>
      <c r="B705">
        <v>43</v>
      </c>
      <c r="C705">
        <v>1</v>
      </c>
      <c r="D705">
        <v>18000</v>
      </c>
      <c r="E705">
        <v>0</v>
      </c>
      <c r="F705">
        <v>1.8</v>
      </c>
      <c r="G705">
        <v>18000</v>
      </c>
      <c r="H705" t="s">
        <v>1854</v>
      </c>
      <c r="I705" t="s">
        <v>1303</v>
      </c>
      <c r="J705" t="s">
        <v>1443</v>
      </c>
      <c r="K705" t="s">
        <v>1448</v>
      </c>
      <c r="L705" t="s">
        <v>1461</v>
      </c>
      <c r="M705" t="s">
        <v>1462</v>
      </c>
      <c r="N705" t="s">
        <v>1468</v>
      </c>
    </row>
    <row r="706" spans="1:14" x14ac:dyDescent="0.25">
      <c r="A706" t="s">
        <v>718</v>
      </c>
      <c r="B706">
        <v>37</v>
      </c>
      <c r="C706">
        <v>3</v>
      </c>
      <c r="D706">
        <v>32000</v>
      </c>
      <c r="E706">
        <v>10</v>
      </c>
      <c r="F706">
        <v>4.3</v>
      </c>
      <c r="G706">
        <v>86400</v>
      </c>
      <c r="H706" t="s">
        <v>1855</v>
      </c>
      <c r="I706" t="s">
        <v>1282</v>
      </c>
      <c r="J706" t="s">
        <v>1442</v>
      </c>
      <c r="K706" t="s">
        <v>1447</v>
      </c>
      <c r="L706" t="s">
        <v>1457</v>
      </c>
      <c r="M706" t="s">
        <v>1463</v>
      </c>
      <c r="N706" t="s">
        <v>1465</v>
      </c>
    </row>
    <row r="707" spans="1:14" x14ac:dyDescent="0.25">
      <c r="A707" t="s">
        <v>719</v>
      </c>
      <c r="B707">
        <v>44</v>
      </c>
      <c r="C707">
        <v>2</v>
      </c>
      <c r="D707">
        <v>25000</v>
      </c>
      <c r="E707">
        <v>15</v>
      </c>
      <c r="F707">
        <v>1</v>
      </c>
      <c r="G707">
        <v>42500</v>
      </c>
      <c r="H707" t="s">
        <v>1856</v>
      </c>
      <c r="I707" t="s">
        <v>1346</v>
      </c>
      <c r="J707" t="s">
        <v>1443</v>
      </c>
      <c r="K707" t="s">
        <v>1448</v>
      </c>
      <c r="L707" t="s">
        <v>1452</v>
      </c>
      <c r="M707" t="s">
        <v>1462</v>
      </c>
      <c r="N707" t="s">
        <v>1465</v>
      </c>
    </row>
    <row r="708" spans="1:14" x14ac:dyDescent="0.25">
      <c r="A708" t="s">
        <v>720</v>
      </c>
      <c r="B708">
        <v>22</v>
      </c>
      <c r="C708">
        <v>4</v>
      </c>
      <c r="D708">
        <v>22000</v>
      </c>
      <c r="E708">
        <v>20</v>
      </c>
      <c r="F708">
        <v>3</v>
      </c>
      <c r="G708">
        <v>70400</v>
      </c>
      <c r="H708" t="s">
        <v>1856</v>
      </c>
      <c r="I708" t="s">
        <v>1314</v>
      </c>
      <c r="J708" t="s">
        <v>1445</v>
      </c>
      <c r="K708" t="s">
        <v>1450</v>
      </c>
      <c r="L708" t="s">
        <v>1454</v>
      </c>
      <c r="M708" t="s">
        <v>1462</v>
      </c>
      <c r="N708" t="s">
        <v>1465</v>
      </c>
    </row>
    <row r="709" spans="1:14" x14ac:dyDescent="0.25">
      <c r="A709" t="s">
        <v>721</v>
      </c>
      <c r="B709">
        <v>24</v>
      </c>
      <c r="C709">
        <v>3</v>
      </c>
      <c r="D709">
        <v>25000</v>
      </c>
      <c r="E709">
        <v>20</v>
      </c>
      <c r="F709">
        <v>3.1</v>
      </c>
      <c r="G709">
        <v>60000</v>
      </c>
      <c r="H709" t="s">
        <v>1856</v>
      </c>
      <c r="I709" t="s">
        <v>1412</v>
      </c>
      <c r="J709" t="s">
        <v>1443</v>
      </c>
      <c r="K709" t="s">
        <v>1448</v>
      </c>
      <c r="L709" t="s">
        <v>1452</v>
      </c>
      <c r="M709" t="s">
        <v>1462</v>
      </c>
      <c r="N709" t="s">
        <v>1468</v>
      </c>
    </row>
    <row r="710" spans="1:14" x14ac:dyDescent="0.25">
      <c r="A710" t="s">
        <v>722</v>
      </c>
      <c r="B710">
        <v>27</v>
      </c>
      <c r="C710">
        <v>4</v>
      </c>
      <c r="D710">
        <v>30000</v>
      </c>
      <c r="E710">
        <v>0</v>
      </c>
      <c r="F710">
        <v>3.7</v>
      </c>
      <c r="G710">
        <v>120000</v>
      </c>
      <c r="H710" t="s">
        <v>1857</v>
      </c>
      <c r="I710" t="s">
        <v>1241</v>
      </c>
      <c r="J710" t="s">
        <v>1441</v>
      </c>
      <c r="K710" t="s">
        <v>1446</v>
      </c>
      <c r="L710" t="s">
        <v>1453</v>
      </c>
      <c r="M710" t="s">
        <v>1463</v>
      </c>
      <c r="N710" t="s">
        <v>1468</v>
      </c>
    </row>
    <row r="711" spans="1:14" x14ac:dyDescent="0.25">
      <c r="A711" t="s">
        <v>723</v>
      </c>
      <c r="B711">
        <v>42</v>
      </c>
      <c r="C711">
        <v>3</v>
      </c>
      <c r="D711">
        <v>18000</v>
      </c>
      <c r="E711">
        <v>0</v>
      </c>
      <c r="F711">
        <v>4.5999999999999996</v>
      </c>
      <c r="G711">
        <v>54000</v>
      </c>
      <c r="H711" t="s">
        <v>1857</v>
      </c>
      <c r="I711" t="s">
        <v>1280</v>
      </c>
      <c r="J711" t="s">
        <v>1443</v>
      </c>
      <c r="K711" t="s">
        <v>1448</v>
      </c>
      <c r="L711" t="s">
        <v>1460</v>
      </c>
      <c r="M711" t="s">
        <v>1463</v>
      </c>
      <c r="N711" t="s">
        <v>1465</v>
      </c>
    </row>
    <row r="712" spans="1:14" x14ac:dyDescent="0.25">
      <c r="A712" t="s">
        <v>724</v>
      </c>
      <c r="B712">
        <v>18</v>
      </c>
      <c r="C712">
        <v>2</v>
      </c>
      <c r="D712">
        <v>20000</v>
      </c>
      <c r="E712">
        <v>15</v>
      </c>
      <c r="F712">
        <v>4.2</v>
      </c>
      <c r="G712">
        <v>34000</v>
      </c>
      <c r="H712" t="s">
        <v>1857</v>
      </c>
      <c r="I712" t="s">
        <v>1401</v>
      </c>
      <c r="J712" t="s">
        <v>1443</v>
      </c>
      <c r="K712" t="s">
        <v>1448</v>
      </c>
      <c r="L712" t="s">
        <v>1459</v>
      </c>
      <c r="M712" t="s">
        <v>1462</v>
      </c>
      <c r="N712" t="s">
        <v>1467</v>
      </c>
    </row>
    <row r="713" spans="1:14" x14ac:dyDescent="0.25">
      <c r="A713" t="s">
        <v>725</v>
      </c>
      <c r="B713">
        <v>42</v>
      </c>
      <c r="C713">
        <v>4</v>
      </c>
      <c r="D713">
        <v>22000</v>
      </c>
      <c r="E713">
        <v>15</v>
      </c>
      <c r="F713">
        <v>4.2</v>
      </c>
      <c r="G713">
        <v>74800</v>
      </c>
      <c r="H713" t="s">
        <v>1858</v>
      </c>
      <c r="I713" t="s">
        <v>1320</v>
      </c>
      <c r="J713" t="s">
        <v>1441</v>
      </c>
      <c r="K713" t="s">
        <v>1446</v>
      </c>
      <c r="L713" t="s">
        <v>1454</v>
      </c>
      <c r="M713" t="s">
        <v>1462</v>
      </c>
      <c r="N713" t="s">
        <v>1466</v>
      </c>
    </row>
    <row r="714" spans="1:14" x14ac:dyDescent="0.25">
      <c r="A714" t="s">
        <v>726</v>
      </c>
      <c r="B714">
        <v>18</v>
      </c>
      <c r="C714">
        <v>5</v>
      </c>
      <c r="D714">
        <v>22000</v>
      </c>
      <c r="E714">
        <v>15</v>
      </c>
      <c r="F714">
        <v>3.9</v>
      </c>
      <c r="G714">
        <v>93500</v>
      </c>
      <c r="H714" t="s">
        <v>1859</v>
      </c>
      <c r="I714" t="s">
        <v>1401</v>
      </c>
      <c r="J714" t="s">
        <v>1444</v>
      </c>
      <c r="K714" t="s">
        <v>1449</v>
      </c>
      <c r="L714" t="s">
        <v>1454</v>
      </c>
      <c r="M714" t="s">
        <v>1462</v>
      </c>
      <c r="N714" t="s">
        <v>1465</v>
      </c>
    </row>
    <row r="715" spans="1:14" x14ac:dyDescent="0.25">
      <c r="A715" t="s">
        <v>727</v>
      </c>
      <c r="B715">
        <v>46</v>
      </c>
      <c r="C715">
        <v>4</v>
      </c>
      <c r="D715">
        <v>20000</v>
      </c>
      <c r="E715">
        <v>0</v>
      </c>
      <c r="F715">
        <v>1.2</v>
      </c>
      <c r="G715">
        <v>80000</v>
      </c>
      <c r="H715" t="s">
        <v>1859</v>
      </c>
      <c r="I715" t="s">
        <v>1255</v>
      </c>
      <c r="J715" t="s">
        <v>1443</v>
      </c>
      <c r="K715" t="s">
        <v>1448</v>
      </c>
      <c r="L715" t="s">
        <v>1459</v>
      </c>
      <c r="M715" t="s">
        <v>1462</v>
      </c>
      <c r="N715" t="s">
        <v>1465</v>
      </c>
    </row>
    <row r="716" spans="1:14" x14ac:dyDescent="0.25">
      <c r="A716" t="s">
        <v>728</v>
      </c>
      <c r="B716">
        <v>36</v>
      </c>
      <c r="C716">
        <v>3</v>
      </c>
      <c r="D716">
        <v>32000</v>
      </c>
      <c r="E716">
        <v>0</v>
      </c>
      <c r="F716">
        <v>4.2</v>
      </c>
      <c r="G716">
        <v>96000</v>
      </c>
      <c r="H716" t="s">
        <v>1859</v>
      </c>
      <c r="I716" t="s">
        <v>1358</v>
      </c>
      <c r="J716" t="s">
        <v>1442</v>
      </c>
      <c r="K716" t="s">
        <v>1447</v>
      </c>
      <c r="L716" t="s">
        <v>1457</v>
      </c>
      <c r="M716" t="s">
        <v>1463</v>
      </c>
      <c r="N716" t="s">
        <v>1465</v>
      </c>
    </row>
    <row r="717" spans="1:14" x14ac:dyDescent="0.25">
      <c r="A717" t="s">
        <v>729</v>
      </c>
      <c r="B717">
        <v>31</v>
      </c>
      <c r="C717">
        <v>4</v>
      </c>
      <c r="D717">
        <v>18000</v>
      </c>
      <c r="E717">
        <v>15</v>
      </c>
      <c r="F717">
        <v>4.4000000000000004</v>
      </c>
      <c r="G717">
        <v>61200</v>
      </c>
      <c r="H717" t="s">
        <v>1860</v>
      </c>
      <c r="I717" t="s">
        <v>1274</v>
      </c>
      <c r="J717" t="s">
        <v>1445</v>
      </c>
      <c r="K717" t="s">
        <v>1450</v>
      </c>
      <c r="L717" t="s">
        <v>1461</v>
      </c>
      <c r="M717" t="s">
        <v>1462</v>
      </c>
      <c r="N717" t="s">
        <v>1468</v>
      </c>
    </row>
    <row r="718" spans="1:14" x14ac:dyDescent="0.25">
      <c r="A718" t="s">
        <v>730</v>
      </c>
      <c r="B718">
        <v>38</v>
      </c>
      <c r="C718">
        <v>2</v>
      </c>
      <c r="D718">
        <v>32000</v>
      </c>
      <c r="E718">
        <v>10</v>
      </c>
      <c r="F718">
        <v>5</v>
      </c>
      <c r="G718">
        <v>57600</v>
      </c>
      <c r="H718" t="s">
        <v>1860</v>
      </c>
      <c r="I718" t="s">
        <v>1309</v>
      </c>
      <c r="J718" t="s">
        <v>1444</v>
      </c>
      <c r="K718" t="s">
        <v>1449</v>
      </c>
      <c r="L718" t="s">
        <v>1457</v>
      </c>
      <c r="M718" t="s">
        <v>1463</v>
      </c>
      <c r="N718" t="s">
        <v>1467</v>
      </c>
    </row>
    <row r="719" spans="1:14" x14ac:dyDescent="0.25">
      <c r="A719" t="s">
        <v>731</v>
      </c>
      <c r="B719">
        <v>45</v>
      </c>
      <c r="C719">
        <v>1</v>
      </c>
      <c r="D719">
        <v>25000</v>
      </c>
      <c r="E719">
        <v>20</v>
      </c>
      <c r="F719">
        <v>2</v>
      </c>
      <c r="G719">
        <v>20000</v>
      </c>
      <c r="H719" t="s">
        <v>1861</v>
      </c>
      <c r="I719" t="s">
        <v>1387</v>
      </c>
      <c r="J719" t="s">
        <v>1444</v>
      </c>
      <c r="K719" t="s">
        <v>1449</v>
      </c>
      <c r="L719" t="s">
        <v>1452</v>
      </c>
      <c r="M719" t="s">
        <v>1462</v>
      </c>
      <c r="N719" t="s">
        <v>1468</v>
      </c>
    </row>
    <row r="720" spans="1:14" x14ac:dyDescent="0.25">
      <c r="A720" t="s">
        <v>732</v>
      </c>
      <c r="B720">
        <v>50</v>
      </c>
      <c r="C720">
        <v>3</v>
      </c>
      <c r="D720">
        <v>18000</v>
      </c>
      <c r="E720">
        <v>0</v>
      </c>
      <c r="F720">
        <v>3</v>
      </c>
      <c r="G720">
        <v>54000</v>
      </c>
      <c r="H720" t="s">
        <v>1861</v>
      </c>
      <c r="I720" t="s">
        <v>1396</v>
      </c>
      <c r="J720" t="s">
        <v>1443</v>
      </c>
      <c r="K720" t="s">
        <v>1448</v>
      </c>
      <c r="L720" t="s">
        <v>1460</v>
      </c>
      <c r="M720" t="s">
        <v>1463</v>
      </c>
      <c r="N720" t="s">
        <v>1468</v>
      </c>
    </row>
    <row r="721" spans="1:14" x14ac:dyDescent="0.25">
      <c r="A721" t="s">
        <v>733</v>
      </c>
      <c r="B721">
        <v>52</v>
      </c>
      <c r="C721">
        <v>1</v>
      </c>
      <c r="D721">
        <v>23000</v>
      </c>
      <c r="E721">
        <v>20</v>
      </c>
      <c r="F721">
        <v>1.7</v>
      </c>
      <c r="G721">
        <v>18400</v>
      </c>
      <c r="H721" t="s">
        <v>1861</v>
      </c>
      <c r="I721" t="s">
        <v>1392</v>
      </c>
      <c r="J721" t="s">
        <v>1441</v>
      </c>
      <c r="K721" t="s">
        <v>1446</v>
      </c>
      <c r="L721" t="s">
        <v>1456</v>
      </c>
      <c r="M721" t="s">
        <v>1463</v>
      </c>
      <c r="N721" t="s">
        <v>1467</v>
      </c>
    </row>
    <row r="722" spans="1:14" x14ac:dyDescent="0.25">
      <c r="A722" t="s">
        <v>734</v>
      </c>
      <c r="B722">
        <v>17</v>
      </c>
      <c r="C722">
        <v>4</v>
      </c>
      <c r="D722">
        <v>18000</v>
      </c>
      <c r="E722">
        <v>15</v>
      </c>
      <c r="F722">
        <v>4.8</v>
      </c>
      <c r="G722">
        <v>61200</v>
      </c>
      <c r="H722" t="s">
        <v>1861</v>
      </c>
      <c r="I722" t="s">
        <v>1432</v>
      </c>
      <c r="J722" t="s">
        <v>1444</v>
      </c>
      <c r="K722" t="s">
        <v>1449</v>
      </c>
      <c r="L722" t="s">
        <v>1460</v>
      </c>
      <c r="M722" t="s">
        <v>1463</v>
      </c>
      <c r="N722" t="s">
        <v>1465</v>
      </c>
    </row>
    <row r="723" spans="1:14" x14ac:dyDescent="0.25">
      <c r="A723" t="s">
        <v>735</v>
      </c>
      <c r="B723">
        <v>48</v>
      </c>
      <c r="C723">
        <v>1</v>
      </c>
      <c r="D723">
        <v>23000</v>
      </c>
      <c r="E723">
        <v>0</v>
      </c>
      <c r="F723">
        <v>2</v>
      </c>
      <c r="G723">
        <v>23000</v>
      </c>
      <c r="H723" t="s">
        <v>1862</v>
      </c>
      <c r="I723" t="s">
        <v>1362</v>
      </c>
      <c r="J723" t="s">
        <v>1443</v>
      </c>
      <c r="K723" t="s">
        <v>1448</v>
      </c>
      <c r="L723" t="s">
        <v>1456</v>
      </c>
      <c r="M723" t="s">
        <v>1463</v>
      </c>
      <c r="N723" t="s">
        <v>1468</v>
      </c>
    </row>
    <row r="724" spans="1:14" x14ac:dyDescent="0.25">
      <c r="A724" t="s">
        <v>736</v>
      </c>
      <c r="B724">
        <v>39</v>
      </c>
      <c r="C724">
        <v>1</v>
      </c>
      <c r="D724">
        <v>32000</v>
      </c>
      <c r="E724">
        <v>0</v>
      </c>
      <c r="F724">
        <v>3.8</v>
      </c>
      <c r="G724">
        <v>32000</v>
      </c>
      <c r="H724" t="s">
        <v>1862</v>
      </c>
      <c r="I724" t="s">
        <v>1372</v>
      </c>
      <c r="J724" t="s">
        <v>1444</v>
      </c>
      <c r="K724" t="s">
        <v>1449</v>
      </c>
      <c r="L724" t="s">
        <v>1457</v>
      </c>
      <c r="M724" t="s">
        <v>1463</v>
      </c>
      <c r="N724" t="s">
        <v>1465</v>
      </c>
    </row>
    <row r="725" spans="1:14" x14ac:dyDescent="0.25">
      <c r="A725" t="s">
        <v>737</v>
      </c>
      <c r="B725">
        <v>30</v>
      </c>
      <c r="C725">
        <v>1</v>
      </c>
      <c r="D725">
        <v>25000</v>
      </c>
      <c r="E725">
        <v>0</v>
      </c>
      <c r="F725">
        <v>2</v>
      </c>
      <c r="G725">
        <v>25000</v>
      </c>
      <c r="H725" t="s">
        <v>1862</v>
      </c>
      <c r="I725" t="s">
        <v>1246</v>
      </c>
      <c r="J725" t="s">
        <v>1443</v>
      </c>
      <c r="K725" t="s">
        <v>1448</v>
      </c>
      <c r="L725" t="s">
        <v>1452</v>
      </c>
      <c r="M725" t="s">
        <v>1462</v>
      </c>
      <c r="N725" t="s">
        <v>1468</v>
      </c>
    </row>
    <row r="726" spans="1:14" x14ac:dyDescent="0.25">
      <c r="A726" t="s">
        <v>738</v>
      </c>
      <c r="B726">
        <v>31</v>
      </c>
      <c r="C726">
        <v>5</v>
      </c>
      <c r="D726">
        <v>27000</v>
      </c>
      <c r="E726">
        <v>20</v>
      </c>
      <c r="F726">
        <v>1.9</v>
      </c>
      <c r="G726">
        <v>108000</v>
      </c>
      <c r="H726" t="s">
        <v>1863</v>
      </c>
      <c r="I726" t="s">
        <v>1360</v>
      </c>
      <c r="J726" t="s">
        <v>1442</v>
      </c>
      <c r="K726" t="s">
        <v>1447</v>
      </c>
      <c r="L726" t="s">
        <v>1458</v>
      </c>
      <c r="M726" t="s">
        <v>1464</v>
      </c>
      <c r="N726" t="s">
        <v>1467</v>
      </c>
    </row>
    <row r="727" spans="1:14" x14ac:dyDescent="0.25">
      <c r="A727" t="s">
        <v>739</v>
      </c>
      <c r="B727">
        <v>36</v>
      </c>
      <c r="C727">
        <v>5</v>
      </c>
      <c r="D727">
        <v>22000</v>
      </c>
      <c r="E727">
        <v>15</v>
      </c>
      <c r="F727">
        <v>3.9</v>
      </c>
      <c r="G727">
        <v>93500</v>
      </c>
      <c r="H727" t="s">
        <v>1863</v>
      </c>
      <c r="I727" t="s">
        <v>1242</v>
      </c>
      <c r="J727" t="s">
        <v>1444</v>
      </c>
      <c r="K727" t="s">
        <v>1449</v>
      </c>
      <c r="L727" t="s">
        <v>1454</v>
      </c>
      <c r="M727" t="s">
        <v>1462</v>
      </c>
      <c r="N727" t="s">
        <v>1466</v>
      </c>
    </row>
    <row r="728" spans="1:14" x14ac:dyDescent="0.25">
      <c r="A728" t="s">
        <v>740</v>
      </c>
      <c r="B728">
        <v>53</v>
      </c>
      <c r="C728">
        <v>4</v>
      </c>
      <c r="D728">
        <v>27000</v>
      </c>
      <c r="E728">
        <v>20</v>
      </c>
      <c r="F728">
        <v>1.4</v>
      </c>
      <c r="G728">
        <v>86400</v>
      </c>
      <c r="H728" t="s">
        <v>1864</v>
      </c>
      <c r="I728" t="s">
        <v>1257</v>
      </c>
      <c r="J728" t="s">
        <v>1444</v>
      </c>
      <c r="K728" t="s">
        <v>1449</v>
      </c>
      <c r="L728" t="s">
        <v>1458</v>
      </c>
      <c r="M728" t="s">
        <v>1464</v>
      </c>
      <c r="N728" t="s">
        <v>1468</v>
      </c>
    </row>
    <row r="729" spans="1:14" x14ac:dyDescent="0.25">
      <c r="A729" t="s">
        <v>741</v>
      </c>
      <c r="B729">
        <v>38</v>
      </c>
      <c r="C729">
        <v>5</v>
      </c>
      <c r="D729">
        <v>20000</v>
      </c>
      <c r="E729">
        <v>20</v>
      </c>
      <c r="F729">
        <v>1.6</v>
      </c>
      <c r="G729">
        <v>80000</v>
      </c>
      <c r="H729" t="s">
        <v>1864</v>
      </c>
      <c r="I729" t="s">
        <v>1299</v>
      </c>
      <c r="J729" t="s">
        <v>1442</v>
      </c>
      <c r="K729" t="s">
        <v>1447</v>
      </c>
      <c r="L729" t="s">
        <v>1459</v>
      </c>
      <c r="M729" t="s">
        <v>1462</v>
      </c>
      <c r="N729" t="s">
        <v>1467</v>
      </c>
    </row>
    <row r="730" spans="1:14" x14ac:dyDescent="0.25">
      <c r="A730" t="s">
        <v>742</v>
      </c>
      <c r="B730">
        <v>22</v>
      </c>
      <c r="C730">
        <v>1</v>
      </c>
      <c r="D730">
        <v>23000</v>
      </c>
      <c r="E730">
        <v>0</v>
      </c>
      <c r="F730">
        <v>3.9</v>
      </c>
      <c r="G730">
        <v>23000</v>
      </c>
      <c r="H730" t="s">
        <v>1864</v>
      </c>
      <c r="I730" t="s">
        <v>1380</v>
      </c>
      <c r="J730" t="s">
        <v>1443</v>
      </c>
      <c r="K730" t="s">
        <v>1448</v>
      </c>
      <c r="L730" t="s">
        <v>1456</v>
      </c>
      <c r="M730" t="s">
        <v>1463</v>
      </c>
      <c r="N730" t="s">
        <v>1465</v>
      </c>
    </row>
    <row r="731" spans="1:14" x14ac:dyDescent="0.25">
      <c r="A731" t="s">
        <v>743</v>
      </c>
      <c r="B731">
        <v>33</v>
      </c>
      <c r="C731">
        <v>3</v>
      </c>
      <c r="D731">
        <v>20000</v>
      </c>
      <c r="E731">
        <v>10</v>
      </c>
      <c r="F731">
        <v>2</v>
      </c>
      <c r="G731">
        <v>54000</v>
      </c>
      <c r="H731" t="s">
        <v>1865</v>
      </c>
      <c r="I731" t="s">
        <v>1264</v>
      </c>
      <c r="J731" t="s">
        <v>1444</v>
      </c>
      <c r="K731" t="s">
        <v>1449</v>
      </c>
      <c r="L731" t="s">
        <v>1459</v>
      </c>
      <c r="M731" t="s">
        <v>1462</v>
      </c>
      <c r="N731" t="s">
        <v>1466</v>
      </c>
    </row>
    <row r="732" spans="1:14" x14ac:dyDescent="0.25">
      <c r="A732" t="s">
        <v>744</v>
      </c>
      <c r="B732">
        <v>25</v>
      </c>
      <c r="C732">
        <v>1</v>
      </c>
      <c r="D732">
        <v>30000</v>
      </c>
      <c r="E732">
        <v>0</v>
      </c>
      <c r="F732">
        <v>3</v>
      </c>
      <c r="G732">
        <v>30000</v>
      </c>
      <c r="H732" t="s">
        <v>1866</v>
      </c>
      <c r="I732" t="s">
        <v>1308</v>
      </c>
      <c r="J732" t="s">
        <v>1445</v>
      </c>
      <c r="K732" t="s">
        <v>1450</v>
      </c>
      <c r="L732" t="s">
        <v>1453</v>
      </c>
      <c r="M732" t="s">
        <v>1463</v>
      </c>
      <c r="N732" t="s">
        <v>1467</v>
      </c>
    </row>
    <row r="733" spans="1:14" x14ac:dyDescent="0.25">
      <c r="A733" t="s">
        <v>745</v>
      </c>
      <c r="B733">
        <v>18</v>
      </c>
      <c r="C733">
        <v>3</v>
      </c>
      <c r="D733">
        <v>22000</v>
      </c>
      <c r="E733">
        <v>0</v>
      </c>
      <c r="F733">
        <v>2.6</v>
      </c>
      <c r="G733">
        <v>66000</v>
      </c>
      <c r="H733" t="s">
        <v>1867</v>
      </c>
      <c r="I733" t="s">
        <v>1302</v>
      </c>
      <c r="J733" t="s">
        <v>1444</v>
      </c>
      <c r="K733" t="s">
        <v>1449</v>
      </c>
      <c r="L733" t="s">
        <v>1454</v>
      </c>
      <c r="M733" t="s">
        <v>1462</v>
      </c>
      <c r="N733" t="s">
        <v>1466</v>
      </c>
    </row>
    <row r="734" spans="1:14" x14ac:dyDescent="0.25">
      <c r="A734" t="s">
        <v>746</v>
      </c>
      <c r="B734">
        <v>40</v>
      </c>
      <c r="C734">
        <v>4</v>
      </c>
      <c r="D734">
        <v>23000</v>
      </c>
      <c r="E734">
        <v>0</v>
      </c>
      <c r="F734">
        <v>3.7</v>
      </c>
      <c r="G734">
        <v>92000</v>
      </c>
      <c r="H734" t="s">
        <v>1867</v>
      </c>
      <c r="I734" t="s">
        <v>1410</v>
      </c>
      <c r="J734" t="s">
        <v>1442</v>
      </c>
      <c r="K734" t="s">
        <v>1447</v>
      </c>
      <c r="L734" t="s">
        <v>1456</v>
      </c>
      <c r="M734" t="s">
        <v>1463</v>
      </c>
      <c r="N734" t="s">
        <v>1465</v>
      </c>
    </row>
    <row r="735" spans="1:14" x14ac:dyDescent="0.25">
      <c r="A735" t="s">
        <v>747</v>
      </c>
      <c r="B735">
        <v>35</v>
      </c>
      <c r="C735">
        <v>2</v>
      </c>
      <c r="D735">
        <v>18000</v>
      </c>
      <c r="E735">
        <v>5</v>
      </c>
      <c r="F735">
        <v>4.4000000000000004</v>
      </c>
      <c r="G735">
        <v>34200</v>
      </c>
      <c r="H735" t="s">
        <v>1868</v>
      </c>
      <c r="I735" t="s">
        <v>1389</v>
      </c>
      <c r="J735" t="s">
        <v>1443</v>
      </c>
      <c r="K735" t="s">
        <v>1448</v>
      </c>
      <c r="L735" t="s">
        <v>1460</v>
      </c>
      <c r="M735" t="s">
        <v>1463</v>
      </c>
      <c r="N735" t="s">
        <v>1468</v>
      </c>
    </row>
    <row r="736" spans="1:14" x14ac:dyDescent="0.25">
      <c r="A736" t="s">
        <v>748</v>
      </c>
      <c r="B736">
        <v>41</v>
      </c>
      <c r="C736">
        <v>3</v>
      </c>
      <c r="D736">
        <v>23000</v>
      </c>
      <c r="E736">
        <v>0</v>
      </c>
      <c r="F736">
        <v>3.6</v>
      </c>
      <c r="G736">
        <v>69000</v>
      </c>
      <c r="H736" t="s">
        <v>1869</v>
      </c>
      <c r="I736" t="s">
        <v>1318</v>
      </c>
      <c r="J736" t="s">
        <v>1441</v>
      </c>
      <c r="K736" t="s">
        <v>1446</v>
      </c>
      <c r="L736" t="s">
        <v>1456</v>
      </c>
      <c r="M736" t="s">
        <v>1463</v>
      </c>
      <c r="N736" t="s">
        <v>1468</v>
      </c>
    </row>
    <row r="737" spans="1:14" x14ac:dyDescent="0.25">
      <c r="A737" t="s">
        <v>749</v>
      </c>
      <c r="B737">
        <v>21</v>
      </c>
      <c r="C737">
        <v>5</v>
      </c>
      <c r="D737">
        <v>23000</v>
      </c>
      <c r="E737">
        <v>0</v>
      </c>
      <c r="F737">
        <v>2.6</v>
      </c>
      <c r="G737">
        <v>115000</v>
      </c>
      <c r="H737" t="s">
        <v>1869</v>
      </c>
      <c r="I737" t="s">
        <v>1368</v>
      </c>
      <c r="J737" t="s">
        <v>1442</v>
      </c>
      <c r="K737" t="s">
        <v>1447</v>
      </c>
      <c r="L737" t="s">
        <v>1456</v>
      </c>
      <c r="M737" t="s">
        <v>1463</v>
      </c>
      <c r="N737" t="s">
        <v>1468</v>
      </c>
    </row>
    <row r="738" spans="1:14" x14ac:dyDescent="0.25">
      <c r="A738" t="s">
        <v>750</v>
      </c>
      <c r="B738">
        <v>43</v>
      </c>
      <c r="C738">
        <v>4</v>
      </c>
      <c r="D738">
        <v>25000</v>
      </c>
      <c r="E738">
        <v>0</v>
      </c>
      <c r="F738">
        <v>2.2999999999999998</v>
      </c>
      <c r="G738">
        <v>100000</v>
      </c>
      <c r="H738" t="s">
        <v>1869</v>
      </c>
      <c r="I738" t="s">
        <v>1278</v>
      </c>
      <c r="J738" t="s">
        <v>1444</v>
      </c>
      <c r="K738" t="s">
        <v>1449</v>
      </c>
      <c r="L738" t="s">
        <v>1452</v>
      </c>
      <c r="M738" t="s">
        <v>1462</v>
      </c>
      <c r="N738" t="s">
        <v>1465</v>
      </c>
    </row>
    <row r="739" spans="1:14" x14ac:dyDescent="0.25">
      <c r="A739" t="s">
        <v>751</v>
      </c>
      <c r="B739">
        <v>23</v>
      </c>
      <c r="C739">
        <v>1</v>
      </c>
      <c r="D739">
        <v>27000</v>
      </c>
      <c r="E739">
        <v>5</v>
      </c>
      <c r="F739">
        <v>3.6</v>
      </c>
      <c r="G739">
        <v>25650</v>
      </c>
      <c r="H739" t="s">
        <v>1870</v>
      </c>
      <c r="I739" t="s">
        <v>1323</v>
      </c>
      <c r="J739" t="s">
        <v>1444</v>
      </c>
      <c r="K739" t="s">
        <v>1449</v>
      </c>
      <c r="L739" t="s">
        <v>1458</v>
      </c>
      <c r="M739" t="s">
        <v>1464</v>
      </c>
      <c r="N739" t="s">
        <v>1466</v>
      </c>
    </row>
    <row r="740" spans="1:14" x14ac:dyDescent="0.25">
      <c r="A740" t="s">
        <v>752</v>
      </c>
      <c r="B740">
        <v>39</v>
      </c>
      <c r="C740">
        <v>2</v>
      </c>
      <c r="D740">
        <v>25000</v>
      </c>
      <c r="E740">
        <v>0</v>
      </c>
      <c r="F740">
        <v>4.0999999999999996</v>
      </c>
      <c r="G740">
        <v>50000</v>
      </c>
      <c r="H740" t="s">
        <v>1870</v>
      </c>
      <c r="I740" t="s">
        <v>1331</v>
      </c>
      <c r="J740" t="s">
        <v>1442</v>
      </c>
      <c r="K740" t="s">
        <v>1447</v>
      </c>
      <c r="L740" t="s">
        <v>1452</v>
      </c>
      <c r="M740" t="s">
        <v>1462</v>
      </c>
      <c r="N740" t="s">
        <v>1467</v>
      </c>
    </row>
    <row r="741" spans="1:14" x14ac:dyDescent="0.25">
      <c r="A741" t="s">
        <v>753</v>
      </c>
      <c r="B741">
        <v>27</v>
      </c>
      <c r="C741">
        <v>4</v>
      </c>
      <c r="D741">
        <v>27000</v>
      </c>
      <c r="E741">
        <v>0</v>
      </c>
      <c r="F741">
        <v>4.4000000000000004</v>
      </c>
      <c r="G741">
        <v>108000</v>
      </c>
      <c r="H741" t="s">
        <v>1870</v>
      </c>
      <c r="I741" t="s">
        <v>1422</v>
      </c>
      <c r="J741" t="s">
        <v>1443</v>
      </c>
      <c r="K741" t="s">
        <v>1448</v>
      </c>
      <c r="L741" t="s">
        <v>1458</v>
      </c>
      <c r="M741" t="s">
        <v>1464</v>
      </c>
      <c r="N741" t="s">
        <v>1468</v>
      </c>
    </row>
    <row r="742" spans="1:14" x14ac:dyDescent="0.25">
      <c r="A742" t="s">
        <v>754</v>
      </c>
      <c r="B742">
        <v>40</v>
      </c>
      <c r="C742">
        <v>2</v>
      </c>
      <c r="D742">
        <v>23000</v>
      </c>
      <c r="E742">
        <v>0</v>
      </c>
      <c r="F742">
        <v>3.6</v>
      </c>
      <c r="G742">
        <v>46000</v>
      </c>
      <c r="H742" t="s">
        <v>1870</v>
      </c>
      <c r="I742" t="s">
        <v>1410</v>
      </c>
      <c r="J742" t="s">
        <v>1441</v>
      </c>
      <c r="K742" t="s">
        <v>1446</v>
      </c>
      <c r="L742" t="s">
        <v>1456</v>
      </c>
      <c r="M742" t="s">
        <v>1463</v>
      </c>
      <c r="N742" t="s">
        <v>1468</v>
      </c>
    </row>
    <row r="743" spans="1:14" x14ac:dyDescent="0.25">
      <c r="A743" t="s">
        <v>755</v>
      </c>
      <c r="B743">
        <v>19</v>
      </c>
      <c r="C743">
        <v>2</v>
      </c>
      <c r="D743">
        <v>18000</v>
      </c>
      <c r="E743">
        <v>0</v>
      </c>
      <c r="F743">
        <v>4</v>
      </c>
      <c r="G743">
        <v>36000</v>
      </c>
      <c r="H743" t="s">
        <v>1871</v>
      </c>
      <c r="I743" t="s">
        <v>1281</v>
      </c>
      <c r="J743" t="s">
        <v>1443</v>
      </c>
      <c r="K743" t="s">
        <v>1448</v>
      </c>
      <c r="L743" t="s">
        <v>1461</v>
      </c>
      <c r="M743" t="s">
        <v>1462</v>
      </c>
      <c r="N743" t="s">
        <v>1466</v>
      </c>
    </row>
    <row r="744" spans="1:14" x14ac:dyDescent="0.25">
      <c r="A744" t="s">
        <v>756</v>
      </c>
      <c r="B744">
        <v>20</v>
      </c>
      <c r="C744">
        <v>2</v>
      </c>
      <c r="D744">
        <v>23000</v>
      </c>
      <c r="E744">
        <v>5</v>
      </c>
      <c r="F744">
        <v>4.5</v>
      </c>
      <c r="G744">
        <v>43700</v>
      </c>
      <c r="H744" t="s">
        <v>1872</v>
      </c>
      <c r="I744" t="s">
        <v>1287</v>
      </c>
      <c r="J744" t="s">
        <v>1445</v>
      </c>
      <c r="K744" t="s">
        <v>1450</v>
      </c>
      <c r="L744" t="s">
        <v>1456</v>
      </c>
      <c r="M744" t="s">
        <v>1463</v>
      </c>
      <c r="N744" t="s">
        <v>1466</v>
      </c>
    </row>
    <row r="745" spans="1:14" x14ac:dyDescent="0.25">
      <c r="A745" t="s">
        <v>757</v>
      </c>
      <c r="B745">
        <v>31</v>
      </c>
      <c r="C745">
        <v>4</v>
      </c>
      <c r="D745">
        <v>28000</v>
      </c>
      <c r="E745">
        <v>10</v>
      </c>
      <c r="F745">
        <v>3.8</v>
      </c>
      <c r="G745">
        <v>100800</v>
      </c>
      <c r="H745" t="s">
        <v>1873</v>
      </c>
      <c r="I745" t="s">
        <v>1385</v>
      </c>
      <c r="J745" t="s">
        <v>1443</v>
      </c>
      <c r="K745" t="s">
        <v>1448</v>
      </c>
      <c r="L745" t="s">
        <v>1455</v>
      </c>
      <c r="M745" t="s">
        <v>1464</v>
      </c>
      <c r="N745" t="s">
        <v>1467</v>
      </c>
    </row>
    <row r="746" spans="1:14" x14ac:dyDescent="0.25">
      <c r="A746" t="s">
        <v>758</v>
      </c>
      <c r="B746">
        <v>43</v>
      </c>
      <c r="C746">
        <v>4</v>
      </c>
      <c r="D746">
        <v>18000</v>
      </c>
      <c r="E746">
        <v>10</v>
      </c>
      <c r="F746">
        <v>3.3</v>
      </c>
      <c r="G746">
        <v>64800</v>
      </c>
      <c r="H746" t="s">
        <v>1873</v>
      </c>
      <c r="I746" t="s">
        <v>1390</v>
      </c>
      <c r="J746" t="s">
        <v>1445</v>
      </c>
      <c r="K746" t="s">
        <v>1450</v>
      </c>
      <c r="L746" t="s">
        <v>1460</v>
      </c>
      <c r="M746" t="s">
        <v>1463</v>
      </c>
      <c r="N746" t="s">
        <v>1467</v>
      </c>
    </row>
    <row r="747" spans="1:14" x14ac:dyDescent="0.25">
      <c r="A747" t="s">
        <v>759</v>
      </c>
      <c r="B747">
        <v>42</v>
      </c>
      <c r="C747">
        <v>3</v>
      </c>
      <c r="D747">
        <v>18000</v>
      </c>
      <c r="E747">
        <v>0</v>
      </c>
      <c r="F747">
        <v>4.9000000000000004</v>
      </c>
      <c r="G747">
        <v>54000</v>
      </c>
      <c r="H747" t="s">
        <v>1874</v>
      </c>
      <c r="I747" t="s">
        <v>1391</v>
      </c>
      <c r="J747" t="s">
        <v>1444</v>
      </c>
      <c r="K747" t="s">
        <v>1449</v>
      </c>
      <c r="L747" t="s">
        <v>1461</v>
      </c>
      <c r="M747" t="s">
        <v>1462</v>
      </c>
      <c r="N747" t="s">
        <v>1465</v>
      </c>
    </row>
    <row r="748" spans="1:14" x14ac:dyDescent="0.25">
      <c r="A748" t="s">
        <v>760</v>
      </c>
      <c r="B748">
        <v>51</v>
      </c>
      <c r="C748">
        <v>4</v>
      </c>
      <c r="D748">
        <v>20000</v>
      </c>
      <c r="E748">
        <v>0</v>
      </c>
      <c r="F748">
        <v>4.9000000000000004</v>
      </c>
      <c r="G748">
        <v>80000</v>
      </c>
      <c r="H748" t="s">
        <v>1875</v>
      </c>
      <c r="I748" t="s">
        <v>1433</v>
      </c>
      <c r="J748" t="s">
        <v>1444</v>
      </c>
      <c r="K748" t="s">
        <v>1449</v>
      </c>
      <c r="L748" t="s">
        <v>1459</v>
      </c>
      <c r="M748" t="s">
        <v>1462</v>
      </c>
      <c r="N748" t="s">
        <v>1467</v>
      </c>
    </row>
    <row r="749" spans="1:14" x14ac:dyDescent="0.25">
      <c r="A749" t="s">
        <v>761</v>
      </c>
      <c r="B749">
        <v>44</v>
      </c>
      <c r="C749">
        <v>2</v>
      </c>
      <c r="D749">
        <v>18000</v>
      </c>
      <c r="E749">
        <v>15</v>
      </c>
      <c r="F749">
        <v>2.8</v>
      </c>
      <c r="G749">
        <v>30600</v>
      </c>
      <c r="H749" t="s">
        <v>1875</v>
      </c>
      <c r="I749" t="s">
        <v>1243</v>
      </c>
      <c r="J749" t="s">
        <v>1441</v>
      </c>
      <c r="K749" t="s">
        <v>1446</v>
      </c>
      <c r="L749" t="s">
        <v>1460</v>
      </c>
      <c r="M749" t="s">
        <v>1463</v>
      </c>
      <c r="N749" t="s">
        <v>1465</v>
      </c>
    </row>
    <row r="750" spans="1:14" x14ac:dyDescent="0.25">
      <c r="A750" t="s">
        <v>762</v>
      </c>
      <c r="B750">
        <v>44</v>
      </c>
      <c r="C750">
        <v>3</v>
      </c>
      <c r="D750">
        <v>20000</v>
      </c>
      <c r="E750">
        <v>15</v>
      </c>
      <c r="F750">
        <v>4.4000000000000004</v>
      </c>
      <c r="G750">
        <v>51000</v>
      </c>
      <c r="H750" t="s">
        <v>1876</v>
      </c>
      <c r="I750" t="s">
        <v>1404</v>
      </c>
      <c r="J750" t="s">
        <v>1442</v>
      </c>
      <c r="K750" t="s">
        <v>1447</v>
      </c>
      <c r="L750" t="s">
        <v>1459</v>
      </c>
      <c r="M750" t="s">
        <v>1462</v>
      </c>
      <c r="N750" t="s">
        <v>1468</v>
      </c>
    </row>
    <row r="751" spans="1:14" x14ac:dyDescent="0.25">
      <c r="A751" t="s">
        <v>763</v>
      </c>
      <c r="B751">
        <v>35</v>
      </c>
      <c r="C751">
        <v>2</v>
      </c>
      <c r="D751">
        <v>30000</v>
      </c>
      <c r="E751">
        <v>0</v>
      </c>
      <c r="F751">
        <v>4.8</v>
      </c>
      <c r="G751">
        <v>60000</v>
      </c>
      <c r="H751" t="s">
        <v>1877</v>
      </c>
      <c r="I751" t="s">
        <v>1305</v>
      </c>
      <c r="J751" t="s">
        <v>1442</v>
      </c>
      <c r="K751" t="s">
        <v>1447</v>
      </c>
      <c r="L751" t="s">
        <v>1453</v>
      </c>
      <c r="M751" t="s">
        <v>1463</v>
      </c>
      <c r="N751" t="s">
        <v>1467</v>
      </c>
    </row>
    <row r="752" spans="1:14" x14ac:dyDescent="0.25">
      <c r="A752" t="s">
        <v>764</v>
      </c>
      <c r="B752">
        <v>54</v>
      </c>
      <c r="C752">
        <v>1</v>
      </c>
      <c r="D752">
        <v>27000</v>
      </c>
      <c r="E752">
        <v>0</v>
      </c>
      <c r="F752">
        <v>3.5</v>
      </c>
      <c r="G752">
        <v>27000</v>
      </c>
      <c r="H752" t="s">
        <v>1878</v>
      </c>
      <c r="I752" t="s">
        <v>1312</v>
      </c>
      <c r="J752" t="s">
        <v>1441</v>
      </c>
      <c r="K752" t="s">
        <v>1446</v>
      </c>
      <c r="L752" t="s">
        <v>1458</v>
      </c>
      <c r="M752" t="s">
        <v>1464</v>
      </c>
      <c r="N752" t="s">
        <v>1468</v>
      </c>
    </row>
    <row r="753" spans="1:14" x14ac:dyDescent="0.25">
      <c r="A753" t="s">
        <v>765</v>
      </c>
      <c r="B753">
        <v>42</v>
      </c>
      <c r="C753">
        <v>4</v>
      </c>
      <c r="D753">
        <v>28000</v>
      </c>
      <c r="E753">
        <v>15</v>
      </c>
      <c r="F753">
        <v>3.4</v>
      </c>
      <c r="G753">
        <v>95200</v>
      </c>
      <c r="H753" t="s">
        <v>1879</v>
      </c>
      <c r="I753" t="s">
        <v>1272</v>
      </c>
      <c r="J753" t="s">
        <v>1441</v>
      </c>
      <c r="K753" t="s">
        <v>1446</v>
      </c>
      <c r="L753" t="s">
        <v>1455</v>
      </c>
      <c r="M753" t="s">
        <v>1464</v>
      </c>
      <c r="N753" t="s">
        <v>1467</v>
      </c>
    </row>
    <row r="754" spans="1:14" x14ac:dyDescent="0.25">
      <c r="A754" t="s">
        <v>766</v>
      </c>
      <c r="B754">
        <v>32</v>
      </c>
      <c r="C754">
        <v>5</v>
      </c>
      <c r="D754">
        <v>18000</v>
      </c>
      <c r="E754">
        <v>20</v>
      </c>
      <c r="F754">
        <v>2</v>
      </c>
      <c r="G754">
        <v>72000</v>
      </c>
      <c r="H754" t="s">
        <v>1880</v>
      </c>
      <c r="I754" t="s">
        <v>1434</v>
      </c>
      <c r="J754" t="s">
        <v>1443</v>
      </c>
      <c r="K754" t="s">
        <v>1448</v>
      </c>
      <c r="L754" t="s">
        <v>1461</v>
      </c>
      <c r="M754" t="s">
        <v>1462</v>
      </c>
      <c r="N754" t="s">
        <v>1468</v>
      </c>
    </row>
    <row r="755" spans="1:14" x14ac:dyDescent="0.25">
      <c r="A755" t="s">
        <v>767</v>
      </c>
      <c r="B755">
        <v>17</v>
      </c>
      <c r="C755">
        <v>4</v>
      </c>
      <c r="D755">
        <v>25000</v>
      </c>
      <c r="E755">
        <v>20</v>
      </c>
      <c r="F755">
        <v>4.3</v>
      </c>
      <c r="G755">
        <v>80000</v>
      </c>
      <c r="H755" t="s">
        <v>1881</v>
      </c>
      <c r="I755" t="s">
        <v>1327</v>
      </c>
      <c r="J755" t="s">
        <v>1444</v>
      </c>
      <c r="K755" t="s">
        <v>1449</v>
      </c>
      <c r="L755" t="s">
        <v>1452</v>
      </c>
      <c r="M755" t="s">
        <v>1462</v>
      </c>
      <c r="N755" t="s">
        <v>1468</v>
      </c>
    </row>
    <row r="756" spans="1:14" x14ac:dyDescent="0.25">
      <c r="A756" t="s">
        <v>768</v>
      </c>
      <c r="B756">
        <v>31</v>
      </c>
      <c r="C756">
        <v>2</v>
      </c>
      <c r="D756">
        <v>20000</v>
      </c>
      <c r="E756">
        <v>0</v>
      </c>
      <c r="F756">
        <v>2.9</v>
      </c>
      <c r="G756">
        <v>40000</v>
      </c>
      <c r="H756" t="s">
        <v>1881</v>
      </c>
      <c r="I756" t="s">
        <v>1383</v>
      </c>
      <c r="J756" t="s">
        <v>1441</v>
      </c>
      <c r="K756" t="s">
        <v>1446</v>
      </c>
      <c r="L756" t="s">
        <v>1459</v>
      </c>
      <c r="M756" t="s">
        <v>1462</v>
      </c>
      <c r="N756" t="s">
        <v>1467</v>
      </c>
    </row>
    <row r="757" spans="1:14" x14ac:dyDescent="0.25">
      <c r="A757" t="s">
        <v>769</v>
      </c>
      <c r="B757">
        <v>50</v>
      </c>
      <c r="C757">
        <v>4</v>
      </c>
      <c r="D757">
        <v>30000</v>
      </c>
      <c r="E757">
        <v>10</v>
      </c>
      <c r="F757">
        <v>2.6</v>
      </c>
      <c r="G757">
        <v>108000</v>
      </c>
      <c r="H757" t="s">
        <v>1882</v>
      </c>
      <c r="I757" t="s">
        <v>1435</v>
      </c>
      <c r="J757" t="s">
        <v>1444</v>
      </c>
      <c r="K757" t="s">
        <v>1449</v>
      </c>
      <c r="L757" t="s">
        <v>1453</v>
      </c>
      <c r="M757" t="s">
        <v>1463</v>
      </c>
      <c r="N757" t="s">
        <v>1465</v>
      </c>
    </row>
    <row r="758" spans="1:14" x14ac:dyDescent="0.25">
      <c r="A758" t="s">
        <v>770</v>
      </c>
      <c r="B758">
        <v>24</v>
      </c>
      <c r="C758">
        <v>3</v>
      </c>
      <c r="D758">
        <v>20000</v>
      </c>
      <c r="E758">
        <v>20</v>
      </c>
      <c r="F758">
        <v>4.0999999999999996</v>
      </c>
      <c r="G758">
        <v>48000</v>
      </c>
      <c r="H758" t="s">
        <v>1882</v>
      </c>
      <c r="I758" t="s">
        <v>1313</v>
      </c>
      <c r="J758" t="s">
        <v>1441</v>
      </c>
      <c r="K758" t="s">
        <v>1446</v>
      </c>
      <c r="L758" t="s">
        <v>1459</v>
      </c>
      <c r="M758" t="s">
        <v>1462</v>
      </c>
      <c r="N758" t="s">
        <v>1466</v>
      </c>
    </row>
    <row r="759" spans="1:14" x14ac:dyDescent="0.25">
      <c r="A759" t="s">
        <v>771</v>
      </c>
      <c r="B759">
        <v>49</v>
      </c>
      <c r="C759">
        <v>4</v>
      </c>
      <c r="D759">
        <v>18000</v>
      </c>
      <c r="E759">
        <v>15</v>
      </c>
      <c r="F759">
        <v>1.9</v>
      </c>
      <c r="G759">
        <v>61200</v>
      </c>
      <c r="H759" t="s">
        <v>1882</v>
      </c>
      <c r="I759" t="s">
        <v>1316</v>
      </c>
      <c r="J759" t="s">
        <v>1445</v>
      </c>
      <c r="K759" t="s">
        <v>1450</v>
      </c>
      <c r="L759" t="s">
        <v>1460</v>
      </c>
      <c r="M759" t="s">
        <v>1463</v>
      </c>
      <c r="N759" t="s">
        <v>1465</v>
      </c>
    </row>
    <row r="760" spans="1:14" x14ac:dyDescent="0.25">
      <c r="A760" t="s">
        <v>772</v>
      </c>
      <c r="B760">
        <v>17</v>
      </c>
      <c r="C760">
        <v>5</v>
      </c>
      <c r="D760">
        <v>25000</v>
      </c>
      <c r="E760">
        <v>20</v>
      </c>
      <c r="F760">
        <v>1.1000000000000001</v>
      </c>
      <c r="G760">
        <v>100000</v>
      </c>
      <c r="H760" t="s">
        <v>1883</v>
      </c>
      <c r="I760" t="s">
        <v>1327</v>
      </c>
      <c r="J760" t="s">
        <v>1441</v>
      </c>
      <c r="K760" t="s">
        <v>1446</v>
      </c>
      <c r="L760" t="s">
        <v>1452</v>
      </c>
      <c r="M760" t="s">
        <v>1462</v>
      </c>
      <c r="N760" t="s">
        <v>1467</v>
      </c>
    </row>
    <row r="761" spans="1:14" x14ac:dyDescent="0.25">
      <c r="A761" t="s">
        <v>773</v>
      </c>
      <c r="B761">
        <v>32</v>
      </c>
      <c r="C761">
        <v>1</v>
      </c>
      <c r="D761">
        <v>20000</v>
      </c>
      <c r="E761">
        <v>20</v>
      </c>
      <c r="F761">
        <v>1.3</v>
      </c>
      <c r="G761">
        <v>16000</v>
      </c>
      <c r="H761" t="s">
        <v>1883</v>
      </c>
      <c r="I761" t="s">
        <v>1397</v>
      </c>
      <c r="J761" t="s">
        <v>1445</v>
      </c>
      <c r="K761" t="s">
        <v>1450</v>
      </c>
      <c r="L761" t="s">
        <v>1459</v>
      </c>
      <c r="M761" t="s">
        <v>1462</v>
      </c>
      <c r="N761" t="s">
        <v>1465</v>
      </c>
    </row>
    <row r="762" spans="1:14" x14ac:dyDescent="0.25">
      <c r="A762" t="s">
        <v>774</v>
      </c>
      <c r="B762">
        <v>24</v>
      </c>
      <c r="C762">
        <v>5</v>
      </c>
      <c r="D762">
        <v>22000</v>
      </c>
      <c r="E762">
        <v>20</v>
      </c>
      <c r="F762">
        <v>1.2</v>
      </c>
      <c r="G762">
        <v>88000</v>
      </c>
      <c r="H762" t="s">
        <v>1884</v>
      </c>
      <c r="I762" t="s">
        <v>1427</v>
      </c>
      <c r="J762" t="s">
        <v>1442</v>
      </c>
      <c r="K762" t="s">
        <v>1447</v>
      </c>
      <c r="L762" t="s">
        <v>1454</v>
      </c>
      <c r="M762" t="s">
        <v>1462</v>
      </c>
      <c r="N762" t="s">
        <v>1467</v>
      </c>
    </row>
    <row r="763" spans="1:14" x14ac:dyDescent="0.25">
      <c r="A763" t="s">
        <v>775</v>
      </c>
      <c r="B763">
        <v>24</v>
      </c>
      <c r="C763">
        <v>3</v>
      </c>
      <c r="D763">
        <v>32000</v>
      </c>
      <c r="E763">
        <v>0</v>
      </c>
      <c r="F763">
        <v>4.9000000000000004</v>
      </c>
      <c r="G763">
        <v>96000</v>
      </c>
      <c r="H763" t="s">
        <v>1884</v>
      </c>
      <c r="I763" t="s">
        <v>1295</v>
      </c>
      <c r="J763" t="s">
        <v>1441</v>
      </c>
      <c r="K763" t="s">
        <v>1446</v>
      </c>
      <c r="L763" t="s">
        <v>1457</v>
      </c>
      <c r="M763" t="s">
        <v>1463</v>
      </c>
      <c r="N763" t="s">
        <v>1465</v>
      </c>
    </row>
    <row r="764" spans="1:14" x14ac:dyDescent="0.25">
      <c r="A764" t="s">
        <v>776</v>
      </c>
      <c r="B764">
        <v>19</v>
      </c>
      <c r="C764">
        <v>4</v>
      </c>
      <c r="D764">
        <v>32000</v>
      </c>
      <c r="E764">
        <v>0</v>
      </c>
      <c r="F764">
        <v>4.3</v>
      </c>
      <c r="G764">
        <v>128000</v>
      </c>
      <c r="H764" t="s">
        <v>1884</v>
      </c>
      <c r="I764" t="s">
        <v>1400</v>
      </c>
      <c r="J764" t="s">
        <v>1442</v>
      </c>
      <c r="K764" t="s">
        <v>1447</v>
      </c>
      <c r="L764" t="s">
        <v>1457</v>
      </c>
      <c r="M764" t="s">
        <v>1463</v>
      </c>
      <c r="N764" t="s">
        <v>1465</v>
      </c>
    </row>
    <row r="765" spans="1:14" x14ac:dyDescent="0.25">
      <c r="A765" t="s">
        <v>777</v>
      </c>
      <c r="B765">
        <v>50</v>
      </c>
      <c r="C765">
        <v>5</v>
      </c>
      <c r="D765">
        <v>18000</v>
      </c>
      <c r="E765">
        <v>0</v>
      </c>
      <c r="F765">
        <v>4.0999999999999996</v>
      </c>
      <c r="G765">
        <v>90000</v>
      </c>
      <c r="H765" t="s">
        <v>1884</v>
      </c>
      <c r="I765" t="s">
        <v>1328</v>
      </c>
      <c r="J765" t="s">
        <v>1444</v>
      </c>
      <c r="K765" t="s">
        <v>1449</v>
      </c>
      <c r="L765" t="s">
        <v>1461</v>
      </c>
      <c r="M765" t="s">
        <v>1462</v>
      </c>
      <c r="N765" t="s">
        <v>1465</v>
      </c>
    </row>
    <row r="766" spans="1:14" x14ac:dyDescent="0.25">
      <c r="A766" t="s">
        <v>778</v>
      </c>
      <c r="B766">
        <v>44</v>
      </c>
      <c r="C766">
        <v>5</v>
      </c>
      <c r="D766">
        <v>28000</v>
      </c>
      <c r="E766">
        <v>10</v>
      </c>
      <c r="F766">
        <v>4.9000000000000004</v>
      </c>
      <c r="G766">
        <v>126000</v>
      </c>
      <c r="H766" t="s">
        <v>1885</v>
      </c>
      <c r="I766" t="s">
        <v>1404</v>
      </c>
      <c r="J766" t="s">
        <v>1445</v>
      </c>
      <c r="K766" t="s">
        <v>1450</v>
      </c>
      <c r="L766" t="s">
        <v>1455</v>
      </c>
      <c r="M766" t="s">
        <v>1464</v>
      </c>
      <c r="N766" t="s">
        <v>1468</v>
      </c>
    </row>
    <row r="767" spans="1:14" x14ac:dyDescent="0.25">
      <c r="A767" t="s">
        <v>779</v>
      </c>
      <c r="B767">
        <v>50</v>
      </c>
      <c r="C767">
        <v>2</v>
      </c>
      <c r="D767">
        <v>20000</v>
      </c>
      <c r="E767">
        <v>0</v>
      </c>
      <c r="F767">
        <v>3.5</v>
      </c>
      <c r="G767">
        <v>40000</v>
      </c>
      <c r="H767" t="s">
        <v>1885</v>
      </c>
      <c r="I767" t="s">
        <v>1328</v>
      </c>
      <c r="J767" t="s">
        <v>1441</v>
      </c>
      <c r="K767" t="s">
        <v>1446</v>
      </c>
      <c r="L767" t="s">
        <v>1459</v>
      </c>
      <c r="M767" t="s">
        <v>1462</v>
      </c>
      <c r="N767" t="s">
        <v>1468</v>
      </c>
    </row>
    <row r="768" spans="1:14" x14ac:dyDescent="0.25">
      <c r="A768" t="s">
        <v>780</v>
      </c>
      <c r="B768">
        <v>49</v>
      </c>
      <c r="C768">
        <v>3</v>
      </c>
      <c r="D768">
        <v>18000</v>
      </c>
      <c r="E768">
        <v>0</v>
      </c>
      <c r="F768">
        <v>4.8</v>
      </c>
      <c r="G768">
        <v>54000</v>
      </c>
      <c r="H768" t="s">
        <v>1885</v>
      </c>
      <c r="I768" t="s">
        <v>1381</v>
      </c>
      <c r="J768" t="s">
        <v>1445</v>
      </c>
      <c r="K768" t="s">
        <v>1450</v>
      </c>
      <c r="L768" t="s">
        <v>1461</v>
      </c>
      <c r="M768" t="s">
        <v>1462</v>
      </c>
      <c r="N768" t="s">
        <v>1466</v>
      </c>
    </row>
    <row r="769" spans="1:14" x14ac:dyDescent="0.25">
      <c r="A769" t="s">
        <v>781</v>
      </c>
      <c r="B769">
        <v>43</v>
      </c>
      <c r="C769">
        <v>4</v>
      </c>
      <c r="D769">
        <v>18000</v>
      </c>
      <c r="E769">
        <v>15</v>
      </c>
      <c r="F769">
        <v>2.6</v>
      </c>
      <c r="G769">
        <v>61200</v>
      </c>
      <c r="H769" t="s">
        <v>1886</v>
      </c>
      <c r="I769" t="s">
        <v>1303</v>
      </c>
      <c r="J769" t="s">
        <v>1442</v>
      </c>
      <c r="K769" t="s">
        <v>1447</v>
      </c>
      <c r="L769" t="s">
        <v>1461</v>
      </c>
      <c r="M769" t="s">
        <v>1462</v>
      </c>
      <c r="N769" t="s">
        <v>1466</v>
      </c>
    </row>
    <row r="770" spans="1:14" x14ac:dyDescent="0.25">
      <c r="A770" t="s">
        <v>782</v>
      </c>
      <c r="B770">
        <v>45</v>
      </c>
      <c r="C770">
        <v>2</v>
      </c>
      <c r="D770">
        <v>20000</v>
      </c>
      <c r="E770">
        <v>0</v>
      </c>
      <c r="F770">
        <v>2.2999999999999998</v>
      </c>
      <c r="G770">
        <v>40000</v>
      </c>
      <c r="H770" t="s">
        <v>1886</v>
      </c>
      <c r="I770" t="s">
        <v>1249</v>
      </c>
      <c r="J770" t="s">
        <v>1445</v>
      </c>
      <c r="K770" t="s">
        <v>1450</v>
      </c>
      <c r="L770" t="s">
        <v>1459</v>
      </c>
      <c r="M770" t="s">
        <v>1462</v>
      </c>
      <c r="N770" t="s">
        <v>1467</v>
      </c>
    </row>
    <row r="771" spans="1:14" x14ac:dyDescent="0.25">
      <c r="A771" t="s">
        <v>783</v>
      </c>
      <c r="B771">
        <v>19</v>
      </c>
      <c r="C771">
        <v>3</v>
      </c>
      <c r="D771">
        <v>20000</v>
      </c>
      <c r="E771">
        <v>5</v>
      </c>
      <c r="F771">
        <v>4.5</v>
      </c>
      <c r="G771">
        <v>57000</v>
      </c>
      <c r="H771" t="s">
        <v>1887</v>
      </c>
      <c r="I771" t="s">
        <v>1310</v>
      </c>
      <c r="J771" t="s">
        <v>1444</v>
      </c>
      <c r="K771" t="s">
        <v>1449</v>
      </c>
      <c r="L771" t="s">
        <v>1459</v>
      </c>
      <c r="M771" t="s">
        <v>1462</v>
      </c>
      <c r="N771" t="s">
        <v>1466</v>
      </c>
    </row>
    <row r="772" spans="1:14" x14ac:dyDescent="0.25">
      <c r="A772" t="s">
        <v>784</v>
      </c>
      <c r="B772">
        <v>18</v>
      </c>
      <c r="C772">
        <v>1</v>
      </c>
      <c r="D772">
        <v>22000</v>
      </c>
      <c r="E772">
        <v>20</v>
      </c>
      <c r="F772">
        <v>4.2</v>
      </c>
      <c r="G772">
        <v>17600</v>
      </c>
      <c r="H772" t="s">
        <v>1887</v>
      </c>
      <c r="I772" t="s">
        <v>1344</v>
      </c>
      <c r="J772" t="s">
        <v>1442</v>
      </c>
      <c r="K772" t="s">
        <v>1447</v>
      </c>
      <c r="L772" t="s">
        <v>1454</v>
      </c>
      <c r="M772" t="s">
        <v>1462</v>
      </c>
      <c r="N772" t="s">
        <v>1468</v>
      </c>
    </row>
    <row r="773" spans="1:14" x14ac:dyDescent="0.25">
      <c r="A773" t="s">
        <v>785</v>
      </c>
      <c r="B773">
        <v>53</v>
      </c>
      <c r="C773">
        <v>2</v>
      </c>
      <c r="D773">
        <v>22000</v>
      </c>
      <c r="E773">
        <v>5</v>
      </c>
      <c r="F773">
        <v>4.0999999999999996</v>
      </c>
      <c r="G773">
        <v>41800</v>
      </c>
      <c r="H773" t="s">
        <v>1888</v>
      </c>
      <c r="I773" t="s">
        <v>1315</v>
      </c>
      <c r="J773" t="s">
        <v>1442</v>
      </c>
      <c r="K773" t="s">
        <v>1447</v>
      </c>
      <c r="L773" t="s">
        <v>1454</v>
      </c>
      <c r="M773" t="s">
        <v>1462</v>
      </c>
      <c r="N773" t="s">
        <v>1467</v>
      </c>
    </row>
    <row r="774" spans="1:14" x14ac:dyDescent="0.25">
      <c r="A774" t="s">
        <v>786</v>
      </c>
      <c r="B774">
        <v>51</v>
      </c>
      <c r="C774">
        <v>1</v>
      </c>
      <c r="D774">
        <v>28000</v>
      </c>
      <c r="E774">
        <v>5</v>
      </c>
      <c r="F774">
        <v>3</v>
      </c>
      <c r="G774">
        <v>26600</v>
      </c>
      <c r="H774" t="s">
        <v>1889</v>
      </c>
      <c r="I774" t="s">
        <v>1322</v>
      </c>
      <c r="J774" t="s">
        <v>1443</v>
      </c>
      <c r="K774" t="s">
        <v>1448</v>
      </c>
      <c r="L774" t="s">
        <v>1455</v>
      </c>
      <c r="M774" t="s">
        <v>1464</v>
      </c>
      <c r="N774" t="s">
        <v>1468</v>
      </c>
    </row>
    <row r="775" spans="1:14" x14ac:dyDescent="0.25">
      <c r="A775" t="s">
        <v>787</v>
      </c>
      <c r="B775">
        <v>54</v>
      </c>
      <c r="C775">
        <v>2</v>
      </c>
      <c r="D775">
        <v>25000</v>
      </c>
      <c r="E775">
        <v>15</v>
      </c>
      <c r="F775">
        <v>2.8</v>
      </c>
      <c r="G775">
        <v>42500</v>
      </c>
      <c r="H775" t="s">
        <v>1890</v>
      </c>
      <c r="I775" t="s">
        <v>1312</v>
      </c>
      <c r="J775" t="s">
        <v>1442</v>
      </c>
      <c r="K775" t="s">
        <v>1447</v>
      </c>
      <c r="L775" t="s">
        <v>1452</v>
      </c>
      <c r="M775" t="s">
        <v>1462</v>
      </c>
      <c r="N775" t="s">
        <v>1466</v>
      </c>
    </row>
    <row r="776" spans="1:14" x14ac:dyDescent="0.25">
      <c r="A776" t="s">
        <v>788</v>
      </c>
      <c r="B776">
        <v>48</v>
      </c>
      <c r="C776">
        <v>3</v>
      </c>
      <c r="D776">
        <v>32000</v>
      </c>
      <c r="E776">
        <v>5</v>
      </c>
      <c r="F776">
        <v>1.6</v>
      </c>
      <c r="G776">
        <v>91200</v>
      </c>
      <c r="H776" t="s">
        <v>1891</v>
      </c>
      <c r="I776" t="s">
        <v>1266</v>
      </c>
      <c r="J776" t="s">
        <v>1441</v>
      </c>
      <c r="K776" t="s">
        <v>1446</v>
      </c>
      <c r="L776" t="s">
        <v>1457</v>
      </c>
      <c r="M776" t="s">
        <v>1463</v>
      </c>
      <c r="N776" t="s">
        <v>1466</v>
      </c>
    </row>
    <row r="777" spans="1:14" x14ac:dyDescent="0.25">
      <c r="A777" t="s">
        <v>789</v>
      </c>
      <c r="B777">
        <v>21</v>
      </c>
      <c r="C777">
        <v>2</v>
      </c>
      <c r="D777">
        <v>27000</v>
      </c>
      <c r="E777">
        <v>20</v>
      </c>
      <c r="F777">
        <v>3.9</v>
      </c>
      <c r="G777">
        <v>43200</v>
      </c>
      <c r="H777" t="s">
        <v>1892</v>
      </c>
      <c r="I777" t="s">
        <v>1329</v>
      </c>
      <c r="J777" t="s">
        <v>1443</v>
      </c>
      <c r="K777" t="s">
        <v>1448</v>
      </c>
      <c r="L777" t="s">
        <v>1458</v>
      </c>
      <c r="M777" t="s">
        <v>1464</v>
      </c>
      <c r="N777" t="s">
        <v>1468</v>
      </c>
    </row>
    <row r="778" spans="1:14" x14ac:dyDescent="0.25">
      <c r="A778" t="s">
        <v>790</v>
      </c>
      <c r="B778">
        <v>51</v>
      </c>
      <c r="C778">
        <v>5</v>
      </c>
      <c r="D778">
        <v>20000</v>
      </c>
      <c r="E778">
        <v>20</v>
      </c>
      <c r="F778">
        <v>4.5999999999999996</v>
      </c>
      <c r="G778">
        <v>80000</v>
      </c>
      <c r="H778" t="s">
        <v>1892</v>
      </c>
      <c r="I778" t="s">
        <v>1254</v>
      </c>
      <c r="J778" t="s">
        <v>1445</v>
      </c>
      <c r="K778" t="s">
        <v>1450</v>
      </c>
      <c r="L778" t="s">
        <v>1459</v>
      </c>
      <c r="M778" t="s">
        <v>1462</v>
      </c>
      <c r="N778" t="s">
        <v>1465</v>
      </c>
    </row>
    <row r="779" spans="1:14" x14ac:dyDescent="0.25">
      <c r="A779" t="s">
        <v>791</v>
      </c>
      <c r="B779">
        <v>24</v>
      </c>
      <c r="C779">
        <v>4</v>
      </c>
      <c r="D779">
        <v>18000</v>
      </c>
      <c r="E779">
        <v>10</v>
      </c>
      <c r="F779">
        <v>3.8</v>
      </c>
      <c r="G779">
        <v>64800</v>
      </c>
      <c r="H779" t="s">
        <v>1893</v>
      </c>
      <c r="I779" t="s">
        <v>1313</v>
      </c>
      <c r="J779" t="s">
        <v>1445</v>
      </c>
      <c r="K779" t="s">
        <v>1450</v>
      </c>
      <c r="L779" t="s">
        <v>1461</v>
      </c>
      <c r="M779" t="s">
        <v>1462</v>
      </c>
      <c r="N779" t="s">
        <v>1465</v>
      </c>
    </row>
    <row r="780" spans="1:14" x14ac:dyDescent="0.25">
      <c r="A780" t="s">
        <v>792</v>
      </c>
      <c r="B780">
        <v>17</v>
      </c>
      <c r="C780">
        <v>3</v>
      </c>
      <c r="D780">
        <v>32000</v>
      </c>
      <c r="E780">
        <v>20</v>
      </c>
      <c r="F780">
        <v>2.7</v>
      </c>
      <c r="G780">
        <v>76800</v>
      </c>
      <c r="H780" t="s">
        <v>1894</v>
      </c>
      <c r="I780" t="s">
        <v>1429</v>
      </c>
      <c r="J780" t="s">
        <v>1441</v>
      </c>
      <c r="K780" t="s">
        <v>1446</v>
      </c>
      <c r="L780" t="s">
        <v>1457</v>
      </c>
      <c r="M780" t="s">
        <v>1463</v>
      </c>
      <c r="N780" t="s">
        <v>1466</v>
      </c>
    </row>
    <row r="781" spans="1:14" x14ac:dyDescent="0.25">
      <c r="A781" t="s">
        <v>793</v>
      </c>
      <c r="B781">
        <v>50</v>
      </c>
      <c r="C781">
        <v>3</v>
      </c>
      <c r="D781">
        <v>22000</v>
      </c>
      <c r="E781">
        <v>20</v>
      </c>
      <c r="F781">
        <v>5</v>
      </c>
      <c r="G781">
        <v>52800</v>
      </c>
      <c r="H781" t="s">
        <v>1894</v>
      </c>
      <c r="I781" t="s">
        <v>1396</v>
      </c>
      <c r="J781" t="s">
        <v>1443</v>
      </c>
      <c r="K781" t="s">
        <v>1448</v>
      </c>
      <c r="L781" t="s">
        <v>1454</v>
      </c>
      <c r="M781" t="s">
        <v>1462</v>
      </c>
      <c r="N781" t="s">
        <v>1467</v>
      </c>
    </row>
    <row r="782" spans="1:14" x14ac:dyDescent="0.25">
      <c r="A782" t="s">
        <v>794</v>
      </c>
      <c r="B782">
        <v>41</v>
      </c>
      <c r="C782">
        <v>3</v>
      </c>
      <c r="D782">
        <v>27000</v>
      </c>
      <c r="E782">
        <v>5</v>
      </c>
      <c r="F782">
        <v>4.4000000000000004</v>
      </c>
      <c r="G782">
        <v>76950</v>
      </c>
      <c r="H782" t="s">
        <v>1895</v>
      </c>
      <c r="I782" t="s">
        <v>1421</v>
      </c>
      <c r="J782" t="s">
        <v>1443</v>
      </c>
      <c r="K782" t="s">
        <v>1448</v>
      </c>
      <c r="L782" t="s">
        <v>1458</v>
      </c>
      <c r="M782" t="s">
        <v>1464</v>
      </c>
      <c r="N782" t="s">
        <v>1466</v>
      </c>
    </row>
    <row r="783" spans="1:14" x14ac:dyDescent="0.25">
      <c r="A783" t="s">
        <v>795</v>
      </c>
      <c r="B783">
        <v>23</v>
      </c>
      <c r="C783">
        <v>4</v>
      </c>
      <c r="D783">
        <v>28000</v>
      </c>
      <c r="E783">
        <v>10</v>
      </c>
      <c r="F783">
        <v>3.9</v>
      </c>
      <c r="G783">
        <v>100800</v>
      </c>
      <c r="H783" t="s">
        <v>1895</v>
      </c>
      <c r="I783" t="s">
        <v>1335</v>
      </c>
      <c r="J783" t="s">
        <v>1441</v>
      </c>
      <c r="K783" t="s">
        <v>1446</v>
      </c>
      <c r="L783" t="s">
        <v>1455</v>
      </c>
      <c r="M783" t="s">
        <v>1464</v>
      </c>
      <c r="N783" t="s">
        <v>1466</v>
      </c>
    </row>
    <row r="784" spans="1:14" x14ac:dyDescent="0.25">
      <c r="A784" t="s">
        <v>796</v>
      </c>
      <c r="B784">
        <v>17</v>
      </c>
      <c r="C784">
        <v>2</v>
      </c>
      <c r="D784">
        <v>20000</v>
      </c>
      <c r="E784">
        <v>0</v>
      </c>
      <c r="F784">
        <v>2.4</v>
      </c>
      <c r="G784">
        <v>40000</v>
      </c>
      <c r="H784" t="s">
        <v>1896</v>
      </c>
      <c r="I784" t="s">
        <v>1340</v>
      </c>
      <c r="J784" t="s">
        <v>1442</v>
      </c>
      <c r="K784" t="s">
        <v>1447</v>
      </c>
      <c r="L784" t="s">
        <v>1459</v>
      </c>
      <c r="M784" t="s">
        <v>1462</v>
      </c>
      <c r="N784" t="s">
        <v>1466</v>
      </c>
    </row>
    <row r="785" spans="1:14" x14ac:dyDescent="0.25">
      <c r="A785" t="s">
        <v>797</v>
      </c>
      <c r="B785">
        <v>19</v>
      </c>
      <c r="C785">
        <v>5</v>
      </c>
      <c r="D785">
        <v>18000</v>
      </c>
      <c r="E785">
        <v>5</v>
      </c>
      <c r="F785">
        <v>2.2000000000000002</v>
      </c>
      <c r="G785">
        <v>85500</v>
      </c>
      <c r="H785" t="s">
        <v>1897</v>
      </c>
      <c r="I785" t="s">
        <v>1247</v>
      </c>
      <c r="J785" t="s">
        <v>1444</v>
      </c>
      <c r="K785" t="s">
        <v>1449</v>
      </c>
      <c r="L785" t="s">
        <v>1461</v>
      </c>
      <c r="M785" t="s">
        <v>1462</v>
      </c>
      <c r="N785" t="s">
        <v>1468</v>
      </c>
    </row>
    <row r="786" spans="1:14" x14ac:dyDescent="0.25">
      <c r="A786" t="s">
        <v>798</v>
      </c>
      <c r="B786">
        <v>26</v>
      </c>
      <c r="C786">
        <v>1</v>
      </c>
      <c r="D786">
        <v>18000</v>
      </c>
      <c r="E786">
        <v>15</v>
      </c>
      <c r="F786">
        <v>1.5</v>
      </c>
      <c r="G786">
        <v>15300</v>
      </c>
      <c r="H786" t="s">
        <v>1898</v>
      </c>
      <c r="I786" t="s">
        <v>1436</v>
      </c>
      <c r="J786" t="s">
        <v>1445</v>
      </c>
      <c r="K786" t="s">
        <v>1450</v>
      </c>
      <c r="L786" t="s">
        <v>1461</v>
      </c>
      <c r="M786" t="s">
        <v>1462</v>
      </c>
      <c r="N786" t="s">
        <v>1466</v>
      </c>
    </row>
    <row r="787" spans="1:14" x14ac:dyDescent="0.25">
      <c r="A787" t="s">
        <v>799</v>
      </c>
      <c r="B787">
        <v>51</v>
      </c>
      <c r="C787">
        <v>4</v>
      </c>
      <c r="D787">
        <v>20000</v>
      </c>
      <c r="E787">
        <v>0</v>
      </c>
      <c r="F787">
        <v>3.2</v>
      </c>
      <c r="G787">
        <v>80000</v>
      </c>
      <c r="H787" t="s">
        <v>1898</v>
      </c>
      <c r="I787" t="s">
        <v>1433</v>
      </c>
      <c r="J787" t="s">
        <v>1441</v>
      </c>
      <c r="K787" t="s">
        <v>1446</v>
      </c>
      <c r="L787" t="s">
        <v>1459</v>
      </c>
      <c r="M787" t="s">
        <v>1462</v>
      </c>
      <c r="N787" t="s">
        <v>1466</v>
      </c>
    </row>
    <row r="788" spans="1:14" x14ac:dyDescent="0.25">
      <c r="A788" t="s">
        <v>800</v>
      </c>
      <c r="B788">
        <v>36</v>
      </c>
      <c r="C788">
        <v>4</v>
      </c>
      <c r="D788">
        <v>30000</v>
      </c>
      <c r="E788">
        <v>10</v>
      </c>
      <c r="F788">
        <v>1.6</v>
      </c>
      <c r="G788">
        <v>108000</v>
      </c>
      <c r="H788" t="s">
        <v>1899</v>
      </c>
      <c r="I788" t="s">
        <v>1242</v>
      </c>
      <c r="J788" t="s">
        <v>1445</v>
      </c>
      <c r="K788" t="s">
        <v>1450</v>
      </c>
      <c r="L788" t="s">
        <v>1453</v>
      </c>
      <c r="M788" t="s">
        <v>1463</v>
      </c>
      <c r="N788" t="s">
        <v>1466</v>
      </c>
    </row>
    <row r="789" spans="1:14" x14ac:dyDescent="0.25">
      <c r="A789" t="s">
        <v>801</v>
      </c>
      <c r="B789">
        <v>19</v>
      </c>
      <c r="C789">
        <v>1</v>
      </c>
      <c r="D789">
        <v>18000</v>
      </c>
      <c r="E789">
        <v>10</v>
      </c>
      <c r="F789">
        <v>3.1</v>
      </c>
      <c r="G789">
        <v>16200</v>
      </c>
      <c r="H789" t="s">
        <v>1899</v>
      </c>
      <c r="I789" t="s">
        <v>1281</v>
      </c>
      <c r="J789" t="s">
        <v>1445</v>
      </c>
      <c r="K789" t="s">
        <v>1450</v>
      </c>
      <c r="L789" t="s">
        <v>1461</v>
      </c>
      <c r="M789" t="s">
        <v>1462</v>
      </c>
      <c r="N789" t="s">
        <v>1467</v>
      </c>
    </row>
    <row r="790" spans="1:14" x14ac:dyDescent="0.25">
      <c r="A790" t="s">
        <v>802</v>
      </c>
      <c r="B790">
        <v>18</v>
      </c>
      <c r="C790">
        <v>3</v>
      </c>
      <c r="D790">
        <v>28000</v>
      </c>
      <c r="E790">
        <v>15</v>
      </c>
      <c r="F790">
        <v>1.9</v>
      </c>
      <c r="G790">
        <v>71400</v>
      </c>
      <c r="H790" t="s">
        <v>1899</v>
      </c>
      <c r="I790" t="s">
        <v>1373</v>
      </c>
      <c r="J790" t="s">
        <v>1441</v>
      </c>
      <c r="K790" t="s">
        <v>1446</v>
      </c>
      <c r="L790" t="s">
        <v>1455</v>
      </c>
      <c r="M790" t="s">
        <v>1464</v>
      </c>
      <c r="N790" t="s">
        <v>1468</v>
      </c>
    </row>
    <row r="791" spans="1:14" x14ac:dyDescent="0.25">
      <c r="A791" t="s">
        <v>803</v>
      </c>
      <c r="B791">
        <v>20</v>
      </c>
      <c r="C791">
        <v>1</v>
      </c>
      <c r="D791">
        <v>27000</v>
      </c>
      <c r="E791">
        <v>20</v>
      </c>
      <c r="F791">
        <v>3.1</v>
      </c>
      <c r="G791">
        <v>21600</v>
      </c>
      <c r="H791" t="s">
        <v>1900</v>
      </c>
      <c r="I791" t="s">
        <v>1319</v>
      </c>
      <c r="J791" t="s">
        <v>1442</v>
      </c>
      <c r="K791" t="s">
        <v>1447</v>
      </c>
      <c r="L791" t="s">
        <v>1458</v>
      </c>
      <c r="M791" t="s">
        <v>1464</v>
      </c>
      <c r="N791" t="s">
        <v>1465</v>
      </c>
    </row>
    <row r="792" spans="1:14" x14ac:dyDescent="0.25">
      <c r="A792" t="s">
        <v>804</v>
      </c>
      <c r="B792">
        <v>48</v>
      </c>
      <c r="C792">
        <v>1</v>
      </c>
      <c r="D792">
        <v>20000</v>
      </c>
      <c r="E792">
        <v>20</v>
      </c>
      <c r="F792">
        <v>1.7</v>
      </c>
      <c r="G792">
        <v>16000</v>
      </c>
      <c r="H792" t="s">
        <v>1901</v>
      </c>
      <c r="I792" t="s">
        <v>1296</v>
      </c>
      <c r="J792" t="s">
        <v>1442</v>
      </c>
      <c r="K792" t="s">
        <v>1447</v>
      </c>
      <c r="L792" t="s">
        <v>1459</v>
      </c>
      <c r="M792" t="s">
        <v>1462</v>
      </c>
      <c r="N792" t="s">
        <v>1466</v>
      </c>
    </row>
    <row r="793" spans="1:14" x14ac:dyDescent="0.25">
      <c r="A793" t="s">
        <v>805</v>
      </c>
      <c r="B793">
        <v>40</v>
      </c>
      <c r="C793">
        <v>4</v>
      </c>
      <c r="D793">
        <v>30000</v>
      </c>
      <c r="E793">
        <v>10</v>
      </c>
      <c r="F793">
        <v>1.8</v>
      </c>
      <c r="G793">
        <v>108000</v>
      </c>
      <c r="H793" t="s">
        <v>1901</v>
      </c>
      <c r="I793" t="s">
        <v>1409</v>
      </c>
      <c r="J793" t="s">
        <v>1445</v>
      </c>
      <c r="K793" t="s">
        <v>1450</v>
      </c>
      <c r="L793" t="s">
        <v>1453</v>
      </c>
      <c r="M793" t="s">
        <v>1463</v>
      </c>
      <c r="N793" t="s">
        <v>1465</v>
      </c>
    </row>
    <row r="794" spans="1:14" x14ac:dyDescent="0.25">
      <c r="A794" t="s">
        <v>806</v>
      </c>
      <c r="B794">
        <v>50</v>
      </c>
      <c r="C794">
        <v>4</v>
      </c>
      <c r="D794">
        <v>18000</v>
      </c>
      <c r="E794">
        <v>10</v>
      </c>
      <c r="F794">
        <v>1.7</v>
      </c>
      <c r="G794">
        <v>64800</v>
      </c>
      <c r="H794" t="s">
        <v>1902</v>
      </c>
      <c r="I794" t="s">
        <v>1328</v>
      </c>
      <c r="J794" t="s">
        <v>1441</v>
      </c>
      <c r="K794" t="s">
        <v>1446</v>
      </c>
      <c r="L794" t="s">
        <v>1461</v>
      </c>
      <c r="M794" t="s">
        <v>1462</v>
      </c>
      <c r="N794" t="s">
        <v>1468</v>
      </c>
    </row>
    <row r="795" spans="1:14" x14ac:dyDescent="0.25">
      <c r="A795" t="s">
        <v>807</v>
      </c>
      <c r="B795">
        <v>43</v>
      </c>
      <c r="C795">
        <v>2</v>
      </c>
      <c r="D795">
        <v>18000</v>
      </c>
      <c r="E795">
        <v>0</v>
      </c>
      <c r="F795">
        <v>4.5</v>
      </c>
      <c r="G795">
        <v>36000</v>
      </c>
      <c r="H795" t="s">
        <v>1902</v>
      </c>
      <c r="I795" t="s">
        <v>1278</v>
      </c>
      <c r="J795" t="s">
        <v>1443</v>
      </c>
      <c r="K795" t="s">
        <v>1448</v>
      </c>
      <c r="L795" t="s">
        <v>1460</v>
      </c>
      <c r="M795" t="s">
        <v>1463</v>
      </c>
      <c r="N795" t="s">
        <v>1468</v>
      </c>
    </row>
    <row r="796" spans="1:14" x14ac:dyDescent="0.25">
      <c r="A796" t="s">
        <v>808</v>
      </c>
      <c r="B796">
        <v>26</v>
      </c>
      <c r="C796">
        <v>3</v>
      </c>
      <c r="D796">
        <v>25000</v>
      </c>
      <c r="E796">
        <v>20</v>
      </c>
      <c r="F796">
        <v>1.3</v>
      </c>
      <c r="G796">
        <v>60000</v>
      </c>
      <c r="H796" t="s">
        <v>1902</v>
      </c>
      <c r="I796" t="s">
        <v>1436</v>
      </c>
      <c r="J796" t="s">
        <v>1444</v>
      </c>
      <c r="K796" t="s">
        <v>1449</v>
      </c>
      <c r="L796" t="s">
        <v>1452</v>
      </c>
      <c r="M796" t="s">
        <v>1462</v>
      </c>
      <c r="N796" t="s">
        <v>1468</v>
      </c>
    </row>
    <row r="797" spans="1:14" x14ac:dyDescent="0.25">
      <c r="A797" t="s">
        <v>809</v>
      </c>
      <c r="B797">
        <v>53</v>
      </c>
      <c r="C797">
        <v>2</v>
      </c>
      <c r="D797">
        <v>18000</v>
      </c>
      <c r="E797">
        <v>0</v>
      </c>
      <c r="F797">
        <v>2.5</v>
      </c>
      <c r="G797">
        <v>36000</v>
      </c>
      <c r="H797" t="s">
        <v>1903</v>
      </c>
      <c r="I797" t="s">
        <v>1324</v>
      </c>
      <c r="J797" t="s">
        <v>1443</v>
      </c>
      <c r="K797" t="s">
        <v>1448</v>
      </c>
      <c r="L797" t="s">
        <v>1461</v>
      </c>
      <c r="M797" t="s">
        <v>1462</v>
      </c>
      <c r="N797" t="s">
        <v>1466</v>
      </c>
    </row>
    <row r="798" spans="1:14" x14ac:dyDescent="0.25">
      <c r="A798" t="s">
        <v>810</v>
      </c>
      <c r="B798">
        <v>22</v>
      </c>
      <c r="C798">
        <v>4</v>
      </c>
      <c r="D798">
        <v>27000</v>
      </c>
      <c r="E798">
        <v>10</v>
      </c>
      <c r="F798">
        <v>3.2</v>
      </c>
      <c r="G798">
        <v>97200</v>
      </c>
      <c r="H798" t="s">
        <v>1904</v>
      </c>
      <c r="I798" t="s">
        <v>1252</v>
      </c>
      <c r="J798" t="s">
        <v>1442</v>
      </c>
      <c r="K798" t="s">
        <v>1447</v>
      </c>
      <c r="L798" t="s">
        <v>1458</v>
      </c>
      <c r="M798" t="s">
        <v>1464</v>
      </c>
      <c r="N798" t="s">
        <v>1466</v>
      </c>
    </row>
    <row r="799" spans="1:14" x14ac:dyDescent="0.25">
      <c r="A799" t="s">
        <v>811</v>
      </c>
      <c r="B799">
        <v>49</v>
      </c>
      <c r="C799">
        <v>4</v>
      </c>
      <c r="D799">
        <v>18000</v>
      </c>
      <c r="E799">
        <v>0</v>
      </c>
      <c r="F799">
        <v>1</v>
      </c>
      <c r="G799">
        <v>72000</v>
      </c>
      <c r="H799" t="s">
        <v>1905</v>
      </c>
      <c r="I799" t="s">
        <v>1338</v>
      </c>
      <c r="J799" t="s">
        <v>1443</v>
      </c>
      <c r="K799" t="s">
        <v>1448</v>
      </c>
      <c r="L799" t="s">
        <v>1461</v>
      </c>
      <c r="M799" t="s">
        <v>1462</v>
      </c>
      <c r="N799" t="s">
        <v>1468</v>
      </c>
    </row>
    <row r="800" spans="1:14" x14ac:dyDescent="0.25">
      <c r="A800" t="s">
        <v>812</v>
      </c>
      <c r="B800">
        <v>17</v>
      </c>
      <c r="C800">
        <v>5</v>
      </c>
      <c r="D800">
        <v>18000</v>
      </c>
      <c r="E800">
        <v>0</v>
      </c>
      <c r="F800">
        <v>4.9000000000000004</v>
      </c>
      <c r="G800">
        <v>90000</v>
      </c>
      <c r="H800" t="s">
        <v>1905</v>
      </c>
      <c r="I800" t="s">
        <v>1343</v>
      </c>
      <c r="J800" t="s">
        <v>1442</v>
      </c>
      <c r="K800" t="s">
        <v>1447</v>
      </c>
      <c r="L800" t="s">
        <v>1461</v>
      </c>
      <c r="M800" t="s">
        <v>1462</v>
      </c>
      <c r="N800" t="s">
        <v>1467</v>
      </c>
    </row>
    <row r="801" spans="1:14" x14ac:dyDescent="0.25">
      <c r="A801" t="s">
        <v>813</v>
      </c>
      <c r="B801">
        <v>31</v>
      </c>
      <c r="C801">
        <v>4</v>
      </c>
      <c r="D801">
        <v>30000</v>
      </c>
      <c r="E801">
        <v>0</v>
      </c>
      <c r="F801">
        <v>1.1000000000000001</v>
      </c>
      <c r="G801">
        <v>120000</v>
      </c>
      <c r="H801" t="s">
        <v>1906</v>
      </c>
      <c r="I801" t="s">
        <v>1274</v>
      </c>
      <c r="J801" t="s">
        <v>1441</v>
      </c>
      <c r="K801" t="s">
        <v>1446</v>
      </c>
      <c r="L801" t="s">
        <v>1453</v>
      </c>
      <c r="M801" t="s">
        <v>1463</v>
      </c>
      <c r="N801" t="s">
        <v>1466</v>
      </c>
    </row>
    <row r="802" spans="1:14" x14ac:dyDescent="0.25">
      <c r="A802" t="s">
        <v>814</v>
      </c>
      <c r="B802">
        <v>25</v>
      </c>
      <c r="C802">
        <v>1</v>
      </c>
      <c r="D802">
        <v>18000</v>
      </c>
      <c r="E802">
        <v>20</v>
      </c>
      <c r="F802">
        <v>2.2000000000000002</v>
      </c>
      <c r="G802">
        <v>14400</v>
      </c>
      <c r="H802" t="s">
        <v>1906</v>
      </c>
      <c r="I802" t="s">
        <v>1367</v>
      </c>
      <c r="J802" t="s">
        <v>1445</v>
      </c>
      <c r="K802" t="s">
        <v>1450</v>
      </c>
      <c r="L802" t="s">
        <v>1461</v>
      </c>
      <c r="M802" t="s">
        <v>1462</v>
      </c>
      <c r="N802" t="s">
        <v>1466</v>
      </c>
    </row>
    <row r="803" spans="1:14" x14ac:dyDescent="0.25">
      <c r="A803" t="s">
        <v>815</v>
      </c>
      <c r="B803">
        <v>22</v>
      </c>
      <c r="C803">
        <v>2</v>
      </c>
      <c r="D803">
        <v>18000</v>
      </c>
      <c r="E803">
        <v>0</v>
      </c>
      <c r="F803">
        <v>2.2999999999999998</v>
      </c>
      <c r="G803">
        <v>36000</v>
      </c>
      <c r="H803" t="s">
        <v>1907</v>
      </c>
      <c r="I803" t="s">
        <v>1314</v>
      </c>
      <c r="J803" t="s">
        <v>1443</v>
      </c>
      <c r="K803" t="s">
        <v>1448</v>
      </c>
      <c r="L803" t="s">
        <v>1460</v>
      </c>
      <c r="M803" t="s">
        <v>1463</v>
      </c>
      <c r="N803" t="s">
        <v>1466</v>
      </c>
    </row>
    <row r="804" spans="1:14" x14ac:dyDescent="0.25">
      <c r="A804" t="s">
        <v>816</v>
      </c>
      <c r="B804">
        <v>35</v>
      </c>
      <c r="C804">
        <v>3</v>
      </c>
      <c r="D804">
        <v>23000</v>
      </c>
      <c r="E804">
        <v>0</v>
      </c>
      <c r="F804">
        <v>3.1</v>
      </c>
      <c r="G804">
        <v>69000</v>
      </c>
      <c r="H804" t="s">
        <v>1907</v>
      </c>
      <c r="I804" t="s">
        <v>1305</v>
      </c>
      <c r="J804" t="s">
        <v>1443</v>
      </c>
      <c r="K804" t="s">
        <v>1448</v>
      </c>
      <c r="L804" t="s">
        <v>1456</v>
      </c>
      <c r="M804" t="s">
        <v>1463</v>
      </c>
      <c r="N804" t="s">
        <v>1468</v>
      </c>
    </row>
    <row r="805" spans="1:14" x14ac:dyDescent="0.25">
      <c r="A805" t="s">
        <v>817</v>
      </c>
      <c r="B805">
        <v>46</v>
      </c>
      <c r="C805">
        <v>4</v>
      </c>
      <c r="D805">
        <v>22000</v>
      </c>
      <c r="E805">
        <v>0</v>
      </c>
      <c r="F805">
        <v>4.5999999999999996</v>
      </c>
      <c r="G805">
        <v>88000</v>
      </c>
      <c r="H805" t="s">
        <v>1908</v>
      </c>
      <c r="I805" t="s">
        <v>1437</v>
      </c>
      <c r="J805" t="s">
        <v>1442</v>
      </c>
      <c r="K805" t="s">
        <v>1447</v>
      </c>
      <c r="L805" t="s">
        <v>1454</v>
      </c>
      <c r="M805" t="s">
        <v>1462</v>
      </c>
      <c r="N805" t="s">
        <v>1465</v>
      </c>
    </row>
    <row r="806" spans="1:14" x14ac:dyDescent="0.25">
      <c r="A806" t="s">
        <v>818</v>
      </c>
      <c r="B806">
        <v>53</v>
      </c>
      <c r="C806">
        <v>3</v>
      </c>
      <c r="D806">
        <v>25000</v>
      </c>
      <c r="E806">
        <v>5</v>
      </c>
      <c r="F806">
        <v>1.8</v>
      </c>
      <c r="G806">
        <v>71250</v>
      </c>
      <c r="H806" t="s">
        <v>1909</v>
      </c>
      <c r="I806" t="s">
        <v>1324</v>
      </c>
      <c r="J806" t="s">
        <v>1441</v>
      </c>
      <c r="K806" t="s">
        <v>1446</v>
      </c>
      <c r="L806" t="s">
        <v>1452</v>
      </c>
      <c r="M806" t="s">
        <v>1462</v>
      </c>
      <c r="N806" t="s">
        <v>1465</v>
      </c>
    </row>
    <row r="807" spans="1:14" x14ac:dyDescent="0.25">
      <c r="A807" t="s">
        <v>819</v>
      </c>
      <c r="B807">
        <v>37</v>
      </c>
      <c r="C807">
        <v>5</v>
      </c>
      <c r="D807">
        <v>22000</v>
      </c>
      <c r="E807">
        <v>0</v>
      </c>
      <c r="F807">
        <v>1.3</v>
      </c>
      <c r="G807">
        <v>110000</v>
      </c>
      <c r="H807" t="s">
        <v>1910</v>
      </c>
      <c r="I807" t="s">
        <v>1282</v>
      </c>
      <c r="J807" t="s">
        <v>1441</v>
      </c>
      <c r="K807" t="s">
        <v>1446</v>
      </c>
      <c r="L807" t="s">
        <v>1454</v>
      </c>
      <c r="M807" t="s">
        <v>1462</v>
      </c>
      <c r="N807" t="s">
        <v>1466</v>
      </c>
    </row>
    <row r="808" spans="1:14" x14ac:dyDescent="0.25">
      <c r="A808" t="s">
        <v>820</v>
      </c>
      <c r="B808">
        <v>49</v>
      </c>
      <c r="C808">
        <v>4</v>
      </c>
      <c r="D808">
        <v>22000</v>
      </c>
      <c r="E808">
        <v>0</v>
      </c>
      <c r="F808">
        <v>4.7</v>
      </c>
      <c r="G808">
        <v>88000</v>
      </c>
      <c r="H808" t="s">
        <v>1910</v>
      </c>
      <c r="I808" t="s">
        <v>1316</v>
      </c>
      <c r="J808" t="s">
        <v>1443</v>
      </c>
      <c r="K808" t="s">
        <v>1448</v>
      </c>
      <c r="L808" t="s">
        <v>1454</v>
      </c>
      <c r="M808" t="s">
        <v>1462</v>
      </c>
      <c r="N808" t="s">
        <v>1468</v>
      </c>
    </row>
    <row r="809" spans="1:14" x14ac:dyDescent="0.25">
      <c r="A809" t="s">
        <v>821</v>
      </c>
      <c r="B809">
        <v>48</v>
      </c>
      <c r="C809">
        <v>2</v>
      </c>
      <c r="D809">
        <v>18000</v>
      </c>
      <c r="E809">
        <v>20</v>
      </c>
      <c r="F809">
        <v>2.2000000000000002</v>
      </c>
      <c r="G809">
        <v>28800</v>
      </c>
      <c r="H809" t="s">
        <v>1911</v>
      </c>
      <c r="I809" t="s">
        <v>1296</v>
      </c>
      <c r="J809" t="s">
        <v>1443</v>
      </c>
      <c r="K809" t="s">
        <v>1448</v>
      </c>
      <c r="L809" t="s">
        <v>1460</v>
      </c>
      <c r="M809" t="s">
        <v>1463</v>
      </c>
      <c r="N809" t="s">
        <v>1465</v>
      </c>
    </row>
    <row r="810" spans="1:14" x14ac:dyDescent="0.25">
      <c r="A810" t="s">
        <v>822</v>
      </c>
      <c r="B810">
        <v>53</v>
      </c>
      <c r="C810">
        <v>4</v>
      </c>
      <c r="D810">
        <v>30000</v>
      </c>
      <c r="E810">
        <v>20</v>
      </c>
      <c r="F810">
        <v>2.5</v>
      </c>
      <c r="G810">
        <v>96000</v>
      </c>
      <c r="H810" t="s">
        <v>1912</v>
      </c>
      <c r="I810" t="s">
        <v>1301</v>
      </c>
      <c r="J810" t="s">
        <v>1444</v>
      </c>
      <c r="K810" t="s">
        <v>1449</v>
      </c>
      <c r="L810" t="s">
        <v>1453</v>
      </c>
      <c r="M810" t="s">
        <v>1463</v>
      </c>
      <c r="N810" t="s">
        <v>1468</v>
      </c>
    </row>
    <row r="811" spans="1:14" x14ac:dyDescent="0.25">
      <c r="A811" t="s">
        <v>823</v>
      </c>
      <c r="B811">
        <v>48</v>
      </c>
      <c r="C811">
        <v>5</v>
      </c>
      <c r="D811">
        <v>18000</v>
      </c>
      <c r="E811">
        <v>0</v>
      </c>
      <c r="F811">
        <v>4.8</v>
      </c>
      <c r="G811">
        <v>90000</v>
      </c>
      <c r="H811" t="s">
        <v>1913</v>
      </c>
      <c r="I811" t="s">
        <v>1266</v>
      </c>
      <c r="J811" t="s">
        <v>1443</v>
      </c>
      <c r="K811" t="s">
        <v>1448</v>
      </c>
      <c r="L811" t="s">
        <v>1461</v>
      </c>
      <c r="M811" t="s">
        <v>1462</v>
      </c>
      <c r="N811" t="s">
        <v>1467</v>
      </c>
    </row>
    <row r="812" spans="1:14" x14ac:dyDescent="0.25">
      <c r="A812" t="s">
        <v>824</v>
      </c>
      <c r="B812">
        <v>39</v>
      </c>
      <c r="C812">
        <v>5</v>
      </c>
      <c r="D812">
        <v>20000</v>
      </c>
      <c r="E812">
        <v>10</v>
      </c>
      <c r="F812">
        <v>1.7</v>
      </c>
      <c r="G812">
        <v>90000</v>
      </c>
      <c r="H812" t="s">
        <v>1914</v>
      </c>
      <c r="I812" t="s">
        <v>1331</v>
      </c>
      <c r="J812" t="s">
        <v>1442</v>
      </c>
      <c r="K812" t="s">
        <v>1447</v>
      </c>
      <c r="L812" t="s">
        <v>1459</v>
      </c>
      <c r="M812" t="s">
        <v>1462</v>
      </c>
      <c r="N812" t="s">
        <v>1465</v>
      </c>
    </row>
    <row r="813" spans="1:14" x14ac:dyDescent="0.25">
      <c r="A813" t="s">
        <v>825</v>
      </c>
      <c r="B813">
        <v>18</v>
      </c>
      <c r="C813">
        <v>5</v>
      </c>
      <c r="D813">
        <v>25000</v>
      </c>
      <c r="E813">
        <v>5</v>
      </c>
      <c r="F813">
        <v>3.7</v>
      </c>
      <c r="G813">
        <v>118750</v>
      </c>
      <c r="H813" t="s">
        <v>1914</v>
      </c>
      <c r="I813" t="s">
        <v>1401</v>
      </c>
      <c r="J813" t="s">
        <v>1445</v>
      </c>
      <c r="K813" t="s">
        <v>1450</v>
      </c>
      <c r="L813" t="s">
        <v>1452</v>
      </c>
      <c r="M813" t="s">
        <v>1462</v>
      </c>
      <c r="N813" t="s">
        <v>1467</v>
      </c>
    </row>
    <row r="814" spans="1:14" x14ac:dyDescent="0.25">
      <c r="A814" t="s">
        <v>826</v>
      </c>
      <c r="B814">
        <v>48</v>
      </c>
      <c r="C814">
        <v>3</v>
      </c>
      <c r="D814">
        <v>32000</v>
      </c>
      <c r="E814">
        <v>20</v>
      </c>
      <c r="F814">
        <v>2.7</v>
      </c>
      <c r="G814">
        <v>76800</v>
      </c>
      <c r="H814" t="s">
        <v>1915</v>
      </c>
      <c r="I814" t="s">
        <v>1296</v>
      </c>
      <c r="J814" t="s">
        <v>1445</v>
      </c>
      <c r="K814" t="s">
        <v>1450</v>
      </c>
      <c r="L814" t="s">
        <v>1457</v>
      </c>
      <c r="M814" t="s">
        <v>1463</v>
      </c>
      <c r="N814" t="s">
        <v>1465</v>
      </c>
    </row>
    <row r="815" spans="1:14" x14ac:dyDescent="0.25">
      <c r="A815" t="s">
        <v>827</v>
      </c>
      <c r="B815">
        <v>52</v>
      </c>
      <c r="C815">
        <v>4</v>
      </c>
      <c r="D815">
        <v>20000</v>
      </c>
      <c r="E815">
        <v>0</v>
      </c>
      <c r="F815">
        <v>2.9</v>
      </c>
      <c r="G815">
        <v>80000</v>
      </c>
      <c r="H815" t="s">
        <v>1916</v>
      </c>
      <c r="I815" t="s">
        <v>1414</v>
      </c>
      <c r="J815" t="s">
        <v>1445</v>
      </c>
      <c r="K815" t="s">
        <v>1450</v>
      </c>
      <c r="L815" t="s">
        <v>1459</v>
      </c>
      <c r="M815" t="s">
        <v>1462</v>
      </c>
      <c r="N815" t="s">
        <v>1465</v>
      </c>
    </row>
    <row r="816" spans="1:14" x14ac:dyDescent="0.25">
      <c r="A816" t="s">
        <v>828</v>
      </c>
      <c r="B816">
        <v>18</v>
      </c>
      <c r="C816">
        <v>2</v>
      </c>
      <c r="D816">
        <v>22000</v>
      </c>
      <c r="E816">
        <v>0</v>
      </c>
      <c r="F816">
        <v>4.4000000000000004</v>
      </c>
      <c r="G816">
        <v>44000</v>
      </c>
      <c r="H816" t="s">
        <v>1916</v>
      </c>
      <c r="I816" t="s">
        <v>1373</v>
      </c>
      <c r="J816" t="s">
        <v>1444</v>
      </c>
      <c r="K816" t="s">
        <v>1449</v>
      </c>
      <c r="L816" t="s">
        <v>1454</v>
      </c>
      <c r="M816" t="s">
        <v>1462</v>
      </c>
      <c r="N816" t="s">
        <v>1467</v>
      </c>
    </row>
    <row r="817" spans="1:14" x14ac:dyDescent="0.25">
      <c r="A817" t="s">
        <v>829</v>
      </c>
      <c r="B817">
        <v>30</v>
      </c>
      <c r="C817">
        <v>3</v>
      </c>
      <c r="D817">
        <v>32000</v>
      </c>
      <c r="E817">
        <v>0</v>
      </c>
      <c r="F817">
        <v>2.5</v>
      </c>
      <c r="G817">
        <v>96000</v>
      </c>
      <c r="H817" t="s">
        <v>1917</v>
      </c>
      <c r="I817" t="s">
        <v>1357</v>
      </c>
      <c r="J817" t="s">
        <v>1444</v>
      </c>
      <c r="K817" t="s">
        <v>1449</v>
      </c>
      <c r="L817" t="s">
        <v>1457</v>
      </c>
      <c r="M817" t="s">
        <v>1463</v>
      </c>
      <c r="N817" t="s">
        <v>1466</v>
      </c>
    </row>
    <row r="818" spans="1:14" x14ac:dyDescent="0.25">
      <c r="A818" t="s">
        <v>830</v>
      </c>
      <c r="B818">
        <v>17</v>
      </c>
      <c r="C818">
        <v>2</v>
      </c>
      <c r="D818">
        <v>27000</v>
      </c>
      <c r="E818">
        <v>0</v>
      </c>
      <c r="F818">
        <v>4.2</v>
      </c>
      <c r="G818">
        <v>54000</v>
      </c>
      <c r="H818" t="s">
        <v>1917</v>
      </c>
      <c r="I818" t="s">
        <v>1294</v>
      </c>
      <c r="J818" t="s">
        <v>1443</v>
      </c>
      <c r="K818" t="s">
        <v>1448</v>
      </c>
      <c r="L818" t="s">
        <v>1458</v>
      </c>
      <c r="M818" t="s">
        <v>1464</v>
      </c>
      <c r="N818" t="s">
        <v>1468</v>
      </c>
    </row>
    <row r="819" spans="1:14" x14ac:dyDescent="0.25">
      <c r="A819" t="s">
        <v>831</v>
      </c>
      <c r="B819">
        <v>20</v>
      </c>
      <c r="C819">
        <v>3</v>
      </c>
      <c r="D819">
        <v>22000</v>
      </c>
      <c r="E819">
        <v>10</v>
      </c>
      <c r="F819">
        <v>2</v>
      </c>
      <c r="G819">
        <v>59400</v>
      </c>
      <c r="H819" t="s">
        <v>1918</v>
      </c>
      <c r="I819" t="s">
        <v>1287</v>
      </c>
      <c r="J819" t="s">
        <v>1443</v>
      </c>
      <c r="K819" t="s">
        <v>1448</v>
      </c>
      <c r="L819" t="s">
        <v>1454</v>
      </c>
      <c r="M819" t="s">
        <v>1462</v>
      </c>
      <c r="N819" t="s">
        <v>1465</v>
      </c>
    </row>
    <row r="820" spans="1:14" x14ac:dyDescent="0.25">
      <c r="A820" t="s">
        <v>832</v>
      </c>
      <c r="B820">
        <v>18</v>
      </c>
      <c r="C820">
        <v>2</v>
      </c>
      <c r="D820">
        <v>25000</v>
      </c>
      <c r="E820">
        <v>0</v>
      </c>
      <c r="F820">
        <v>2.5</v>
      </c>
      <c r="G820">
        <v>50000</v>
      </c>
      <c r="H820" t="s">
        <v>1918</v>
      </c>
      <c r="I820" t="s">
        <v>1337</v>
      </c>
      <c r="J820" t="s">
        <v>1445</v>
      </c>
      <c r="K820" t="s">
        <v>1450</v>
      </c>
      <c r="L820" t="s">
        <v>1452</v>
      </c>
      <c r="M820" t="s">
        <v>1462</v>
      </c>
      <c r="N820" t="s">
        <v>1467</v>
      </c>
    </row>
    <row r="821" spans="1:14" x14ac:dyDescent="0.25">
      <c r="A821" t="s">
        <v>833</v>
      </c>
      <c r="B821">
        <v>43</v>
      </c>
      <c r="C821">
        <v>1</v>
      </c>
      <c r="D821">
        <v>28000</v>
      </c>
      <c r="E821">
        <v>20</v>
      </c>
      <c r="F821">
        <v>4</v>
      </c>
      <c r="G821">
        <v>22400</v>
      </c>
      <c r="H821" t="s">
        <v>1918</v>
      </c>
      <c r="I821" t="s">
        <v>1303</v>
      </c>
      <c r="J821" t="s">
        <v>1443</v>
      </c>
      <c r="K821" t="s">
        <v>1448</v>
      </c>
      <c r="L821" t="s">
        <v>1455</v>
      </c>
      <c r="M821" t="s">
        <v>1464</v>
      </c>
      <c r="N821" t="s">
        <v>1465</v>
      </c>
    </row>
    <row r="822" spans="1:14" x14ac:dyDescent="0.25">
      <c r="A822" t="s">
        <v>834</v>
      </c>
      <c r="B822">
        <v>40</v>
      </c>
      <c r="C822">
        <v>4</v>
      </c>
      <c r="D822">
        <v>30000</v>
      </c>
      <c r="E822">
        <v>0</v>
      </c>
      <c r="F822">
        <v>4.4000000000000004</v>
      </c>
      <c r="G822">
        <v>120000</v>
      </c>
      <c r="H822" t="s">
        <v>1918</v>
      </c>
      <c r="I822" t="s">
        <v>1409</v>
      </c>
      <c r="J822" t="s">
        <v>1443</v>
      </c>
      <c r="K822" t="s">
        <v>1448</v>
      </c>
      <c r="L822" t="s">
        <v>1453</v>
      </c>
      <c r="M822" t="s">
        <v>1463</v>
      </c>
      <c r="N822" t="s">
        <v>1466</v>
      </c>
    </row>
    <row r="823" spans="1:14" x14ac:dyDescent="0.25">
      <c r="A823" t="s">
        <v>835</v>
      </c>
      <c r="B823">
        <v>35</v>
      </c>
      <c r="C823">
        <v>1</v>
      </c>
      <c r="D823">
        <v>28000</v>
      </c>
      <c r="E823">
        <v>5</v>
      </c>
      <c r="F823">
        <v>1.5</v>
      </c>
      <c r="G823">
        <v>26600</v>
      </c>
      <c r="H823" t="s">
        <v>1919</v>
      </c>
      <c r="I823" t="s">
        <v>1423</v>
      </c>
      <c r="J823" t="s">
        <v>1442</v>
      </c>
      <c r="K823" t="s">
        <v>1447</v>
      </c>
      <c r="L823" t="s">
        <v>1455</v>
      </c>
      <c r="M823" t="s">
        <v>1464</v>
      </c>
      <c r="N823" t="s">
        <v>1466</v>
      </c>
    </row>
    <row r="824" spans="1:14" x14ac:dyDescent="0.25">
      <c r="A824" t="s">
        <v>836</v>
      </c>
      <c r="B824">
        <v>39</v>
      </c>
      <c r="C824">
        <v>5</v>
      </c>
      <c r="D824">
        <v>18000</v>
      </c>
      <c r="E824">
        <v>0</v>
      </c>
      <c r="F824">
        <v>3.3</v>
      </c>
      <c r="G824">
        <v>90000</v>
      </c>
      <c r="H824" t="s">
        <v>1920</v>
      </c>
      <c r="I824" t="s">
        <v>1351</v>
      </c>
      <c r="J824" t="s">
        <v>1444</v>
      </c>
      <c r="K824" t="s">
        <v>1449</v>
      </c>
      <c r="L824" t="s">
        <v>1461</v>
      </c>
      <c r="M824" t="s">
        <v>1462</v>
      </c>
      <c r="N824" t="s">
        <v>1466</v>
      </c>
    </row>
    <row r="825" spans="1:14" x14ac:dyDescent="0.25">
      <c r="A825" t="s">
        <v>837</v>
      </c>
      <c r="B825">
        <v>38</v>
      </c>
      <c r="C825">
        <v>1</v>
      </c>
      <c r="D825">
        <v>32000</v>
      </c>
      <c r="E825">
        <v>0</v>
      </c>
      <c r="F825">
        <v>1.1000000000000001</v>
      </c>
      <c r="G825">
        <v>32000</v>
      </c>
      <c r="H825" t="s">
        <v>1920</v>
      </c>
      <c r="I825" t="s">
        <v>1309</v>
      </c>
      <c r="J825" t="s">
        <v>1441</v>
      </c>
      <c r="K825" t="s">
        <v>1446</v>
      </c>
      <c r="L825" t="s">
        <v>1457</v>
      </c>
      <c r="M825" t="s">
        <v>1463</v>
      </c>
      <c r="N825" t="s">
        <v>1467</v>
      </c>
    </row>
    <row r="826" spans="1:14" x14ac:dyDescent="0.25">
      <c r="A826" t="s">
        <v>838</v>
      </c>
      <c r="B826">
        <v>35</v>
      </c>
      <c r="C826">
        <v>2</v>
      </c>
      <c r="D826">
        <v>25000</v>
      </c>
      <c r="E826">
        <v>20</v>
      </c>
      <c r="F826">
        <v>2.4</v>
      </c>
      <c r="G826">
        <v>40000</v>
      </c>
      <c r="H826" t="s">
        <v>1921</v>
      </c>
      <c r="I826" t="s">
        <v>1305</v>
      </c>
      <c r="J826" t="s">
        <v>1443</v>
      </c>
      <c r="K826" t="s">
        <v>1448</v>
      </c>
      <c r="L826" t="s">
        <v>1452</v>
      </c>
      <c r="M826" t="s">
        <v>1462</v>
      </c>
      <c r="N826" t="s">
        <v>1465</v>
      </c>
    </row>
    <row r="827" spans="1:14" x14ac:dyDescent="0.25">
      <c r="A827" t="s">
        <v>839</v>
      </c>
      <c r="B827">
        <v>43</v>
      </c>
      <c r="C827">
        <v>4</v>
      </c>
      <c r="D827">
        <v>22000</v>
      </c>
      <c r="E827">
        <v>20</v>
      </c>
      <c r="F827">
        <v>1.3</v>
      </c>
      <c r="G827">
        <v>70400</v>
      </c>
      <c r="H827" t="s">
        <v>1921</v>
      </c>
      <c r="I827" t="s">
        <v>1354</v>
      </c>
      <c r="J827" t="s">
        <v>1442</v>
      </c>
      <c r="K827" t="s">
        <v>1447</v>
      </c>
      <c r="L827" t="s">
        <v>1454</v>
      </c>
      <c r="M827" t="s">
        <v>1462</v>
      </c>
      <c r="N827" t="s">
        <v>1466</v>
      </c>
    </row>
    <row r="828" spans="1:14" x14ac:dyDescent="0.25">
      <c r="A828" t="s">
        <v>840</v>
      </c>
      <c r="B828">
        <v>40</v>
      </c>
      <c r="C828">
        <v>1</v>
      </c>
      <c r="D828">
        <v>32000</v>
      </c>
      <c r="E828">
        <v>0</v>
      </c>
      <c r="F828">
        <v>1.3</v>
      </c>
      <c r="G828">
        <v>32000</v>
      </c>
      <c r="H828" t="s">
        <v>1921</v>
      </c>
      <c r="I828" t="s">
        <v>1350</v>
      </c>
      <c r="J828" t="s">
        <v>1444</v>
      </c>
      <c r="K828" t="s">
        <v>1449</v>
      </c>
      <c r="L828" t="s">
        <v>1457</v>
      </c>
      <c r="M828" t="s">
        <v>1463</v>
      </c>
      <c r="N828" t="s">
        <v>1468</v>
      </c>
    </row>
    <row r="829" spans="1:14" x14ac:dyDescent="0.25">
      <c r="A829" t="s">
        <v>841</v>
      </c>
      <c r="B829">
        <v>53</v>
      </c>
      <c r="C829">
        <v>2</v>
      </c>
      <c r="D829">
        <v>18000</v>
      </c>
      <c r="E829">
        <v>5</v>
      </c>
      <c r="F829">
        <v>2.4</v>
      </c>
      <c r="G829">
        <v>34200</v>
      </c>
      <c r="H829" t="s">
        <v>1922</v>
      </c>
      <c r="I829" t="s">
        <v>1301</v>
      </c>
      <c r="J829" t="s">
        <v>1444</v>
      </c>
      <c r="K829" t="s">
        <v>1449</v>
      </c>
      <c r="L829" t="s">
        <v>1460</v>
      </c>
      <c r="M829" t="s">
        <v>1463</v>
      </c>
      <c r="N829" t="s">
        <v>1465</v>
      </c>
    </row>
    <row r="830" spans="1:14" x14ac:dyDescent="0.25">
      <c r="A830" t="s">
        <v>842</v>
      </c>
      <c r="B830">
        <v>53</v>
      </c>
      <c r="C830">
        <v>3</v>
      </c>
      <c r="D830">
        <v>23000</v>
      </c>
      <c r="E830">
        <v>15</v>
      </c>
      <c r="F830">
        <v>3</v>
      </c>
      <c r="G830">
        <v>58650</v>
      </c>
      <c r="H830" t="s">
        <v>1923</v>
      </c>
      <c r="I830" t="s">
        <v>1276</v>
      </c>
      <c r="J830" t="s">
        <v>1444</v>
      </c>
      <c r="K830" t="s">
        <v>1449</v>
      </c>
      <c r="L830" t="s">
        <v>1456</v>
      </c>
      <c r="M830" t="s">
        <v>1463</v>
      </c>
      <c r="N830" t="s">
        <v>1468</v>
      </c>
    </row>
    <row r="831" spans="1:14" x14ac:dyDescent="0.25">
      <c r="A831" t="s">
        <v>843</v>
      </c>
      <c r="B831">
        <v>38</v>
      </c>
      <c r="C831">
        <v>2</v>
      </c>
      <c r="D831">
        <v>22000</v>
      </c>
      <c r="E831">
        <v>10</v>
      </c>
      <c r="F831">
        <v>2.6</v>
      </c>
      <c r="G831">
        <v>39600</v>
      </c>
      <c r="H831" t="s">
        <v>1923</v>
      </c>
      <c r="I831" t="s">
        <v>1309</v>
      </c>
      <c r="J831" t="s">
        <v>1442</v>
      </c>
      <c r="K831" t="s">
        <v>1447</v>
      </c>
      <c r="L831" t="s">
        <v>1454</v>
      </c>
      <c r="M831" t="s">
        <v>1462</v>
      </c>
      <c r="N831" t="s">
        <v>1465</v>
      </c>
    </row>
    <row r="832" spans="1:14" x14ac:dyDescent="0.25">
      <c r="A832" t="s">
        <v>844</v>
      </c>
      <c r="B832">
        <v>25</v>
      </c>
      <c r="C832">
        <v>4</v>
      </c>
      <c r="D832">
        <v>23000</v>
      </c>
      <c r="E832">
        <v>0</v>
      </c>
      <c r="F832">
        <v>3.9</v>
      </c>
      <c r="G832">
        <v>92000</v>
      </c>
      <c r="H832" t="s">
        <v>1924</v>
      </c>
      <c r="I832" t="s">
        <v>1334</v>
      </c>
      <c r="J832" t="s">
        <v>1445</v>
      </c>
      <c r="K832" t="s">
        <v>1450</v>
      </c>
      <c r="L832" t="s">
        <v>1456</v>
      </c>
      <c r="M832" t="s">
        <v>1463</v>
      </c>
      <c r="N832" t="s">
        <v>1467</v>
      </c>
    </row>
    <row r="833" spans="1:14" x14ac:dyDescent="0.25">
      <c r="A833" t="s">
        <v>845</v>
      </c>
      <c r="B833">
        <v>32</v>
      </c>
      <c r="C833">
        <v>3</v>
      </c>
      <c r="D833">
        <v>27000</v>
      </c>
      <c r="E833">
        <v>0</v>
      </c>
      <c r="F833">
        <v>1.2</v>
      </c>
      <c r="G833">
        <v>81000</v>
      </c>
      <c r="H833" t="s">
        <v>1925</v>
      </c>
      <c r="I833" t="s">
        <v>1397</v>
      </c>
      <c r="J833" t="s">
        <v>1444</v>
      </c>
      <c r="K833" t="s">
        <v>1449</v>
      </c>
      <c r="L833" t="s">
        <v>1458</v>
      </c>
      <c r="M833" t="s">
        <v>1464</v>
      </c>
      <c r="N833" t="s">
        <v>1465</v>
      </c>
    </row>
    <row r="834" spans="1:14" x14ac:dyDescent="0.25">
      <c r="A834" t="s">
        <v>846</v>
      </c>
      <c r="B834">
        <v>42</v>
      </c>
      <c r="C834">
        <v>5</v>
      </c>
      <c r="D834">
        <v>20000</v>
      </c>
      <c r="E834">
        <v>20</v>
      </c>
      <c r="F834">
        <v>4.7</v>
      </c>
      <c r="G834">
        <v>80000</v>
      </c>
      <c r="H834" t="s">
        <v>1926</v>
      </c>
      <c r="I834" t="s">
        <v>1280</v>
      </c>
      <c r="J834" t="s">
        <v>1443</v>
      </c>
      <c r="K834" t="s">
        <v>1448</v>
      </c>
      <c r="L834" t="s">
        <v>1459</v>
      </c>
      <c r="M834" t="s">
        <v>1462</v>
      </c>
      <c r="N834" t="s">
        <v>1468</v>
      </c>
    </row>
    <row r="835" spans="1:14" x14ac:dyDescent="0.25">
      <c r="A835" t="s">
        <v>847</v>
      </c>
      <c r="B835">
        <v>43</v>
      </c>
      <c r="C835">
        <v>2</v>
      </c>
      <c r="D835">
        <v>30000</v>
      </c>
      <c r="E835">
        <v>0</v>
      </c>
      <c r="F835">
        <v>2.5</v>
      </c>
      <c r="G835">
        <v>60000</v>
      </c>
      <c r="H835" t="s">
        <v>1926</v>
      </c>
      <c r="I835" t="s">
        <v>1390</v>
      </c>
      <c r="J835" t="s">
        <v>1444</v>
      </c>
      <c r="K835" t="s">
        <v>1449</v>
      </c>
      <c r="L835" t="s">
        <v>1453</v>
      </c>
      <c r="M835" t="s">
        <v>1463</v>
      </c>
      <c r="N835" t="s">
        <v>1467</v>
      </c>
    </row>
    <row r="836" spans="1:14" x14ac:dyDescent="0.25">
      <c r="A836" t="s">
        <v>848</v>
      </c>
      <c r="B836">
        <v>44</v>
      </c>
      <c r="C836">
        <v>1</v>
      </c>
      <c r="D836">
        <v>25000</v>
      </c>
      <c r="E836">
        <v>0</v>
      </c>
      <c r="F836">
        <v>4</v>
      </c>
      <c r="G836">
        <v>25000</v>
      </c>
      <c r="H836" t="s">
        <v>1927</v>
      </c>
      <c r="I836" t="s">
        <v>1404</v>
      </c>
      <c r="J836" t="s">
        <v>1442</v>
      </c>
      <c r="K836" t="s">
        <v>1447</v>
      </c>
      <c r="L836" t="s">
        <v>1452</v>
      </c>
      <c r="M836" t="s">
        <v>1462</v>
      </c>
      <c r="N836" t="s">
        <v>1468</v>
      </c>
    </row>
    <row r="837" spans="1:14" x14ac:dyDescent="0.25">
      <c r="A837" t="s">
        <v>849</v>
      </c>
      <c r="B837">
        <v>25</v>
      </c>
      <c r="C837">
        <v>3</v>
      </c>
      <c r="D837">
        <v>27000</v>
      </c>
      <c r="E837">
        <v>0</v>
      </c>
      <c r="F837">
        <v>3.1</v>
      </c>
      <c r="G837">
        <v>81000</v>
      </c>
      <c r="H837" t="s">
        <v>1927</v>
      </c>
      <c r="I837" t="s">
        <v>1367</v>
      </c>
      <c r="J837" t="s">
        <v>1443</v>
      </c>
      <c r="K837" t="s">
        <v>1448</v>
      </c>
      <c r="L837" t="s">
        <v>1458</v>
      </c>
      <c r="M837" t="s">
        <v>1464</v>
      </c>
      <c r="N837" t="s">
        <v>1468</v>
      </c>
    </row>
    <row r="838" spans="1:14" x14ac:dyDescent="0.25">
      <c r="A838" t="s">
        <v>850</v>
      </c>
      <c r="B838">
        <v>41</v>
      </c>
      <c r="C838">
        <v>4</v>
      </c>
      <c r="D838">
        <v>23000</v>
      </c>
      <c r="E838">
        <v>0</v>
      </c>
      <c r="F838">
        <v>1.7</v>
      </c>
      <c r="G838">
        <v>92000</v>
      </c>
      <c r="H838" t="s">
        <v>1927</v>
      </c>
      <c r="I838" t="s">
        <v>1244</v>
      </c>
      <c r="J838" t="s">
        <v>1445</v>
      </c>
      <c r="K838" t="s">
        <v>1450</v>
      </c>
      <c r="L838" t="s">
        <v>1456</v>
      </c>
      <c r="M838" t="s">
        <v>1463</v>
      </c>
      <c r="N838" t="s">
        <v>1468</v>
      </c>
    </row>
    <row r="839" spans="1:14" x14ac:dyDescent="0.25">
      <c r="A839" t="s">
        <v>851</v>
      </c>
      <c r="B839">
        <v>48</v>
      </c>
      <c r="C839">
        <v>1</v>
      </c>
      <c r="D839">
        <v>23000</v>
      </c>
      <c r="E839">
        <v>0</v>
      </c>
      <c r="F839">
        <v>1.9</v>
      </c>
      <c r="G839">
        <v>23000</v>
      </c>
      <c r="H839" t="s">
        <v>1927</v>
      </c>
      <c r="I839" t="s">
        <v>1362</v>
      </c>
      <c r="J839" t="s">
        <v>1441</v>
      </c>
      <c r="K839" t="s">
        <v>1446</v>
      </c>
      <c r="L839" t="s">
        <v>1456</v>
      </c>
      <c r="M839" t="s">
        <v>1463</v>
      </c>
      <c r="N839" t="s">
        <v>1468</v>
      </c>
    </row>
    <row r="840" spans="1:14" x14ac:dyDescent="0.25">
      <c r="A840" t="s">
        <v>852</v>
      </c>
      <c r="B840">
        <v>45</v>
      </c>
      <c r="C840">
        <v>1</v>
      </c>
      <c r="D840">
        <v>22000</v>
      </c>
      <c r="E840">
        <v>20</v>
      </c>
      <c r="F840">
        <v>2.9</v>
      </c>
      <c r="G840">
        <v>17600</v>
      </c>
      <c r="H840" t="s">
        <v>1927</v>
      </c>
      <c r="I840" t="s">
        <v>1270</v>
      </c>
      <c r="J840" t="s">
        <v>1443</v>
      </c>
      <c r="K840" t="s">
        <v>1448</v>
      </c>
      <c r="L840" t="s">
        <v>1454</v>
      </c>
      <c r="M840" t="s">
        <v>1462</v>
      </c>
      <c r="N840" t="s">
        <v>1466</v>
      </c>
    </row>
    <row r="841" spans="1:14" x14ac:dyDescent="0.25">
      <c r="A841" t="s">
        <v>853</v>
      </c>
      <c r="B841">
        <v>40</v>
      </c>
      <c r="C841">
        <v>2</v>
      </c>
      <c r="D841">
        <v>22000</v>
      </c>
      <c r="E841">
        <v>20</v>
      </c>
      <c r="F841">
        <v>1.5</v>
      </c>
      <c r="G841">
        <v>35200</v>
      </c>
      <c r="H841" t="s">
        <v>1928</v>
      </c>
      <c r="I841" t="s">
        <v>1395</v>
      </c>
      <c r="J841" t="s">
        <v>1443</v>
      </c>
      <c r="K841" t="s">
        <v>1448</v>
      </c>
      <c r="L841" t="s">
        <v>1454</v>
      </c>
      <c r="M841" t="s">
        <v>1462</v>
      </c>
      <c r="N841" t="s">
        <v>1466</v>
      </c>
    </row>
    <row r="842" spans="1:14" x14ac:dyDescent="0.25">
      <c r="A842" t="s">
        <v>854</v>
      </c>
      <c r="B842">
        <v>33</v>
      </c>
      <c r="C842">
        <v>3</v>
      </c>
      <c r="D842">
        <v>18000</v>
      </c>
      <c r="E842">
        <v>20</v>
      </c>
      <c r="F842">
        <v>2</v>
      </c>
      <c r="G842">
        <v>43200</v>
      </c>
      <c r="H842" t="s">
        <v>1928</v>
      </c>
      <c r="I842" t="s">
        <v>1269</v>
      </c>
      <c r="J842" t="s">
        <v>1443</v>
      </c>
      <c r="K842" t="s">
        <v>1448</v>
      </c>
      <c r="L842" t="s">
        <v>1460</v>
      </c>
      <c r="M842" t="s">
        <v>1463</v>
      </c>
      <c r="N842" t="s">
        <v>1468</v>
      </c>
    </row>
    <row r="843" spans="1:14" x14ac:dyDescent="0.25">
      <c r="A843" t="s">
        <v>855</v>
      </c>
      <c r="B843">
        <v>53</v>
      </c>
      <c r="C843">
        <v>5</v>
      </c>
      <c r="D843">
        <v>22000</v>
      </c>
      <c r="E843">
        <v>15</v>
      </c>
      <c r="F843">
        <v>2</v>
      </c>
      <c r="G843">
        <v>93500</v>
      </c>
      <c r="H843" t="s">
        <v>1928</v>
      </c>
      <c r="I843" t="s">
        <v>1245</v>
      </c>
      <c r="J843" t="s">
        <v>1445</v>
      </c>
      <c r="K843" t="s">
        <v>1450</v>
      </c>
      <c r="L843" t="s">
        <v>1454</v>
      </c>
      <c r="M843" t="s">
        <v>1462</v>
      </c>
      <c r="N843" t="s">
        <v>1466</v>
      </c>
    </row>
    <row r="844" spans="1:14" x14ac:dyDescent="0.25">
      <c r="A844" t="s">
        <v>856</v>
      </c>
      <c r="B844">
        <v>48</v>
      </c>
      <c r="C844">
        <v>5</v>
      </c>
      <c r="D844">
        <v>20000</v>
      </c>
      <c r="E844">
        <v>20</v>
      </c>
      <c r="F844">
        <v>1.9</v>
      </c>
      <c r="G844">
        <v>80000</v>
      </c>
      <c r="H844" t="s">
        <v>1928</v>
      </c>
      <c r="I844" t="s">
        <v>1430</v>
      </c>
      <c r="J844" t="s">
        <v>1443</v>
      </c>
      <c r="K844" t="s">
        <v>1448</v>
      </c>
      <c r="L844" t="s">
        <v>1459</v>
      </c>
      <c r="M844" t="s">
        <v>1462</v>
      </c>
      <c r="N844" t="s">
        <v>1467</v>
      </c>
    </row>
    <row r="845" spans="1:14" x14ac:dyDescent="0.25">
      <c r="A845" t="s">
        <v>857</v>
      </c>
      <c r="B845">
        <v>24</v>
      </c>
      <c r="C845">
        <v>4</v>
      </c>
      <c r="D845">
        <v>25000</v>
      </c>
      <c r="E845">
        <v>0</v>
      </c>
      <c r="F845">
        <v>2.2000000000000002</v>
      </c>
      <c r="G845">
        <v>100000</v>
      </c>
      <c r="H845" t="s">
        <v>1929</v>
      </c>
      <c r="I845" t="s">
        <v>1394</v>
      </c>
      <c r="J845" t="s">
        <v>1445</v>
      </c>
      <c r="K845" t="s">
        <v>1450</v>
      </c>
      <c r="L845" t="s">
        <v>1452</v>
      </c>
      <c r="M845" t="s">
        <v>1462</v>
      </c>
      <c r="N845" t="s">
        <v>1467</v>
      </c>
    </row>
    <row r="846" spans="1:14" x14ac:dyDescent="0.25">
      <c r="A846" t="s">
        <v>858</v>
      </c>
      <c r="B846">
        <v>47</v>
      </c>
      <c r="C846">
        <v>4</v>
      </c>
      <c r="D846">
        <v>22000</v>
      </c>
      <c r="E846">
        <v>0</v>
      </c>
      <c r="F846">
        <v>4.4000000000000004</v>
      </c>
      <c r="G846">
        <v>88000</v>
      </c>
      <c r="H846" t="s">
        <v>1930</v>
      </c>
      <c r="I846" t="s">
        <v>1349</v>
      </c>
      <c r="J846" t="s">
        <v>1443</v>
      </c>
      <c r="K846" t="s">
        <v>1448</v>
      </c>
      <c r="L846" t="s">
        <v>1454</v>
      </c>
      <c r="M846" t="s">
        <v>1462</v>
      </c>
      <c r="N846" t="s">
        <v>1465</v>
      </c>
    </row>
    <row r="847" spans="1:14" x14ac:dyDescent="0.25">
      <c r="A847" t="s">
        <v>859</v>
      </c>
      <c r="B847">
        <v>25</v>
      </c>
      <c r="C847">
        <v>2</v>
      </c>
      <c r="D847">
        <v>20000</v>
      </c>
      <c r="E847">
        <v>15</v>
      </c>
      <c r="F847">
        <v>4.8</v>
      </c>
      <c r="G847">
        <v>34000</v>
      </c>
      <c r="H847" t="s">
        <v>1931</v>
      </c>
      <c r="I847" t="s">
        <v>1411</v>
      </c>
      <c r="J847" t="s">
        <v>1444</v>
      </c>
      <c r="K847" t="s">
        <v>1449</v>
      </c>
      <c r="L847" t="s">
        <v>1459</v>
      </c>
      <c r="M847" t="s">
        <v>1462</v>
      </c>
      <c r="N847" t="s">
        <v>1465</v>
      </c>
    </row>
    <row r="848" spans="1:14" x14ac:dyDescent="0.25">
      <c r="A848" t="s">
        <v>860</v>
      </c>
      <c r="B848">
        <v>51</v>
      </c>
      <c r="C848">
        <v>3</v>
      </c>
      <c r="D848">
        <v>23000</v>
      </c>
      <c r="E848">
        <v>20</v>
      </c>
      <c r="F848">
        <v>1.8</v>
      </c>
      <c r="G848">
        <v>55200</v>
      </c>
      <c r="H848" t="s">
        <v>1932</v>
      </c>
      <c r="I848" t="s">
        <v>1277</v>
      </c>
      <c r="J848" t="s">
        <v>1443</v>
      </c>
      <c r="K848" t="s">
        <v>1448</v>
      </c>
      <c r="L848" t="s">
        <v>1456</v>
      </c>
      <c r="M848" t="s">
        <v>1463</v>
      </c>
      <c r="N848" t="s">
        <v>1465</v>
      </c>
    </row>
    <row r="849" spans="1:14" x14ac:dyDescent="0.25">
      <c r="A849" t="s">
        <v>861</v>
      </c>
      <c r="B849">
        <v>47</v>
      </c>
      <c r="C849">
        <v>5</v>
      </c>
      <c r="D849">
        <v>25000</v>
      </c>
      <c r="E849">
        <v>20</v>
      </c>
      <c r="F849">
        <v>2.8</v>
      </c>
      <c r="G849">
        <v>100000</v>
      </c>
      <c r="H849" t="s">
        <v>1932</v>
      </c>
      <c r="I849" t="s">
        <v>1349</v>
      </c>
      <c r="J849" t="s">
        <v>1441</v>
      </c>
      <c r="K849" t="s">
        <v>1446</v>
      </c>
      <c r="L849" t="s">
        <v>1452</v>
      </c>
      <c r="M849" t="s">
        <v>1462</v>
      </c>
      <c r="N849" t="s">
        <v>1467</v>
      </c>
    </row>
    <row r="850" spans="1:14" x14ac:dyDescent="0.25">
      <c r="A850" t="s">
        <v>862</v>
      </c>
      <c r="B850">
        <v>25</v>
      </c>
      <c r="C850">
        <v>5</v>
      </c>
      <c r="D850">
        <v>18000</v>
      </c>
      <c r="E850">
        <v>15</v>
      </c>
      <c r="F850">
        <v>2.2000000000000002</v>
      </c>
      <c r="G850">
        <v>76500</v>
      </c>
      <c r="H850" t="s">
        <v>1932</v>
      </c>
      <c r="I850" t="s">
        <v>1411</v>
      </c>
      <c r="J850" t="s">
        <v>1444</v>
      </c>
      <c r="K850" t="s">
        <v>1449</v>
      </c>
      <c r="L850" t="s">
        <v>1461</v>
      </c>
      <c r="M850" t="s">
        <v>1462</v>
      </c>
      <c r="N850" t="s">
        <v>1467</v>
      </c>
    </row>
    <row r="851" spans="1:14" x14ac:dyDescent="0.25">
      <c r="A851" t="s">
        <v>863</v>
      </c>
      <c r="B851">
        <v>25</v>
      </c>
      <c r="C851">
        <v>3</v>
      </c>
      <c r="D851">
        <v>18000</v>
      </c>
      <c r="E851">
        <v>20</v>
      </c>
      <c r="F851">
        <v>1.2</v>
      </c>
      <c r="G851">
        <v>43200</v>
      </c>
      <c r="H851" t="s">
        <v>1932</v>
      </c>
      <c r="I851" t="s">
        <v>1261</v>
      </c>
      <c r="J851" t="s">
        <v>1443</v>
      </c>
      <c r="K851" t="s">
        <v>1448</v>
      </c>
      <c r="L851" t="s">
        <v>1460</v>
      </c>
      <c r="M851" t="s">
        <v>1463</v>
      </c>
      <c r="N851" t="s">
        <v>1466</v>
      </c>
    </row>
    <row r="852" spans="1:14" x14ac:dyDescent="0.25">
      <c r="A852" t="s">
        <v>864</v>
      </c>
      <c r="B852">
        <v>27</v>
      </c>
      <c r="C852">
        <v>4</v>
      </c>
      <c r="D852">
        <v>22000</v>
      </c>
      <c r="E852">
        <v>0</v>
      </c>
      <c r="F852">
        <v>2</v>
      </c>
      <c r="G852">
        <v>88000</v>
      </c>
      <c r="H852" t="s">
        <v>1933</v>
      </c>
      <c r="I852" t="s">
        <v>1384</v>
      </c>
      <c r="J852" t="s">
        <v>1443</v>
      </c>
      <c r="K852" t="s">
        <v>1448</v>
      </c>
      <c r="L852" t="s">
        <v>1454</v>
      </c>
      <c r="M852" t="s">
        <v>1462</v>
      </c>
      <c r="N852" t="s">
        <v>1467</v>
      </c>
    </row>
    <row r="853" spans="1:14" x14ac:dyDescent="0.25">
      <c r="A853" t="s">
        <v>865</v>
      </c>
      <c r="B853">
        <v>52</v>
      </c>
      <c r="C853">
        <v>2</v>
      </c>
      <c r="D853">
        <v>32000</v>
      </c>
      <c r="E853">
        <v>20</v>
      </c>
      <c r="F853">
        <v>2.6</v>
      </c>
      <c r="G853">
        <v>51200</v>
      </c>
      <c r="H853" t="s">
        <v>1933</v>
      </c>
      <c r="I853" t="s">
        <v>1365</v>
      </c>
      <c r="J853" t="s">
        <v>1445</v>
      </c>
      <c r="K853" t="s">
        <v>1450</v>
      </c>
      <c r="L853" t="s">
        <v>1457</v>
      </c>
      <c r="M853" t="s">
        <v>1463</v>
      </c>
      <c r="N853" t="s">
        <v>1465</v>
      </c>
    </row>
    <row r="854" spans="1:14" x14ac:dyDescent="0.25">
      <c r="A854" t="s">
        <v>866</v>
      </c>
      <c r="B854">
        <v>18</v>
      </c>
      <c r="C854">
        <v>3</v>
      </c>
      <c r="D854">
        <v>27000</v>
      </c>
      <c r="E854">
        <v>0</v>
      </c>
      <c r="F854">
        <v>2.1</v>
      </c>
      <c r="G854">
        <v>81000</v>
      </c>
      <c r="H854" t="s">
        <v>1933</v>
      </c>
      <c r="I854" t="s">
        <v>1291</v>
      </c>
      <c r="J854" t="s">
        <v>1444</v>
      </c>
      <c r="K854" t="s">
        <v>1449</v>
      </c>
      <c r="L854" t="s">
        <v>1458</v>
      </c>
      <c r="M854" t="s">
        <v>1464</v>
      </c>
      <c r="N854" t="s">
        <v>1465</v>
      </c>
    </row>
    <row r="855" spans="1:14" x14ac:dyDescent="0.25">
      <c r="A855" t="s">
        <v>867</v>
      </c>
      <c r="B855">
        <v>22</v>
      </c>
      <c r="C855">
        <v>4</v>
      </c>
      <c r="D855">
        <v>20000</v>
      </c>
      <c r="E855">
        <v>0</v>
      </c>
      <c r="F855">
        <v>3.4</v>
      </c>
      <c r="G855">
        <v>80000</v>
      </c>
      <c r="H855" t="s">
        <v>1934</v>
      </c>
      <c r="I855" t="s">
        <v>1325</v>
      </c>
      <c r="J855" t="s">
        <v>1444</v>
      </c>
      <c r="K855" t="s">
        <v>1449</v>
      </c>
      <c r="L855" t="s">
        <v>1459</v>
      </c>
      <c r="M855" t="s">
        <v>1462</v>
      </c>
      <c r="N855" t="s">
        <v>1468</v>
      </c>
    </row>
    <row r="856" spans="1:14" x14ac:dyDescent="0.25">
      <c r="A856" t="s">
        <v>868</v>
      </c>
      <c r="B856">
        <v>47</v>
      </c>
      <c r="C856">
        <v>5</v>
      </c>
      <c r="D856">
        <v>32000</v>
      </c>
      <c r="E856">
        <v>0</v>
      </c>
      <c r="F856">
        <v>4.4000000000000004</v>
      </c>
      <c r="G856">
        <v>160000</v>
      </c>
      <c r="H856" t="s">
        <v>1934</v>
      </c>
      <c r="I856" t="s">
        <v>1349</v>
      </c>
      <c r="J856" t="s">
        <v>1445</v>
      </c>
      <c r="K856" t="s">
        <v>1450</v>
      </c>
      <c r="L856" t="s">
        <v>1457</v>
      </c>
      <c r="M856" t="s">
        <v>1463</v>
      </c>
      <c r="N856" t="s">
        <v>1466</v>
      </c>
    </row>
    <row r="857" spans="1:14" x14ac:dyDescent="0.25">
      <c r="A857" t="s">
        <v>869</v>
      </c>
      <c r="B857">
        <v>48</v>
      </c>
      <c r="C857">
        <v>1</v>
      </c>
      <c r="D857">
        <v>27000</v>
      </c>
      <c r="E857">
        <v>20</v>
      </c>
      <c r="F857">
        <v>3</v>
      </c>
      <c r="G857">
        <v>21600</v>
      </c>
      <c r="H857" t="s">
        <v>1935</v>
      </c>
      <c r="I857" t="s">
        <v>1266</v>
      </c>
      <c r="J857" t="s">
        <v>1441</v>
      </c>
      <c r="K857" t="s">
        <v>1446</v>
      </c>
      <c r="L857" t="s">
        <v>1458</v>
      </c>
      <c r="M857" t="s">
        <v>1464</v>
      </c>
      <c r="N857" t="s">
        <v>1468</v>
      </c>
    </row>
    <row r="858" spans="1:14" x14ac:dyDescent="0.25">
      <c r="A858" t="s">
        <v>870</v>
      </c>
      <c r="B858">
        <v>53</v>
      </c>
      <c r="C858">
        <v>5</v>
      </c>
      <c r="D858">
        <v>23000</v>
      </c>
      <c r="E858">
        <v>0</v>
      </c>
      <c r="F858">
        <v>2.5</v>
      </c>
      <c r="G858">
        <v>115000</v>
      </c>
      <c r="H858" t="s">
        <v>1935</v>
      </c>
      <c r="I858" t="s">
        <v>1245</v>
      </c>
      <c r="J858" t="s">
        <v>1441</v>
      </c>
      <c r="K858" t="s">
        <v>1446</v>
      </c>
      <c r="L858" t="s">
        <v>1456</v>
      </c>
      <c r="M858" t="s">
        <v>1463</v>
      </c>
      <c r="N858" t="s">
        <v>1465</v>
      </c>
    </row>
    <row r="859" spans="1:14" x14ac:dyDescent="0.25">
      <c r="A859" t="s">
        <v>871</v>
      </c>
      <c r="B859">
        <v>53</v>
      </c>
      <c r="C859">
        <v>5</v>
      </c>
      <c r="D859">
        <v>20000</v>
      </c>
      <c r="E859">
        <v>20</v>
      </c>
      <c r="F859">
        <v>4.5999999999999996</v>
      </c>
      <c r="G859">
        <v>80000</v>
      </c>
      <c r="H859" t="s">
        <v>1936</v>
      </c>
      <c r="I859" t="s">
        <v>1257</v>
      </c>
      <c r="J859" t="s">
        <v>1445</v>
      </c>
      <c r="K859" t="s">
        <v>1450</v>
      </c>
      <c r="L859" t="s">
        <v>1459</v>
      </c>
      <c r="M859" t="s">
        <v>1462</v>
      </c>
      <c r="N859" t="s">
        <v>1466</v>
      </c>
    </row>
    <row r="860" spans="1:14" x14ac:dyDescent="0.25">
      <c r="A860" t="s">
        <v>872</v>
      </c>
      <c r="B860">
        <v>53</v>
      </c>
      <c r="C860">
        <v>1</v>
      </c>
      <c r="D860">
        <v>20000</v>
      </c>
      <c r="E860">
        <v>5</v>
      </c>
      <c r="F860">
        <v>3.3</v>
      </c>
      <c r="G860">
        <v>19000</v>
      </c>
      <c r="H860" t="s">
        <v>1937</v>
      </c>
      <c r="I860" t="s">
        <v>1276</v>
      </c>
      <c r="J860" t="s">
        <v>1444</v>
      </c>
      <c r="K860" t="s">
        <v>1449</v>
      </c>
      <c r="L860" t="s">
        <v>1459</v>
      </c>
      <c r="M860" t="s">
        <v>1462</v>
      </c>
      <c r="N860" t="s">
        <v>1467</v>
      </c>
    </row>
    <row r="861" spans="1:14" x14ac:dyDescent="0.25">
      <c r="A861" t="s">
        <v>873</v>
      </c>
      <c r="B861">
        <v>24</v>
      </c>
      <c r="C861">
        <v>1</v>
      </c>
      <c r="D861">
        <v>27000</v>
      </c>
      <c r="E861">
        <v>5</v>
      </c>
      <c r="F861">
        <v>3</v>
      </c>
      <c r="G861">
        <v>25650</v>
      </c>
      <c r="H861" t="s">
        <v>1938</v>
      </c>
      <c r="I861" t="s">
        <v>1412</v>
      </c>
      <c r="J861" t="s">
        <v>1444</v>
      </c>
      <c r="K861" t="s">
        <v>1449</v>
      </c>
      <c r="L861" t="s">
        <v>1458</v>
      </c>
      <c r="M861" t="s">
        <v>1464</v>
      </c>
      <c r="N861" t="s">
        <v>1465</v>
      </c>
    </row>
    <row r="862" spans="1:14" x14ac:dyDescent="0.25">
      <c r="A862" t="s">
        <v>874</v>
      </c>
      <c r="B862">
        <v>38</v>
      </c>
      <c r="C862">
        <v>5</v>
      </c>
      <c r="D862">
        <v>23000</v>
      </c>
      <c r="E862">
        <v>0</v>
      </c>
      <c r="F862">
        <v>4.9000000000000004</v>
      </c>
      <c r="G862">
        <v>115000</v>
      </c>
      <c r="H862" t="s">
        <v>1939</v>
      </c>
      <c r="I862" t="s">
        <v>1299</v>
      </c>
      <c r="J862" t="s">
        <v>1441</v>
      </c>
      <c r="K862" t="s">
        <v>1446</v>
      </c>
      <c r="L862" t="s">
        <v>1456</v>
      </c>
      <c r="M862" t="s">
        <v>1463</v>
      </c>
      <c r="N862" t="s">
        <v>1465</v>
      </c>
    </row>
    <row r="863" spans="1:14" x14ac:dyDescent="0.25">
      <c r="A863" t="s">
        <v>875</v>
      </c>
      <c r="B863">
        <v>33</v>
      </c>
      <c r="C863">
        <v>3</v>
      </c>
      <c r="D863">
        <v>22000</v>
      </c>
      <c r="E863">
        <v>15</v>
      </c>
      <c r="F863">
        <v>2.6</v>
      </c>
      <c r="G863">
        <v>56100</v>
      </c>
      <c r="H863" t="s">
        <v>1940</v>
      </c>
      <c r="I863" t="s">
        <v>1264</v>
      </c>
      <c r="J863" t="s">
        <v>1444</v>
      </c>
      <c r="K863" t="s">
        <v>1449</v>
      </c>
      <c r="L863" t="s">
        <v>1454</v>
      </c>
      <c r="M863" t="s">
        <v>1462</v>
      </c>
      <c r="N863" t="s">
        <v>1466</v>
      </c>
    </row>
    <row r="864" spans="1:14" x14ac:dyDescent="0.25">
      <c r="A864" t="s">
        <v>876</v>
      </c>
      <c r="B864">
        <v>48</v>
      </c>
      <c r="C864">
        <v>3</v>
      </c>
      <c r="D864">
        <v>20000</v>
      </c>
      <c r="E864">
        <v>10</v>
      </c>
      <c r="F864">
        <v>3.8</v>
      </c>
      <c r="G864">
        <v>54000</v>
      </c>
      <c r="H864" t="s">
        <v>1940</v>
      </c>
      <c r="I864" t="s">
        <v>1307</v>
      </c>
      <c r="J864" t="s">
        <v>1445</v>
      </c>
      <c r="K864" t="s">
        <v>1450</v>
      </c>
      <c r="L864" t="s">
        <v>1459</v>
      </c>
      <c r="M864" t="s">
        <v>1462</v>
      </c>
      <c r="N864" t="s">
        <v>1467</v>
      </c>
    </row>
    <row r="865" spans="1:14" x14ac:dyDescent="0.25">
      <c r="A865" t="s">
        <v>877</v>
      </c>
      <c r="B865">
        <v>44</v>
      </c>
      <c r="C865">
        <v>4</v>
      </c>
      <c r="D865">
        <v>27000</v>
      </c>
      <c r="E865">
        <v>10</v>
      </c>
      <c r="F865">
        <v>3.5</v>
      </c>
      <c r="G865">
        <v>97200</v>
      </c>
      <c r="H865" t="s">
        <v>1940</v>
      </c>
      <c r="I865" t="s">
        <v>1260</v>
      </c>
      <c r="J865" t="s">
        <v>1442</v>
      </c>
      <c r="K865" t="s">
        <v>1447</v>
      </c>
      <c r="L865" t="s">
        <v>1458</v>
      </c>
      <c r="M865" t="s">
        <v>1464</v>
      </c>
      <c r="N865" t="s">
        <v>1468</v>
      </c>
    </row>
    <row r="866" spans="1:14" x14ac:dyDescent="0.25">
      <c r="A866" t="s">
        <v>878</v>
      </c>
      <c r="B866">
        <v>40</v>
      </c>
      <c r="C866">
        <v>5</v>
      </c>
      <c r="D866">
        <v>28000</v>
      </c>
      <c r="E866">
        <v>20</v>
      </c>
      <c r="F866">
        <v>3</v>
      </c>
      <c r="G866">
        <v>112000</v>
      </c>
      <c r="H866" t="s">
        <v>1940</v>
      </c>
      <c r="I866" t="s">
        <v>1395</v>
      </c>
      <c r="J866" t="s">
        <v>1442</v>
      </c>
      <c r="K866" t="s">
        <v>1447</v>
      </c>
      <c r="L866" t="s">
        <v>1455</v>
      </c>
      <c r="M866" t="s">
        <v>1464</v>
      </c>
      <c r="N866" t="s">
        <v>1467</v>
      </c>
    </row>
    <row r="867" spans="1:14" x14ac:dyDescent="0.25">
      <c r="A867" t="s">
        <v>879</v>
      </c>
      <c r="B867">
        <v>22</v>
      </c>
      <c r="C867">
        <v>5</v>
      </c>
      <c r="D867">
        <v>18000</v>
      </c>
      <c r="E867">
        <v>0</v>
      </c>
      <c r="F867">
        <v>1.3</v>
      </c>
      <c r="G867">
        <v>90000</v>
      </c>
      <c r="H867" t="s">
        <v>1941</v>
      </c>
      <c r="I867" t="s">
        <v>1325</v>
      </c>
      <c r="J867" t="s">
        <v>1442</v>
      </c>
      <c r="K867" t="s">
        <v>1447</v>
      </c>
      <c r="L867" t="s">
        <v>1460</v>
      </c>
      <c r="M867" t="s">
        <v>1463</v>
      </c>
      <c r="N867" t="s">
        <v>1466</v>
      </c>
    </row>
    <row r="868" spans="1:14" x14ac:dyDescent="0.25">
      <c r="A868" t="s">
        <v>880</v>
      </c>
      <c r="B868">
        <v>24</v>
      </c>
      <c r="C868">
        <v>2</v>
      </c>
      <c r="D868">
        <v>27000</v>
      </c>
      <c r="E868">
        <v>10</v>
      </c>
      <c r="F868">
        <v>1.6</v>
      </c>
      <c r="G868">
        <v>48600</v>
      </c>
      <c r="H868" t="s">
        <v>1942</v>
      </c>
      <c r="I868" t="s">
        <v>1313</v>
      </c>
      <c r="J868" t="s">
        <v>1445</v>
      </c>
      <c r="K868" t="s">
        <v>1450</v>
      </c>
      <c r="L868" t="s">
        <v>1458</v>
      </c>
      <c r="M868" t="s">
        <v>1464</v>
      </c>
      <c r="N868" t="s">
        <v>1468</v>
      </c>
    </row>
    <row r="869" spans="1:14" x14ac:dyDescent="0.25">
      <c r="A869" t="s">
        <v>881</v>
      </c>
      <c r="B869">
        <v>18</v>
      </c>
      <c r="C869">
        <v>4</v>
      </c>
      <c r="D869">
        <v>27000</v>
      </c>
      <c r="E869">
        <v>10</v>
      </c>
      <c r="F869">
        <v>2.8</v>
      </c>
      <c r="G869">
        <v>97200</v>
      </c>
      <c r="H869" t="s">
        <v>1943</v>
      </c>
      <c r="I869" t="s">
        <v>1291</v>
      </c>
      <c r="J869" t="s">
        <v>1444</v>
      </c>
      <c r="K869" t="s">
        <v>1449</v>
      </c>
      <c r="L869" t="s">
        <v>1458</v>
      </c>
      <c r="M869" t="s">
        <v>1464</v>
      </c>
      <c r="N869" t="s">
        <v>1465</v>
      </c>
    </row>
    <row r="870" spans="1:14" x14ac:dyDescent="0.25">
      <c r="A870" t="s">
        <v>882</v>
      </c>
      <c r="B870">
        <v>42</v>
      </c>
      <c r="C870">
        <v>1</v>
      </c>
      <c r="D870">
        <v>27000</v>
      </c>
      <c r="E870">
        <v>20</v>
      </c>
      <c r="F870">
        <v>1.2</v>
      </c>
      <c r="G870">
        <v>21600</v>
      </c>
      <c r="H870" t="s">
        <v>1944</v>
      </c>
      <c r="I870" t="s">
        <v>1280</v>
      </c>
      <c r="J870" t="s">
        <v>1442</v>
      </c>
      <c r="K870" t="s">
        <v>1447</v>
      </c>
      <c r="L870" t="s">
        <v>1458</v>
      </c>
      <c r="M870" t="s">
        <v>1464</v>
      </c>
      <c r="N870" t="s">
        <v>1468</v>
      </c>
    </row>
    <row r="871" spans="1:14" x14ac:dyDescent="0.25">
      <c r="A871" t="s">
        <v>883</v>
      </c>
      <c r="B871">
        <v>22</v>
      </c>
      <c r="C871">
        <v>5</v>
      </c>
      <c r="D871">
        <v>22000</v>
      </c>
      <c r="E871">
        <v>10</v>
      </c>
      <c r="F871">
        <v>2.8</v>
      </c>
      <c r="G871">
        <v>99000</v>
      </c>
      <c r="H871" t="s">
        <v>1944</v>
      </c>
      <c r="I871" t="s">
        <v>1258</v>
      </c>
      <c r="J871" t="s">
        <v>1444</v>
      </c>
      <c r="K871" t="s">
        <v>1449</v>
      </c>
      <c r="L871" t="s">
        <v>1454</v>
      </c>
      <c r="M871" t="s">
        <v>1462</v>
      </c>
      <c r="N871" t="s">
        <v>1467</v>
      </c>
    </row>
    <row r="872" spans="1:14" x14ac:dyDescent="0.25">
      <c r="A872" t="s">
        <v>884</v>
      </c>
      <c r="B872">
        <v>45</v>
      </c>
      <c r="C872">
        <v>2</v>
      </c>
      <c r="D872">
        <v>18000</v>
      </c>
      <c r="E872">
        <v>0</v>
      </c>
      <c r="F872">
        <v>4.3</v>
      </c>
      <c r="G872">
        <v>36000</v>
      </c>
      <c r="H872" t="s">
        <v>1945</v>
      </c>
      <c r="I872" t="s">
        <v>1270</v>
      </c>
      <c r="J872" t="s">
        <v>1444</v>
      </c>
      <c r="K872" t="s">
        <v>1449</v>
      </c>
      <c r="L872" t="s">
        <v>1460</v>
      </c>
      <c r="M872" t="s">
        <v>1463</v>
      </c>
      <c r="N872" t="s">
        <v>1468</v>
      </c>
    </row>
    <row r="873" spans="1:14" x14ac:dyDescent="0.25">
      <c r="A873" t="s">
        <v>885</v>
      </c>
      <c r="B873">
        <v>30</v>
      </c>
      <c r="C873">
        <v>2</v>
      </c>
      <c r="D873">
        <v>27000</v>
      </c>
      <c r="E873">
        <v>15</v>
      </c>
      <c r="F873">
        <v>4.2</v>
      </c>
      <c r="G873">
        <v>45900</v>
      </c>
      <c r="H873" t="s">
        <v>1945</v>
      </c>
      <c r="I873" t="s">
        <v>1357</v>
      </c>
      <c r="J873" t="s">
        <v>1443</v>
      </c>
      <c r="K873" t="s">
        <v>1448</v>
      </c>
      <c r="L873" t="s">
        <v>1458</v>
      </c>
      <c r="M873" t="s">
        <v>1464</v>
      </c>
      <c r="N873" t="s">
        <v>1466</v>
      </c>
    </row>
    <row r="874" spans="1:14" x14ac:dyDescent="0.25">
      <c r="A874" t="s">
        <v>886</v>
      </c>
      <c r="B874">
        <v>32</v>
      </c>
      <c r="C874">
        <v>5</v>
      </c>
      <c r="D874">
        <v>22000</v>
      </c>
      <c r="E874">
        <v>15</v>
      </c>
      <c r="F874">
        <v>1.1000000000000001</v>
      </c>
      <c r="G874">
        <v>93500</v>
      </c>
      <c r="H874" t="s">
        <v>1946</v>
      </c>
      <c r="I874" t="s">
        <v>1434</v>
      </c>
      <c r="J874" t="s">
        <v>1444</v>
      </c>
      <c r="K874" t="s">
        <v>1449</v>
      </c>
      <c r="L874" t="s">
        <v>1454</v>
      </c>
      <c r="M874" t="s">
        <v>1462</v>
      </c>
      <c r="N874" t="s">
        <v>1467</v>
      </c>
    </row>
    <row r="875" spans="1:14" x14ac:dyDescent="0.25">
      <c r="A875" t="s">
        <v>887</v>
      </c>
      <c r="B875">
        <v>31</v>
      </c>
      <c r="C875">
        <v>4</v>
      </c>
      <c r="D875">
        <v>32000</v>
      </c>
      <c r="E875">
        <v>0</v>
      </c>
      <c r="F875">
        <v>2.2000000000000002</v>
      </c>
      <c r="G875">
        <v>128000</v>
      </c>
      <c r="H875" t="s">
        <v>1946</v>
      </c>
      <c r="I875" t="s">
        <v>1360</v>
      </c>
      <c r="J875" t="s">
        <v>1442</v>
      </c>
      <c r="K875" t="s">
        <v>1447</v>
      </c>
      <c r="L875" t="s">
        <v>1457</v>
      </c>
      <c r="M875" t="s">
        <v>1463</v>
      </c>
      <c r="N875" t="s">
        <v>1468</v>
      </c>
    </row>
    <row r="876" spans="1:14" x14ac:dyDescent="0.25">
      <c r="A876" t="s">
        <v>888</v>
      </c>
      <c r="B876">
        <v>44</v>
      </c>
      <c r="C876">
        <v>3</v>
      </c>
      <c r="D876">
        <v>30000</v>
      </c>
      <c r="E876">
        <v>20</v>
      </c>
      <c r="F876">
        <v>4.2</v>
      </c>
      <c r="G876">
        <v>72000</v>
      </c>
      <c r="H876" t="s">
        <v>1946</v>
      </c>
      <c r="I876" t="s">
        <v>1260</v>
      </c>
      <c r="J876" t="s">
        <v>1444</v>
      </c>
      <c r="K876" t="s">
        <v>1449</v>
      </c>
      <c r="L876" t="s">
        <v>1453</v>
      </c>
      <c r="M876" t="s">
        <v>1463</v>
      </c>
      <c r="N876" t="s">
        <v>1466</v>
      </c>
    </row>
    <row r="877" spans="1:14" x14ac:dyDescent="0.25">
      <c r="A877" t="s">
        <v>889</v>
      </c>
      <c r="B877">
        <v>31</v>
      </c>
      <c r="C877">
        <v>5</v>
      </c>
      <c r="D877">
        <v>30000</v>
      </c>
      <c r="E877">
        <v>0</v>
      </c>
      <c r="F877">
        <v>3.5</v>
      </c>
      <c r="G877">
        <v>150000</v>
      </c>
      <c r="H877" t="s">
        <v>1947</v>
      </c>
      <c r="I877" t="s">
        <v>1438</v>
      </c>
      <c r="J877" t="s">
        <v>1443</v>
      </c>
      <c r="K877" t="s">
        <v>1448</v>
      </c>
      <c r="L877" t="s">
        <v>1453</v>
      </c>
      <c r="M877" t="s">
        <v>1463</v>
      </c>
      <c r="N877" t="s">
        <v>1467</v>
      </c>
    </row>
    <row r="878" spans="1:14" x14ac:dyDescent="0.25">
      <c r="A878" t="s">
        <v>890</v>
      </c>
      <c r="B878">
        <v>47</v>
      </c>
      <c r="C878">
        <v>3</v>
      </c>
      <c r="D878">
        <v>22000</v>
      </c>
      <c r="E878">
        <v>0</v>
      </c>
      <c r="F878">
        <v>2.5</v>
      </c>
      <c r="G878">
        <v>66000</v>
      </c>
      <c r="H878" t="s">
        <v>1947</v>
      </c>
      <c r="I878" t="s">
        <v>1349</v>
      </c>
      <c r="J878" t="s">
        <v>1445</v>
      </c>
      <c r="K878" t="s">
        <v>1450</v>
      </c>
      <c r="L878" t="s">
        <v>1454</v>
      </c>
      <c r="M878" t="s">
        <v>1462</v>
      </c>
      <c r="N878" t="s">
        <v>1466</v>
      </c>
    </row>
    <row r="879" spans="1:14" x14ac:dyDescent="0.25">
      <c r="A879" t="s">
        <v>891</v>
      </c>
      <c r="B879">
        <v>51</v>
      </c>
      <c r="C879">
        <v>3</v>
      </c>
      <c r="D879">
        <v>27000</v>
      </c>
      <c r="E879">
        <v>10</v>
      </c>
      <c r="F879">
        <v>3.2</v>
      </c>
      <c r="G879">
        <v>72900</v>
      </c>
      <c r="H879" t="s">
        <v>1948</v>
      </c>
      <c r="I879" t="s">
        <v>1254</v>
      </c>
      <c r="J879" t="s">
        <v>1444</v>
      </c>
      <c r="K879" t="s">
        <v>1449</v>
      </c>
      <c r="L879" t="s">
        <v>1458</v>
      </c>
      <c r="M879" t="s">
        <v>1464</v>
      </c>
      <c r="N879" t="s">
        <v>1466</v>
      </c>
    </row>
    <row r="880" spans="1:14" x14ac:dyDescent="0.25">
      <c r="A880" t="s">
        <v>892</v>
      </c>
      <c r="B880">
        <v>40</v>
      </c>
      <c r="C880">
        <v>3</v>
      </c>
      <c r="D880">
        <v>32000</v>
      </c>
      <c r="E880">
        <v>15</v>
      </c>
      <c r="F880">
        <v>1.9</v>
      </c>
      <c r="G880">
        <v>81600</v>
      </c>
      <c r="H880" t="s">
        <v>1949</v>
      </c>
      <c r="I880" t="s">
        <v>1326</v>
      </c>
      <c r="J880" t="s">
        <v>1445</v>
      </c>
      <c r="K880" t="s">
        <v>1450</v>
      </c>
      <c r="L880" t="s">
        <v>1457</v>
      </c>
      <c r="M880" t="s">
        <v>1463</v>
      </c>
      <c r="N880" t="s">
        <v>1467</v>
      </c>
    </row>
    <row r="881" spans="1:14" x14ac:dyDescent="0.25">
      <c r="A881" t="s">
        <v>893</v>
      </c>
      <c r="B881">
        <v>44</v>
      </c>
      <c r="C881">
        <v>2</v>
      </c>
      <c r="D881">
        <v>18000</v>
      </c>
      <c r="E881">
        <v>15</v>
      </c>
      <c r="F881">
        <v>3</v>
      </c>
      <c r="G881">
        <v>30600</v>
      </c>
      <c r="H881" t="s">
        <v>1950</v>
      </c>
      <c r="I881" t="s">
        <v>1404</v>
      </c>
      <c r="J881" t="s">
        <v>1441</v>
      </c>
      <c r="K881" t="s">
        <v>1446</v>
      </c>
      <c r="L881" t="s">
        <v>1461</v>
      </c>
      <c r="M881" t="s">
        <v>1462</v>
      </c>
      <c r="N881" t="s">
        <v>1468</v>
      </c>
    </row>
    <row r="882" spans="1:14" x14ac:dyDescent="0.25">
      <c r="A882" t="s">
        <v>894</v>
      </c>
      <c r="B882">
        <v>53</v>
      </c>
      <c r="C882">
        <v>4</v>
      </c>
      <c r="D882">
        <v>20000</v>
      </c>
      <c r="E882">
        <v>0</v>
      </c>
      <c r="F882">
        <v>3.3</v>
      </c>
      <c r="G882">
        <v>80000</v>
      </c>
      <c r="H882" t="s">
        <v>1951</v>
      </c>
      <c r="I882" t="s">
        <v>1245</v>
      </c>
      <c r="J882" t="s">
        <v>1442</v>
      </c>
      <c r="K882" t="s">
        <v>1447</v>
      </c>
      <c r="L882" t="s">
        <v>1459</v>
      </c>
      <c r="M882" t="s">
        <v>1462</v>
      </c>
      <c r="N882" t="s">
        <v>1467</v>
      </c>
    </row>
    <row r="883" spans="1:14" x14ac:dyDescent="0.25">
      <c r="A883" t="s">
        <v>895</v>
      </c>
      <c r="B883">
        <v>33</v>
      </c>
      <c r="C883">
        <v>3</v>
      </c>
      <c r="D883">
        <v>30000</v>
      </c>
      <c r="E883">
        <v>20</v>
      </c>
      <c r="F883">
        <v>5</v>
      </c>
      <c r="G883">
        <v>72000</v>
      </c>
      <c r="H883" t="s">
        <v>1951</v>
      </c>
      <c r="I883" t="s">
        <v>1285</v>
      </c>
      <c r="J883" t="s">
        <v>1444</v>
      </c>
      <c r="K883" t="s">
        <v>1449</v>
      </c>
      <c r="L883" t="s">
        <v>1453</v>
      </c>
      <c r="M883" t="s">
        <v>1463</v>
      </c>
      <c r="N883" t="s">
        <v>1466</v>
      </c>
    </row>
    <row r="884" spans="1:14" x14ac:dyDescent="0.25">
      <c r="A884" t="s">
        <v>896</v>
      </c>
      <c r="B884">
        <v>19</v>
      </c>
      <c r="C884">
        <v>2</v>
      </c>
      <c r="D884">
        <v>20000</v>
      </c>
      <c r="E884">
        <v>0</v>
      </c>
      <c r="F884">
        <v>4.9000000000000004</v>
      </c>
      <c r="G884">
        <v>40000</v>
      </c>
      <c r="H884" t="s">
        <v>1951</v>
      </c>
      <c r="I884" t="s">
        <v>1317</v>
      </c>
      <c r="J884" t="s">
        <v>1441</v>
      </c>
      <c r="K884" t="s">
        <v>1446</v>
      </c>
      <c r="L884" t="s">
        <v>1459</v>
      </c>
      <c r="M884" t="s">
        <v>1462</v>
      </c>
      <c r="N884" t="s">
        <v>1465</v>
      </c>
    </row>
    <row r="885" spans="1:14" x14ac:dyDescent="0.25">
      <c r="A885" t="s">
        <v>897</v>
      </c>
      <c r="B885">
        <v>53</v>
      </c>
      <c r="C885">
        <v>3</v>
      </c>
      <c r="D885">
        <v>20000</v>
      </c>
      <c r="E885">
        <v>5</v>
      </c>
      <c r="F885">
        <v>1.1000000000000001</v>
      </c>
      <c r="G885">
        <v>57000</v>
      </c>
      <c r="H885" t="s">
        <v>1952</v>
      </c>
      <c r="I885" t="s">
        <v>1315</v>
      </c>
      <c r="J885" t="s">
        <v>1441</v>
      </c>
      <c r="K885" t="s">
        <v>1446</v>
      </c>
      <c r="L885" t="s">
        <v>1459</v>
      </c>
      <c r="M885" t="s">
        <v>1462</v>
      </c>
      <c r="N885" t="s">
        <v>1466</v>
      </c>
    </row>
    <row r="886" spans="1:14" x14ac:dyDescent="0.25">
      <c r="A886" t="s">
        <v>898</v>
      </c>
      <c r="B886">
        <v>25</v>
      </c>
      <c r="C886">
        <v>4</v>
      </c>
      <c r="D886">
        <v>30000</v>
      </c>
      <c r="E886">
        <v>20</v>
      </c>
      <c r="F886">
        <v>2.1</v>
      </c>
      <c r="G886">
        <v>96000</v>
      </c>
      <c r="H886" t="s">
        <v>1952</v>
      </c>
      <c r="I886" t="s">
        <v>1367</v>
      </c>
      <c r="J886" t="s">
        <v>1442</v>
      </c>
      <c r="K886" t="s">
        <v>1447</v>
      </c>
      <c r="L886" t="s">
        <v>1453</v>
      </c>
      <c r="M886" t="s">
        <v>1463</v>
      </c>
      <c r="N886" t="s">
        <v>1468</v>
      </c>
    </row>
    <row r="887" spans="1:14" x14ac:dyDescent="0.25">
      <c r="A887" t="s">
        <v>899</v>
      </c>
      <c r="B887">
        <v>40</v>
      </c>
      <c r="C887">
        <v>3</v>
      </c>
      <c r="D887">
        <v>18000</v>
      </c>
      <c r="E887">
        <v>15</v>
      </c>
      <c r="F887">
        <v>4.3</v>
      </c>
      <c r="G887">
        <v>45900</v>
      </c>
      <c r="H887" t="s">
        <v>1953</v>
      </c>
      <c r="I887" t="s">
        <v>1271</v>
      </c>
      <c r="J887" t="s">
        <v>1445</v>
      </c>
      <c r="K887" t="s">
        <v>1450</v>
      </c>
      <c r="L887" t="s">
        <v>1460</v>
      </c>
      <c r="M887" t="s">
        <v>1463</v>
      </c>
      <c r="N887" t="s">
        <v>1467</v>
      </c>
    </row>
    <row r="888" spans="1:14" x14ac:dyDescent="0.25">
      <c r="A888" t="s">
        <v>900</v>
      </c>
      <c r="B888">
        <v>27</v>
      </c>
      <c r="C888">
        <v>1</v>
      </c>
      <c r="D888">
        <v>30000</v>
      </c>
      <c r="E888">
        <v>0</v>
      </c>
      <c r="F888">
        <v>1.9</v>
      </c>
      <c r="G888">
        <v>30000</v>
      </c>
      <c r="H888" t="s">
        <v>1953</v>
      </c>
      <c r="I888" t="s">
        <v>1418</v>
      </c>
      <c r="J888" t="s">
        <v>1441</v>
      </c>
      <c r="K888" t="s">
        <v>1446</v>
      </c>
      <c r="L888" t="s">
        <v>1453</v>
      </c>
      <c r="M888" t="s">
        <v>1463</v>
      </c>
      <c r="N888" t="s">
        <v>1467</v>
      </c>
    </row>
    <row r="889" spans="1:14" x14ac:dyDescent="0.25">
      <c r="A889" t="s">
        <v>901</v>
      </c>
      <c r="B889">
        <v>30</v>
      </c>
      <c r="C889">
        <v>2</v>
      </c>
      <c r="D889">
        <v>27000</v>
      </c>
      <c r="E889">
        <v>5</v>
      </c>
      <c r="F889">
        <v>4.5</v>
      </c>
      <c r="G889">
        <v>51300</v>
      </c>
      <c r="H889" t="s">
        <v>1953</v>
      </c>
      <c r="I889" t="s">
        <v>1246</v>
      </c>
      <c r="J889" t="s">
        <v>1441</v>
      </c>
      <c r="K889" t="s">
        <v>1446</v>
      </c>
      <c r="L889" t="s">
        <v>1458</v>
      </c>
      <c r="M889" t="s">
        <v>1464</v>
      </c>
      <c r="N889" t="s">
        <v>1465</v>
      </c>
    </row>
    <row r="890" spans="1:14" x14ac:dyDescent="0.25">
      <c r="A890" t="s">
        <v>902</v>
      </c>
      <c r="B890">
        <v>31</v>
      </c>
      <c r="C890">
        <v>3</v>
      </c>
      <c r="D890">
        <v>32000</v>
      </c>
      <c r="E890">
        <v>5</v>
      </c>
      <c r="F890">
        <v>4.8</v>
      </c>
      <c r="G890">
        <v>91200</v>
      </c>
      <c r="H890" t="s">
        <v>1954</v>
      </c>
      <c r="I890" t="s">
        <v>1263</v>
      </c>
      <c r="J890" t="s">
        <v>1444</v>
      </c>
      <c r="K890" t="s">
        <v>1449</v>
      </c>
      <c r="L890" t="s">
        <v>1457</v>
      </c>
      <c r="M890" t="s">
        <v>1463</v>
      </c>
      <c r="N890" t="s">
        <v>1468</v>
      </c>
    </row>
    <row r="891" spans="1:14" x14ac:dyDescent="0.25">
      <c r="A891" t="s">
        <v>903</v>
      </c>
      <c r="B891">
        <v>19</v>
      </c>
      <c r="C891">
        <v>3</v>
      </c>
      <c r="D891">
        <v>28000</v>
      </c>
      <c r="E891">
        <v>15</v>
      </c>
      <c r="F891">
        <v>3</v>
      </c>
      <c r="G891">
        <v>71400</v>
      </c>
      <c r="H891" t="s">
        <v>1955</v>
      </c>
      <c r="I891" t="s">
        <v>1416</v>
      </c>
      <c r="J891" t="s">
        <v>1445</v>
      </c>
      <c r="K891" t="s">
        <v>1450</v>
      </c>
      <c r="L891" t="s">
        <v>1455</v>
      </c>
      <c r="M891" t="s">
        <v>1464</v>
      </c>
      <c r="N891" t="s">
        <v>1466</v>
      </c>
    </row>
    <row r="892" spans="1:14" x14ac:dyDescent="0.25">
      <c r="A892" t="s">
        <v>904</v>
      </c>
      <c r="B892">
        <v>43</v>
      </c>
      <c r="C892">
        <v>1</v>
      </c>
      <c r="D892">
        <v>32000</v>
      </c>
      <c r="E892">
        <v>15</v>
      </c>
      <c r="F892">
        <v>4.3</v>
      </c>
      <c r="G892">
        <v>27200</v>
      </c>
      <c r="H892" t="s">
        <v>1956</v>
      </c>
      <c r="I892" t="s">
        <v>1303</v>
      </c>
      <c r="J892" t="s">
        <v>1444</v>
      </c>
      <c r="K892" t="s">
        <v>1449</v>
      </c>
      <c r="L892" t="s">
        <v>1457</v>
      </c>
      <c r="M892" t="s">
        <v>1463</v>
      </c>
      <c r="N892" t="s">
        <v>1465</v>
      </c>
    </row>
    <row r="893" spans="1:14" x14ac:dyDescent="0.25">
      <c r="A893" t="s">
        <v>905</v>
      </c>
      <c r="B893">
        <v>25</v>
      </c>
      <c r="C893">
        <v>3</v>
      </c>
      <c r="D893">
        <v>32000</v>
      </c>
      <c r="E893">
        <v>10</v>
      </c>
      <c r="F893">
        <v>1.2</v>
      </c>
      <c r="G893">
        <v>86400</v>
      </c>
      <c r="H893" t="s">
        <v>1956</v>
      </c>
      <c r="I893" t="s">
        <v>1411</v>
      </c>
      <c r="J893" t="s">
        <v>1443</v>
      </c>
      <c r="K893" t="s">
        <v>1448</v>
      </c>
      <c r="L893" t="s">
        <v>1457</v>
      </c>
      <c r="M893" t="s">
        <v>1463</v>
      </c>
      <c r="N893" t="s">
        <v>1467</v>
      </c>
    </row>
    <row r="894" spans="1:14" x14ac:dyDescent="0.25">
      <c r="A894" t="s">
        <v>906</v>
      </c>
      <c r="B894">
        <v>22</v>
      </c>
      <c r="C894">
        <v>3</v>
      </c>
      <c r="D894">
        <v>30000</v>
      </c>
      <c r="E894">
        <v>0</v>
      </c>
      <c r="F894">
        <v>1.7</v>
      </c>
      <c r="G894">
        <v>90000</v>
      </c>
      <c r="H894" t="s">
        <v>1957</v>
      </c>
      <c r="I894" t="s">
        <v>1325</v>
      </c>
      <c r="J894" t="s">
        <v>1443</v>
      </c>
      <c r="K894" t="s">
        <v>1448</v>
      </c>
      <c r="L894" t="s">
        <v>1453</v>
      </c>
      <c r="M894" t="s">
        <v>1463</v>
      </c>
      <c r="N894" t="s">
        <v>1466</v>
      </c>
    </row>
    <row r="895" spans="1:14" x14ac:dyDescent="0.25">
      <c r="A895" t="s">
        <v>907</v>
      </c>
      <c r="B895">
        <v>37</v>
      </c>
      <c r="C895">
        <v>3</v>
      </c>
      <c r="D895">
        <v>18000</v>
      </c>
      <c r="E895">
        <v>0</v>
      </c>
      <c r="F895">
        <v>3.3</v>
      </c>
      <c r="G895">
        <v>54000</v>
      </c>
      <c r="H895" t="s">
        <v>1957</v>
      </c>
      <c r="I895" t="s">
        <v>1345</v>
      </c>
      <c r="J895" t="s">
        <v>1443</v>
      </c>
      <c r="K895" t="s">
        <v>1448</v>
      </c>
      <c r="L895" t="s">
        <v>1461</v>
      </c>
      <c r="M895" t="s">
        <v>1462</v>
      </c>
      <c r="N895" t="s">
        <v>1468</v>
      </c>
    </row>
    <row r="896" spans="1:14" x14ac:dyDescent="0.25">
      <c r="A896" t="s">
        <v>908</v>
      </c>
      <c r="B896">
        <v>52</v>
      </c>
      <c r="C896">
        <v>4</v>
      </c>
      <c r="D896">
        <v>23000</v>
      </c>
      <c r="E896">
        <v>0</v>
      </c>
      <c r="F896">
        <v>1.1000000000000001</v>
      </c>
      <c r="G896">
        <v>92000</v>
      </c>
      <c r="H896" t="s">
        <v>1958</v>
      </c>
      <c r="I896" t="s">
        <v>1392</v>
      </c>
      <c r="J896" t="s">
        <v>1445</v>
      </c>
      <c r="K896" t="s">
        <v>1450</v>
      </c>
      <c r="L896" t="s">
        <v>1456</v>
      </c>
      <c r="M896" t="s">
        <v>1463</v>
      </c>
      <c r="N896" t="s">
        <v>1468</v>
      </c>
    </row>
    <row r="897" spans="1:14" x14ac:dyDescent="0.25">
      <c r="A897" t="s">
        <v>909</v>
      </c>
      <c r="B897">
        <v>27</v>
      </c>
      <c r="C897">
        <v>1</v>
      </c>
      <c r="D897">
        <v>18000</v>
      </c>
      <c r="E897">
        <v>10</v>
      </c>
      <c r="F897">
        <v>1.1000000000000001</v>
      </c>
      <c r="G897">
        <v>16200</v>
      </c>
      <c r="H897" t="s">
        <v>1958</v>
      </c>
      <c r="I897" t="s">
        <v>1364</v>
      </c>
      <c r="J897" t="s">
        <v>1444</v>
      </c>
      <c r="K897" t="s">
        <v>1449</v>
      </c>
      <c r="L897" t="s">
        <v>1461</v>
      </c>
      <c r="M897" t="s">
        <v>1462</v>
      </c>
      <c r="N897" t="s">
        <v>1468</v>
      </c>
    </row>
    <row r="898" spans="1:14" x14ac:dyDescent="0.25">
      <c r="A898" t="s">
        <v>910</v>
      </c>
      <c r="B898">
        <v>39</v>
      </c>
      <c r="C898">
        <v>2</v>
      </c>
      <c r="D898">
        <v>25000</v>
      </c>
      <c r="E898">
        <v>10</v>
      </c>
      <c r="F898">
        <v>3.4</v>
      </c>
      <c r="G898">
        <v>45000</v>
      </c>
      <c r="H898" t="s">
        <v>1958</v>
      </c>
      <c r="I898" t="s">
        <v>1424</v>
      </c>
      <c r="J898" t="s">
        <v>1445</v>
      </c>
      <c r="K898" t="s">
        <v>1450</v>
      </c>
      <c r="L898" t="s">
        <v>1452</v>
      </c>
      <c r="M898" t="s">
        <v>1462</v>
      </c>
      <c r="N898" t="s">
        <v>1465</v>
      </c>
    </row>
    <row r="899" spans="1:14" x14ac:dyDescent="0.25">
      <c r="A899" t="s">
        <v>911</v>
      </c>
      <c r="B899">
        <v>26</v>
      </c>
      <c r="C899">
        <v>2</v>
      </c>
      <c r="D899">
        <v>32000</v>
      </c>
      <c r="E899">
        <v>0</v>
      </c>
      <c r="F899">
        <v>2.4</v>
      </c>
      <c r="G899">
        <v>64000</v>
      </c>
      <c r="H899" t="s">
        <v>1959</v>
      </c>
      <c r="I899" t="s">
        <v>1436</v>
      </c>
      <c r="J899" t="s">
        <v>1444</v>
      </c>
      <c r="K899" t="s">
        <v>1449</v>
      </c>
      <c r="L899" t="s">
        <v>1457</v>
      </c>
      <c r="M899" t="s">
        <v>1463</v>
      </c>
      <c r="N899" t="s">
        <v>1466</v>
      </c>
    </row>
    <row r="900" spans="1:14" x14ac:dyDescent="0.25">
      <c r="A900" t="s">
        <v>912</v>
      </c>
      <c r="B900">
        <v>46</v>
      </c>
      <c r="C900">
        <v>1</v>
      </c>
      <c r="D900">
        <v>30000</v>
      </c>
      <c r="E900">
        <v>0</v>
      </c>
      <c r="F900">
        <v>2.1</v>
      </c>
      <c r="G900">
        <v>30000</v>
      </c>
      <c r="H900" t="s">
        <v>1959</v>
      </c>
      <c r="I900" t="s">
        <v>1437</v>
      </c>
      <c r="J900" t="s">
        <v>1443</v>
      </c>
      <c r="K900" t="s">
        <v>1448</v>
      </c>
      <c r="L900" t="s">
        <v>1453</v>
      </c>
      <c r="M900" t="s">
        <v>1463</v>
      </c>
      <c r="N900" t="s">
        <v>1466</v>
      </c>
    </row>
    <row r="901" spans="1:14" x14ac:dyDescent="0.25">
      <c r="A901" t="s">
        <v>913</v>
      </c>
      <c r="B901">
        <v>35</v>
      </c>
      <c r="C901">
        <v>4</v>
      </c>
      <c r="D901">
        <v>18000</v>
      </c>
      <c r="E901">
        <v>0</v>
      </c>
      <c r="F901">
        <v>1.2</v>
      </c>
      <c r="G901">
        <v>72000</v>
      </c>
      <c r="H901" t="s">
        <v>1960</v>
      </c>
      <c r="I901" t="s">
        <v>1259</v>
      </c>
      <c r="J901" t="s">
        <v>1445</v>
      </c>
      <c r="K901" t="s">
        <v>1450</v>
      </c>
      <c r="L901" t="s">
        <v>1461</v>
      </c>
      <c r="M901" t="s">
        <v>1462</v>
      </c>
      <c r="N901" t="s">
        <v>1467</v>
      </c>
    </row>
    <row r="902" spans="1:14" x14ac:dyDescent="0.25">
      <c r="A902" t="s">
        <v>914</v>
      </c>
      <c r="B902">
        <v>18</v>
      </c>
      <c r="C902">
        <v>3</v>
      </c>
      <c r="D902">
        <v>25000</v>
      </c>
      <c r="E902">
        <v>0</v>
      </c>
      <c r="F902">
        <v>4.7</v>
      </c>
      <c r="G902">
        <v>75000</v>
      </c>
      <c r="H902" t="s">
        <v>1961</v>
      </c>
      <c r="I902" t="s">
        <v>1344</v>
      </c>
      <c r="J902" t="s">
        <v>1442</v>
      </c>
      <c r="K902" t="s">
        <v>1447</v>
      </c>
      <c r="L902" t="s">
        <v>1452</v>
      </c>
      <c r="M902" t="s">
        <v>1462</v>
      </c>
      <c r="N902" t="s">
        <v>1465</v>
      </c>
    </row>
    <row r="903" spans="1:14" x14ac:dyDescent="0.25">
      <c r="A903" t="s">
        <v>915</v>
      </c>
      <c r="B903">
        <v>28</v>
      </c>
      <c r="C903">
        <v>1</v>
      </c>
      <c r="D903">
        <v>28000</v>
      </c>
      <c r="E903">
        <v>0</v>
      </c>
      <c r="F903">
        <v>1.3</v>
      </c>
      <c r="G903">
        <v>28000</v>
      </c>
      <c r="H903" t="s">
        <v>1961</v>
      </c>
      <c r="I903" t="s">
        <v>1431</v>
      </c>
      <c r="J903" t="s">
        <v>1444</v>
      </c>
      <c r="K903" t="s">
        <v>1449</v>
      </c>
      <c r="L903" t="s">
        <v>1455</v>
      </c>
      <c r="M903" t="s">
        <v>1464</v>
      </c>
      <c r="N903" t="s">
        <v>1466</v>
      </c>
    </row>
    <row r="904" spans="1:14" x14ac:dyDescent="0.25">
      <c r="A904" t="s">
        <v>916</v>
      </c>
      <c r="B904">
        <v>44</v>
      </c>
      <c r="C904">
        <v>2</v>
      </c>
      <c r="D904">
        <v>30000</v>
      </c>
      <c r="E904">
        <v>5</v>
      </c>
      <c r="F904">
        <v>3</v>
      </c>
      <c r="G904">
        <v>57000</v>
      </c>
      <c r="H904" t="s">
        <v>1961</v>
      </c>
      <c r="I904" t="s">
        <v>1398</v>
      </c>
      <c r="J904" t="s">
        <v>1445</v>
      </c>
      <c r="K904" t="s">
        <v>1450</v>
      </c>
      <c r="L904" t="s">
        <v>1453</v>
      </c>
      <c r="M904" t="s">
        <v>1463</v>
      </c>
      <c r="N904" t="s">
        <v>1468</v>
      </c>
    </row>
    <row r="905" spans="1:14" x14ac:dyDescent="0.25">
      <c r="A905" t="s">
        <v>917</v>
      </c>
      <c r="B905">
        <v>21</v>
      </c>
      <c r="C905">
        <v>2</v>
      </c>
      <c r="D905">
        <v>20000</v>
      </c>
      <c r="E905">
        <v>5</v>
      </c>
      <c r="F905">
        <v>3.9</v>
      </c>
      <c r="G905">
        <v>38000</v>
      </c>
      <c r="H905" t="s">
        <v>1961</v>
      </c>
      <c r="I905" t="s">
        <v>1329</v>
      </c>
      <c r="J905" t="s">
        <v>1445</v>
      </c>
      <c r="K905" t="s">
        <v>1450</v>
      </c>
      <c r="L905" t="s">
        <v>1459</v>
      </c>
      <c r="M905" t="s">
        <v>1462</v>
      </c>
      <c r="N905" t="s">
        <v>1467</v>
      </c>
    </row>
    <row r="906" spans="1:14" x14ac:dyDescent="0.25">
      <c r="A906" t="s">
        <v>918</v>
      </c>
      <c r="B906">
        <v>41</v>
      </c>
      <c r="C906">
        <v>5</v>
      </c>
      <c r="D906">
        <v>30000</v>
      </c>
      <c r="E906">
        <v>0</v>
      </c>
      <c r="F906">
        <v>4.3</v>
      </c>
      <c r="G906">
        <v>150000</v>
      </c>
      <c r="H906" t="s">
        <v>1961</v>
      </c>
      <c r="I906" t="s">
        <v>1419</v>
      </c>
      <c r="J906" t="s">
        <v>1445</v>
      </c>
      <c r="K906" t="s">
        <v>1450</v>
      </c>
      <c r="L906" t="s">
        <v>1453</v>
      </c>
      <c r="M906" t="s">
        <v>1463</v>
      </c>
      <c r="N906" t="s">
        <v>1468</v>
      </c>
    </row>
    <row r="907" spans="1:14" x14ac:dyDescent="0.25">
      <c r="A907" t="s">
        <v>919</v>
      </c>
      <c r="B907">
        <v>27</v>
      </c>
      <c r="C907">
        <v>1</v>
      </c>
      <c r="D907">
        <v>22000</v>
      </c>
      <c r="E907">
        <v>0</v>
      </c>
      <c r="F907">
        <v>1.6</v>
      </c>
      <c r="G907">
        <v>22000</v>
      </c>
      <c r="H907" t="s">
        <v>1962</v>
      </c>
      <c r="I907" t="s">
        <v>1422</v>
      </c>
      <c r="J907" t="s">
        <v>1443</v>
      </c>
      <c r="K907" t="s">
        <v>1448</v>
      </c>
      <c r="L907" t="s">
        <v>1454</v>
      </c>
      <c r="M907" t="s">
        <v>1462</v>
      </c>
      <c r="N907" t="s">
        <v>1466</v>
      </c>
    </row>
    <row r="908" spans="1:14" x14ac:dyDescent="0.25">
      <c r="A908" t="s">
        <v>920</v>
      </c>
      <c r="B908">
        <v>36</v>
      </c>
      <c r="C908">
        <v>4</v>
      </c>
      <c r="D908">
        <v>25000</v>
      </c>
      <c r="E908">
        <v>0</v>
      </c>
      <c r="F908">
        <v>1.2</v>
      </c>
      <c r="G908">
        <v>100000</v>
      </c>
      <c r="H908" t="s">
        <v>1962</v>
      </c>
      <c r="I908" t="s">
        <v>1413</v>
      </c>
      <c r="J908" t="s">
        <v>1441</v>
      </c>
      <c r="K908" t="s">
        <v>1446</v>
      </c>
      <c r="L908" t="s">
        <v>1452</v>
      </c>
      <c r="M908" t="s">
        <v>1462</v>
      </c>
      <c r="N908" t="s">
        <v>1465</v>
      </c>
    </row>
    <row r="909" spans="1:14" x14ac:dyDescent="0.25">
      <c r="A909" t="s">
        <v>921</v>
      </c>
      <c r="B909">
        <v>42</v>
      </c>
      <c r="C909">
        <v>4</v>
      </c>
      <c r="D909">
        <v>18000</v>
      </c>
      <c r="E909">
        <v>0</v>
      </c>
      <c r="F909">
        <v>3.8</v>
      </c>
      <c r="G909">
        <v>72000</v>
      </c>
      <c r="H909" t="s">
        <v>1963</v>
      </c>
      <c r="I909" t="s">
        <v>1374</v>
      </c>
      <c r="J909" t="s">
        <v>1444</v>
      </c>
      <c r="K909" t="s">
        <v>1449</v>
      </c>
      <c r="L909" t="s">
        <v>1461</v>
      </c>
      <c r="M909" t="s">
        <v>1462</v>
      </c>
      <c r="N909" t="s">
        <v>1466</v>
      </c>
    </row>
    <row r="910" spans="1:14" x14ac:dyDescent="0.25">
      <c r="A910" t="s">
        <v>922</v>
      </c>
      <c r="B910">
        <v>51</v>
      </c>
      <c r="C910">
        <v>5</v>
      </c>
      <c r="D910">
        <v>20000</v>
      </c>
      <c r="E910">
        <v>10</v>
      </c>
      <c r="F910">
        <v>4.5999999999999996</v>
      </c>
      <c r="G910">
        <v>90000</v>
      </c>
      <c r="H910" t="s">
        <v>1964</v>
      </c>
      <c r="I910" t="s">
        <v>1382</v>
      </c>
      <c r="J910" t="s">
        <v>1445</v>
      </c>
      <c r="K910" t="s">
        <v>1450</v>
      </c>
      <c r="L910" t="s">
        <v>1459</v>
      </c>
      <c r="M910" t="s">
        <v>1462</v>
      </c>
      <c r="N910" t="s">
        <v>1468</v>
      </c>
    </row>
    <row r="911" spans="1:14" x14ac:dyDescent="0.25">
      <c r="A911" t="s">
        <v>923</v>
      </c>
      <c r="B911">
        <v>38</v>
      </c>
      <c r="C911">
        <v>5</v>
      </c>
      <c r="D911">
        <v>25000</v>
      </c>
      <c r="E911">
        <v>15</v>
      </c>
      <c r="F911">
        <v>4.4000000000000004</v>
      </c>
      <c r="G911">
        <v>106250</v>
      </c>
      <c r="H911" t="s">
        <v>1964</v>
      </c>
      <c r="I911" t="s">
        <v>1439</v>
      </c>
      <c r="J911" t="s">
        <v>1442</v>
      </c>
      <c r="K911" t="s">
        <v>1447</v>
      </c>
      <c r="L911" t="s">
        <v>1452</v>
      </c>
      <c r="M911" t="s">
        <v>1462</v>
      </c>
      <c r="N911" t="s">
        <v>1465</v>
      </c>
    </row>
    <row r="912" spans="1:14" x14ac:dyDescent="0.25">
      <c r="A912" t="s">
        <v>924</v>
      </c>
      <c r="B912">
        <v>19</v>
      </c>
      <c r="C912">
        <v>5</v>
      </c>
      <c r="D912">
        <v>32000</v>
      </c>
      <c r="E912">
        <v>10</v>
      </c>
      <c r="F912">
        <v>2.9</v>
      </c>
      <c r="G912">
        <v>144000</v>
      </c>
      <c r="H912" t="s">
        <v>1965</v>
      </c>
      <c r="I912" t="s">
        <v>1310</v>
      </c>
      <c r="J912" t="s">
        <v>1443</v>
      </c>
      <c r="K912" t="s">
        <v>1448</v>
      </c>
      <c r="L912" t="s">
        <v>1457</v>
      </c>
      <c r="M912" t="s">
        <v>1463</v>
      </c>
      <c r="N912" t="s">
        <v>1465</v>
      </c>
    </row>
    <row r="913" spans="1:14" x14ac:dyDescent="0.25">
      <c r="A913" t="s">
        <v>925</v>
      </c>
      <c r="B913">
        <v>24</v>
      </c>
      <c r="C913">
        <v>4</v>
      </c>
      <c r="D913">
        <v>28000</v>
      </c>
      <c r="E913">
        <v>10</v>
      </c>
      <c r="F913">
        <v>5</v>
      </c>
      <c r="G913">
        <v>100800</v>
      </c>
      <c r="H913" t="s">
        <v>1965</v>
      </c>
      <c r="I913" t="s">
        <v>1321</v>
      </c>
      <c r="J913" t="s">
        <v>1445</v>
      </c>
      <c r="K913" t="s">
        <v>1450</v>
      </c>
      <c r="L913" t="s">
        <v>1455</v>
      </c>
      <c r="M913" t="s">
        <v>1464</v>
      </c>
      <c r="N913" t="s">
        <v>1466</v>
      </c>
    </row>
    <row r="914" spans="1:14" x14ac:dyDescent="0.25">
      <c r="A914" t="s">
        <v>926</v>
      </c>
      <c r="B914">
        <v>39</v>
      </c>
      <c r="C914">
        <v>5</v>
      </c>
      <c r="D914">
        <v>18000</v>
      </c>
      <c r="E914">
        <v>20</v>
      </c>
      <c r="F914">
        <v>1.9</v>
      </c>
      <c r="G914">
        <v>72000</v>
      </c>
      <c r="H914" t="s">
        <v>1965</v>
      </c>
      <c r="I914" t="s">
        <v>1424</v>
      </c>
      <c r="J914" t="s">
        <v>1443</v>
      </c>
      <c r="K914" t="s">
        <v>1448</v>
      </c>
      <c r="L914" t="s">
        <v>1461</v>
      </c>
      <c r="M914" t="s">
        <v>1462</v>
      </c>
      <c r="N914" t="s">
        <v>1468</v>
      </c>
    </row>
    <row r="915" spans="1:14" x14ac:dyDescent="0.25">
      <c r="A915" t="s">
        <v>927</v>
      </c>
      <c r="B915">
        <v>19</v>
      </c>
      <c r="C915">
        <v>1</v>
      </c>
      <c r="D915">
        <v>28000</v>
      </c>
      <c r="E915">
        <v>20</v>
      </c>
      <c r="F915">
        <v>2</v>
      </c>
      <c r="G915">
        <v>22400</v>
      </c>
      <c r="H915" t="s">
        <v>1966</v>
      </c>
      <c r="I915" t="s">
        <v>1281</v>
      </c>
      <c r="J915" t="s">
        <v>1445</v>
      </c>
      <c r="K915" t="s">
        <v>1450</v>
      </c>
      <c r="L915" t="s">
        <v>1455</v>
      </c>
      <c r="M915" t="s">
        <v>1464</v>
      </c>
      <c r="N915" t="s">
        <v>1467</v>
      </c>
    </row>
    <row r="916" spans="1:14" x14ac:dyDescent="0.25">
      <c r="A916" t="s">
        <v>928</v>
      </c>
      <c r="B916">
        <v>53</v>
      </c>
      <c r="C916">
        <v>3</v>
      </c>
      <c r="D916">
        <v>22000</v>
      </c>
      <c r="E916">
        <v>0</v>
      </c>
      <c r="F916">
        <v>3.1</v>
      </c>
      <c r="G916">
        <v>66000</v>
      </c>
      <c r="H916" t="s">
        <v>1966</v>
      </c>
      <c r="I916" t="s">
        <v>1245</v>
      </c>
      <c r="J916" t="s">
        <v>1443</v>
      </c>
      <c r="K916" t="s">
        <v>1448</v>
      </c>
      <c r="L916" t="s">
        <v>1454</v>
      </c>
      <c r="M916" t="s">
        <v>1462</v>
      </c>
      <c r="N916" t="s">
        <v>1468</v>
      </c>
    </row>
    <row r="917" spans="1:14" x14ac:dyDescent="0.25">
      <c r="A917" t="s">
        <v>929</v>
      </c>
      <c r="B917">
        <v>49</v>
      </c>
      <c r="C917">
        <v>1</v>
      </c>
      <c r="D917">
        <v>20000</v>
      </c>
      <c r="E917">
        <v>0</v>
      </c>
      <c r="F917">
        <v>4.5</v>
      </c>
      <c r="G917">
        <v>20000</v>
      </c>
      <c r="H917" t="s">
        <v>1966</v>
      </c>
      <c r="I917" t="s">
        <v>1330</v>
      </c>
      <c r="J917" t="s">
        <v>1442</v>
      </c>
      <c r="K917" t="s">
        <v>1447</v>
      </c>
      <c r="L917" t="s">
        <v>1459</v>
      </c>
      <c r="M917" t="s">
        <v>1462</v>
      </c>
      <c r="N917" t="s">
        <v>1467</v>
      </c>
    </row>
    <row r="918" spans="1:14" x14ac:dyDescent="0.25">
      <c r="A918" t="s">
        <v>930</v>
      </c>
      <c r="B918">
        <v>48</v>
      </c>
      <c r="C918">
        <v>5</v>
      </c>
      <c r="D918">
        <v>28000</v>
      </c>
      <c r="E918">
        <v>0</v>
      </c>
      <c r="F918">
        <v>2.1</v>
      </c>
      <c r="G918">
        <v>140000</v>
      </c>
      <c r="H918" t="s">
        <v>1966</v>
      </c>
      <c r="I918" t="s">
        <v>1306</v>
      </c>
      <c r="J918" t="s">
        <v>1444</v>
      </c>
      <c r="K918" t="s">
        <v>1449</v>
      </c>
      <c r="L918" t="s">
        <v>1455</v>
      </c>
      <c r="M918" t="s">
        <v>1464</v>
      </c>
      <c r="N918" t="s">
        <v>1467</v>
      </c>
    </row>
    <row r="919" spans="1:14" x14ac:dyDescent="0.25">
      <c r="A919" t="s">
        <v>931</v>
      </c>
      <c r="B919">
        <v>25</v>
      </c>
      <c r="C919">
        <v>5</v>
      </c>
      <c r="D919">
        <v>28000</v>
      </c>
      <c r="E919">
        <v>0</v>
      </c>
      <c r="F919">
        <v>1.4</v>
      </c>
      <c r="G919">
        <v>140000</v>
      </c>
      <c r="H919" t="s">
        <v>1967</v>
      </c>
      <c r="I919" t="s">
        <v>1261</v>
      </c>
      <c r="J919" t="s">
        <v>1445</v>
      </c>
      <c r="K919" t="s">
        <v>1450</v>
      </c>
      <c r="L919" t="s">
        <v>1455</v>
      </c>
      <c r="M919" t="s">
        <v>1464</v>
      </c>
      <c r="N919" t="s">
        <v>1466</v>
      </c>
    </row>
    <row r="920" spans="1:14" x14ac:dyDescent="0.25">
      <c r="A920" t="s">
        <v>932</v>
      </c>
      <c r="B920">
        <v>23</v>
      </c>
      <c r="C920">
        <v>2</v>
      </c>
      <c r="D920">
        <v>32000</v>
      </c>
      <c r="E920">
        <v>20</v>
      </c>
      <c r="F920">
        <v>1.8</v>
      </c>
      <c r="G920">
        <v>51200</v>
      </c>
      <c r="H920" t="s">
        <v>1967</v>
      </c>
      <c r="I920" t="s">
        <v>1342</v>
      </c>
      <c r="J920" t="s">
        <v>1445</v>
      </c>
      <c r="K920" t="s">
        <v>1450</v>
      </c>
      <c r="L920" t="s">
        <v>1457</v>
      </c>
      <c r="M920" t="s">
        <v>1463</v>
      </c>
      <c r="N920" t="s">
        <v>1468</v>
      </c>
    </row>
    <row r="921" spans="1:14" x14ac:dyDescent="0.25">
      <c r="A921" t="s">
        <v>933</v>
      </c>
      <c r="B921">
        <v>17</v>
      </c>
      <c r="C921">
        <v>1</v>
      </c>
      <c r="D921">
        <v>32000</v>
      </c>
      <c r="E921">
        <v>15</v>
      </c>
      <c r="F921">
        <v>4.9000000000000004</v>
      </c>
      <c r="G921">
        <v>27200</v>
      </c>
      <c r="H921" t="s">
        <v>1968</v>
      </c>
      <c r="I921" t="s">
        <v>1327</v>
      </c>
      <c r="J921" t="s">
        <v>1441</v>
      </c>
      <c r="K921" t="s">
        <v>1446</v>
      </c>
      <c r="L921" t="s">
        <v>1457</v>
      </c>
      <c r="M921" t="s">
        <v>1463</v>
      </c>
      <c r="N921" t="s">
        <v>1468</v>
      </c>
    </row>
    <row r="922" spans="1:14" x14ac:dyDescent="0.25">
      <c r="A922" t="s">
        <v>934</v>
      </c>
      <c r="B922">
        <v>24</v>
      </c>
      <c r="C922">
        <v>2</v>
      </c>
      <c r="D922">
        <v>18000</v>
      </c>
      <c r="E922">
        <v>10</v>
      </c>
      <c r="F922">
        <v>1.6</v>
      </c>
      <c r="G922">
        <v>32400</v>
      </c>
      <c r="H922" t="s">
        <v>1968</v>
      </c>
      <c r="I922" t="s">
        <v>1321</v>
      </c>
      <c r="J922" t="s">
        <v>1443</v>
      </c>
      <c r="K922" t="s">
        <v>1448</v>
      </c>
      <c r="L922" t="s">
        <v>1460</v>
      </c>
      <c r="M922" t="s">
        <v>1463</v>
      </c>
      <c r="N922" t="s">
        <v>1465</v>
      </c>
    </row>
    <row r="923" spans="1:14" x14ac:dyDescent="0.25">
      <c r="A923" t="s">
        <v>935</v>
      </c>
      <c r="B923">
        <v>40</v>
      </c>
      <c r="C923">
        <v>4</v>
      </c>
      <c r="D923">
        <v>22000</v>
      </c>
      <c r="E923">
        <v>20</v>
      </c>
      <c r="F923">
        <v>1</v>
      </c>
      <c r="G923">
        <v>70400</v>
      </c>
      <c r="H923" t="s">
        <v>1968</v>
      </c>
      <c r="I923" t="s">
        <v>1350</v>
      </c>
      <c r="J923" t="s">
        <v>1443</v>
      </c>
      <c r="K923" t="s">
        <v>1448</v>
      </c>
      <c r="L923" t="s">
        <v>1454</v>
      </c>
      <c r="M923" t="s">
        <v>1462</v>
      </c>
      <c r="N923" t="s">
        <v>1465</v>
      </c>
    </row>
    <row r="924" spans="1:14" x14ac:dyDescent="0.25">
      <c r="A924" t="s">
        <v>936</v>
      </c>
      <c r="B924">
        <v>27</v>
      </c>
      <c r="C924">
        <v>5</v>
      </c>
      <c r="D924">
        <v>28000</v>
      </c>
      <c r="E924">
        <v>15</v>
      </c>
      <c r="F924">
        <v>1.5</v>
      </c>
      <c r="G924">
        <v>119000</v>
      </c>
      <c r="H924" t="s">
        <v>1969</v>
      </c>
      <c r="I924" t="s">
        <v>1388</v>
      </c>
      <c r="J924" t="s">
        <v>1442</v>
      </c>
      <c r="K924" t="s">
        <v>1447</v>
      </c>
      <c r="L924" t="s">
        <v>1455</v>
      </c>
      <c r="M924" t="s">
        <v>1464</v>
      </c>
      <c r="N924" t="s">
        <v>1465</v>
      </c>
    </row>
    <row r="925" spans="1:14" x14ac:dyDescent="0.25">
      <c r="A925" t="s">
        <v>937</v>
      </c>
      <c r="B925">
        <v>35</v>
      </c>
      <c r="C925">
        <v>5</v>
      </c>
      <c r="D925">
        <v>18000</v>
      </c>
      <c r="E925">
        <v>0</v>
      </c>
      <c r="F925">
        <v>4.5999999999999996</v>
      </c>
      <c r="G925">
        <v>90000</v>
      </c>
      <c r="H925" t="s">
        <v>1970</v>
      </c>
      <c r="I925" t="s">
        <v>1423</v>
      </c>
      <c r="J925" t="s">
        <v>1444</v>
      </c>
      <c r="K925" t="s">
        <v>1449</v>
      </c>
      <c r="L925" t="s">
        <v>1461</v>
      </c>
      <c r="M925" t="s">
        <v>1462</v>
      </c>
      <c r="N925" t="s">
        <v>1466</v>
      </c>
    </row>
    <row r="926" spans="1:14" x14ac:dyDescent="0.25">
      <c r="A926" t="s">
        <v>938</v>
      </c>
      <c r="B926">
        <v>41</v>
      </c>
      <c r="C926">
        <v>2</v>
      </c>
      <c r="D926">
        <v>30000</v>
      </c>
      <c r="E926">
        <v>20</v>
      </c>
      <c r="F926">
        <v>1.4</v>
      </c>
      <c r="G926">
        <v>48000</v>
      </c>
      <c r="H926" t="s">
        <v>1971</v>
      </c>
      <c r="I926" t="s">
        <v>1421</v>
      </c>
      <c r="J926" t="s">
        <v>1443</v>
      </c>
      <c r="K926" t="s">
        <v>1448</v>
      </c>
      <c r="L926" t="s">
        <v>1453</v>
      </c>
      <c r="M926" t="s">
        <v>1463</v>
      </c>
      <c r="N926" t="s">
        <v>1467</v>
      </c>
    </row>
    <row r="927" spans="1:14" x14ac:dyDescent="0.25">
      <c r="A927" t="s">
        <v>939</v>
      </c>
      <c r="B927">
        <v>40</v>
      </c>
      <c r="C927">
        <v>1</v>
      </c>
      <c r="D927">
        <v>28000</v>
      </c>
      <c r="E927">
        <v>20</v>
      </c>
      <c r="F927">
        <v>4.5999999999999996</v>
      </c>
      <c r="G927">
        <v>22400</v>
      </c>
      <c r="H927" t="s">
        <v>1972</v>
      </c>
      <c r="I927" t="s">
        <v>1395</v>
      </c>
      <c r="J927" t="s">
        <v>1442</v>
      </c>
      <c r="K927" t="s">
        <v>1447</v>
      </c>
      <c r="L927" t="s">
        <v>1455</v>
      </c>
      <c r="M927" t="s">
        <v>1464</v>
      </c>
      <c r="N927" t="s">
        <v>1467</v>
      </c>
    </row>
    <row r="928" spans="1:14" x14ac:dyDescent="0.25">
      <c r="A928" t="s">
        <v>940</v>
      </c>
      <c r="B928">
        <v>25</v>
      </c>
      <c r="C928">
        <v>2</v>
      </c>
      <c r="D928">
        <v>23000</v>
      </c>
      <c r="E928">
        <v>0</v>
      </c>
      <c r="F928">
        <v>4.7</v>
      </c>
      <c r="G928">
        <v>46000</v>
      </c>
      <c r="H928" t="s">
        <v>1972</v>
      </c>
      <c r="I928" t="s">
        <v>1367</v>
      </c>
      <c r="J928" t="s">
        <v>1442</v>
      </c>
      <c r="K928" t="s">
        <v>1447</v>
      </c>
      <c r="L928" t="s">
        <v>1456</v>
      </c>
      <c r="M928" t="s">
        <v>1463</v>
      </c>
      <c r="N928" t="s">
        <v>1465</v>
      </c>
    </row>
    <row r="929" spans="1:14" x14ac:dyDescent="0.25">
      <c r="A929" t="s">
        <v>941</v>
      </c>
      <c r="B929">
        <v>32</v>
      </c>
      <c r="C929">
        <v>2</v>
      </c>
      <c r="D929">
        <v>28000</v>
      </c>
      <c r="E929">
        <v>10</v>
      </c>
      <c r="F929">
        <v>1.8</v>
      </c>
      <c r="G929">
        <v>50400</v>
      </c>
      <c r="H929" t="s">
        <v>1972</v>
      </c>
      <c r="I929" t="s">
        <v>1366</v>
      </c>
      <c r="J929" t="s">
        <v>1445</v>
      </c>
      <c r="K929" t="s">
        <v>1450</v>
      </c>
      <c r="L929" t="s">
        <v>1455</v>
      </c>
      <c r="M929" t="s">
        <v>1464</v>
      </c>
      <c r="N929" t="s">
        <v>1466</v>
      </c>
    </row>
    <row r="930" spans="1:14" x14ac:dyDescent="0.25">
      <c r="A930" t="s">
        <v>942</v>
      </c>
      <c r="B930">
        <v>21</v>
      </c>
      <c r="C930">
        <v>2</v>
      </c>
      <c r="D930">
        <v>28000</v>
      </c>
      <c r="E930">
        <v>0</v>
      </c>
      <c r="F930">
        <v>3.6</v>
      </c>
      <c r="G930">
        <v>56000</v>
      </c>
      <c r="H930" t="s">
        <v>1973</v>
      </c>
      <c r="I930" t="s">
        <v>1248</v>
      </c>
      <c r="J930" t="s">
        <v>1444</v>
      </c>
      <c r="K930" t="s">
        <v>1449</v>
      </c>
      <c r="L930" t="s">
        <v>1455</v>
      </c>
      <c r="M930" t="s">
        <v>1464</v>
      </c>
      <c r="N930" t="s">
        <v>1465</v>
      </c>
    </row>
    <row r="931" spans="1:14" x14ac:dyDescent="0.25">
      <c r="A931" t="s">
        <v>943</v>
      </c>
      <c r="B931">
        <v>24</v>
      </c>
      <c r="C931">
        <v>1</v>
      </c>
      <c r="D931">
        <v>32000</v>
      </c>
      <c r="E931">
        <v>15</v>
      </c>
      <c r="F931">
        <v>3.8</v>
      </c>
      <c r="G931">
        <v>27200</v>
      </c>
      <c r="H931" t="s">
        <v>1973</v>
      </c>
      <c r="I931" t="s">
        <v>1321</v>
      </c>
      <c r="J931" t="s">
        <v>1443</v>
      </c>
      <c r="K931" t="s">
        <v>1448</v>
      </c>
      <c r="L931" t="s">
        <v>1457</v>
      </c>
      <c r="M931" t="s">
        <v>1463</v>
      </c>
      <c r="N931" t="s">
        <v>1467</v>
      </c>
    </row>
    <row r="932" spans="1:14" x14ac:dyDescent="0.25">
      <c r="A932" t="s">
        <v>944</v>
      </c>
      <c r="B932">
        <v>33</v>
      </c>
      <c r="C932">
        <v>4</v>
      </c>
      <c r="D932">
        <v>28000</v>
      </c>
      <c r="E932">
        <v>0</v>
      </c>
      <c r="F932">
        <v>3.2</v>
      </c>
      <c r="G932">
        <v>112000</v>
      </c>
      <c r="H932" t="s">
        <v>1974</v>
      </c>
      <c r="I932" t="s">
        <v>1285</v>
      </c>
      <c r="J932" t="s">
        <v>1442</v>
      </c>
      <c r="K932" t="s">
        <v>1447</v>
      </c>
      <c r="L932" t="s">
        <v>1455</v>
      </c>
      <c r="M932" t="s">
        <v>1464</v>
      </c>
      <c r="N932" t="s">
        <v>1465</v>
      </c>
    </row>
    <row r="933" spans="1:14" x14ac:dyDescent="0.25">
      <c r="A933" t="s">
        <v>945</v>
      </c>
      <c r="B933">
        <v>36</v>
      </c>
      <c r="C933">
        <v>4</v>
      </c>
      <c r="D933">
        <v>23000</v>
      </c>
      <c r="E933">
        <v>15</v>
      </c>
      <c r="F933">
        <v>4.3</v>
      </c>
      <c r="G933">
        <v>78200</v>
      </c>
      <c r="H933" t="s">
        <v>1974</v>
      </c>
      <c r="I933" t="s">
        <v>1413</v>
      </c>
      <c r="J933" t="s">
        <v>1441</v>
      </c>
      <c r="K933" t="s">
        <v>1446</v>
      </c>
      <c r="L933" t="s">
        <v>1456</v>
      </c>
      <c r="M933" t="s">
        <v>1463</v>
      </c>
      <c r="N933" t="s">
        <v>1468</v>
      </c>
    </row>
    <row r="934" spans="1:14" x14ac:dyDescent="0.25">
      <c r="A934" t="s">
        <v>946</v>
      </c>
      <c r="B934">
        <v>41</v>
      </c>
      <c r="C934">
        <v>5</v>
      </c>
      <c r="D934">
        <v>28000</v>
      </c>
      <c r="E934">
        <v>20</v>
      </c>
      <c r="F934">
        <v>2.8</v>
      </c>
      <c r="G934">
        <v>112000</v>
      </c>
      <c r="H934" t="s">
        <v>1974</v>
      </c>
      <c r="I934" t="s">
        <v>1421</v>
      </c>
      <c r="J934" t="s">
        <v>1444</v>
      </c>
      <c r="K934" t="s">
        <v>1449</v>
      </c>
      <c r="L934" t="s">
        <v>1455</v>
      </c>
      <c r="M934" t="s">
        <v>1464</v>
      </c>
      <c r="N934" t="s">
        <v>1468</v>
      </c>
    </row>
    <row r="935" spans="1:14" x14ac:dyDescent="0.25">
      <c r="A935" t="s">
        <v>947</v>
      </c>
      <c r="B935">
        <v>18</v>
      </c>
      <c r="C935">
        <v>4</v>
      </c>
      <c r="D935">
        <v>20000</v>
      </c>
      <c r="E935">
        <v>15</v>
      </c>
      <c r="F935">
        <v>1.2</v>
      </c>
      <c r="G935">
        <v>68000</v>
      </c>
      <c r="H935" t="s">
        <v>1975</v>
      </c>
      <c r="I935" t="s">
        <v>1302</v>
      </c>
      <c r="J935" t="s">
        <v>1441</v>
      </c>
      <c r="K935" t="s">
        <v>1446</v>
      </c>
      <c r="L935" t="s">
        <v>1459</v>
      </c>
      <c r="M935" t="s">
        <v>1462</v>
      </c>
      <c r="N935" t="s">
        <v>1468</v>
      </c>
    </row>
    <row r="936" spans="1:14" x14ac:dyDescent="0.25">
      <c r="A936" t="s">
        <v>948</v>
      </c>
      <c r="B936">
        <v>51</v>
      </c>
      <c r="C936">
        <v>5</v>
      </c>
      <c r="D936">
        <v>22000</v>
      </c>
      <c r="E936">
        <v>0</v>
      </c>
      <c r="F936">
        <v>3</v>
      </c>
      <c r="G936">
        <v>110000</v>
      </c>
      <c r="H936" t="s">
        <v>1976</v>
      </c>
      <c r="I936" t="s">
        <v>1254</v>
      </c>
      <c r="J936" t="s">
        <v>1442</v>
      </c>
      <c r="K936" t="s">
        <v>1447</v>
      </c>
      <c r="L936" t="s">
        <v>1454</v>
      </c>
      <c r="M936" t="s">
        <v>1462</v>
      </c>
      <c r="N936" t="s">
        <v>1467</v>
      </c>
    </row>
    <row r="937" spans="1:14" x14ac:dyDescent="0.25">
      <c r="A937" t="s">
        <v>949</v>
      </c>
      <c r="B937">
        <v>54</v>
      </c>
      <c r="C937">
        <v>2</v>
      </c>
      <c r="D937">
        <v>23000</v>
      </c>
      <c r="E937">
        <v>0</v>
      </c>
      <c r="F937">
        <v>1.9</v>
      </c>
      <c r="G937">
        <v>46000</v>
      </c>
      <c r="H937" t="s">
        <v>1977</v>
      </c>
      <c r="I937" t="s">
        <v>1312</v>
      </c>
      <c r="J937" t="s">
        <v>1441</v>
      </c>
      <c r="K937" t="s">
        <v>1446</v>
      </c>
      <c r="L937" t="s">
        <v>1456</v>
      </c>
      <c r="M937" t="s">
        <v>1463</v>
      </c>
      <c r="N937" t="s">
        <v>1468</v>
      </c>
    </row>
    <row r="938" spans="1:14" x14ac:dyDescent="0.25">
      <c r="A938" t="s">
        <v>950</v>
      </c>
      <c r="B938">
        <v>17</v>
      </c>
      <c r="C938">
        <v>1</v>
      </c>
      <c r="D938">
        <v>18000</v>
      </c>
      <c r="E938">
        <v>10</v>
      </c>
      <c r="F938">
        <v>4</v>
      </c>
      <c r="G938">
        <v>16200</v>
      </c>
      <c r="H938" t="s">
        <v>1977</v>
      </c>
      <c r="I938" t="s">
        <v>1340</v>
      </c>
      <c r="J938" t="s">
        <v>1441</v>
      </c>
      <c r="K938" t="s">
        <v>1446</v>
      </c>
      <c r="L938" t="s">
        <v>1461</v>
      </c>
      <c r="M938" t="s">
        <v>1462</v>
      </c>
      <c r="N938" t="s">
        <v>1468</v>
      </c>
    </row>
    <row r="939" spans="1:14" x14ac:dyDescent="0.25">
      <c r="A939" t="s">
        <v>951</v>
      </c>
      <c r="B939">
        <v>38</v>
      </c>
      <c r="C939">
        <v>5</v>
      </c>
      <c r="D939">
        <v>18000</v>
      </c>
      <c r="E939">
        <v>15</v>
      </c>
      <c r="F939">
        <v>3.1</v>
      </c>
      <c r="G939">
        <v>76500</v>
      </c>
      <c r="H939" t="s">
        <v>1977</v>
      </c>
      <c r="I939" t="s">
        <v>1376</v>
      </c>
      <c r="J939" t="s">
        <v>1445</v>
      </c>
      <c r="K939" t="s">
        <v>1450</v>
      </c>
      <c r="L939" t="s">
        <v>1460</v>
      </c>
      <c r="M939" t="s">
        <v>1463</v>
      </c>
      <c r="N939" t="s">
        <v>1467</v>
      </c>
    </row>
    <row r="940" spans="1:14" x14ac:dyDescent="0.25">
      <c r="A940" t="s">
        <v>952</v>
      </c>
      <c r="B940">
        <v>28</v>
      </c>
      <c r="C940">
        <v>5</v>
      </c>
      <c r="D940">
        <v>30000</v>
      </c>
      <c r="E940">
        <v>20</v>
      </c>
      <c r="F940">
        <v>2.4</v>
      </c>
      <c r="G940">
        <v>120000</v>
      </c>
      <c r="H940" t="s">
        <v>1978</v>
      </c>
      <c r="I940" t="s">
        <v>1375</v>
      </c>
      <c r="J940" t="s">
        <v>1442</v>
      </c>
      <c r="K940" t="s">
        <v>1447</v>
      </c>
      <c r="L940" t="s">
        <v>1453</v>
      </c>
      <c r="M940" t="s">
        <v>1463</v>
      </c>
      <c r="N940" t="s">
        <v>1466</v>
      </c>
    </row>
    <row r="941" spans="1:14" x14ac:dyDescent="0.25">
      <c r="A941" t="s">
        <v>953</v>
      </c>
      <c r="B941">
        <v>19</v>
      </c>
      <c r="C941">
        <v>3</v>
      </c>
      <c r="D941">
        <v>25000</v>
      </c>
      <c r="E941">
        <v>15</v>
      </c>
      <c r="F941">
        <v>1.4</v>
      </c>
      <c r="G941">
        <v>63750</v>
      </c>
      <c r="H941" t="s">
        <v>1979</v>
      </c>
      <c r="I941" t="s">
        <v>1281</v>
      </c>
      <c r="J941" t="s">
        <v>1441</v>
      </c>
      <c r="K941" t="s">
        <v>1446</v>
      </c>
      <c r="L941" t="s">
        <v>1452</v>
      </c>
      <c r="M941" t="s">
        <v>1462</v>
      </c>
      <c r="N941" t="s">
        <v>1466</v>
      </c>
    </row>
    <row r="942" spans="1:14" x14ac:dyDescent="0.25">
      <c r="A942" t="s">
        <v>954</v>
      </c>
      <c r="B942">
        <v>30</v>
      </c>
      <c r="C942">
        <v>4</v>
      </c>
      <c r="D942">
        <v>22000</v>
      </c>
      <c r="E942">
        <v>15</v>
      </c>
      <c r="F942">
        <v>4.7</v>
      </c>
      <c r="G942">
        <v>74800</v>
      </c>
      <c r="H942" t="s">
        <v>1980</v>
      </c>
      <c r="I942" t="s">
        <v>1357</v>
      </c>
      <c r="J942" t="s">
        <v>1443</v>
      </c>
      <c r="K942" t="s">
        <v>1448</v>
      </c>
      <c r="L942" t="s">
        <v>1454</v>
      </c>
      <c r="M942" t="s">
        <v>1462</v>
      </c>
      <c r="N942" t="s">
        <v>1466</v>
      </c>
    </row>
    <row r="943" spans="1:14" x14ac:dyDescent="0.25">
      <c r="A943" t="s">
        <v>955</v>
      </c>
      <c r="B943">
        <v>23</v>
      </c>
      <c r="C943">
        <v>5</v>
      </c>
      <c r="D943">
        <v>32000</v>
      </c>
      <c r="E943">
        <v>0</v>
      </c>
      <c r="F943">
        <v>3.5</v>
      </c>
      <c r="G943">
        <v>160000</v>
      </c>
      <c r="H943" t="s">
        <v>1981</v>
      </c>
      <c r="I943" t="s">
        <v>1348</v>
      </c>
      <c r="J943" t="s">
        <v>1444</v>
      </c>
      <c r="K943" t="s">
        <v>1449</v>
      </c>
      <c r="L943" t="s">
        <v>1457</v>
      </c>
      <c r="M943" t="s">
        <v>1463</v>
      </c>
      <c r="N943" t="s">
        <v>1466</v>
      </c>
    </row>
    <row r="944" spans="1:14" x14ac:dyDescent="0.25">
      <c r="A944" t="s">
        <v>956</v>
      </c>
      <c r="B944">
        <v>20</v>
      </c>
      <c r="C944">
        <v>3</v>
      </c>
      <c r="D944">
        <v>25000</v>
      </c>
      <c r="E944">
        <v>5</v>
      </c>
      <c r="F944">
        <v>4</v>
      </c>
      <c r="G944">
        <v>71250</v>
      </c>
      <c r="H944" t="s">
        <v>1981</v>
      </c>
      <c r="I944" t="s">
        <v>1347</v>
      </c>
      <c r="J944" t="s">
        <v>1444</v>
      </c>
      <c r="K944" t="s">
        <v>1449</v>
      </c>
      <c r="L944" t="s">
        <v>1452</v>
      </c>
      <c r="M944" t="s">
        <v>1462</v>
      </c>
      <c r="N944" t="s">
        <v>1465</v>
      </c>
    </row>
    <row r="945" spans="1:14" x14ac:dyDescent="0.25">
      <c r="A945" t="s">
        <v>957</v>
      </c>
      <c r="B945">
        <v>27</v>
      </c>
      <c r="C945">
        <v>3</v>
      </c>
      <c r="D945">
        <v>22000</v>
      </c>
      <c r="E945">
        <v>20</v>
      </c>
      <c r="F945">
        <v>4.3</v>
      </c>
      <c r="G945">
        <v>52800</v>
      </c>
      <c r="H945" t="s">
        <v>1981</v>
      </c>
      <c r="I945" t="s">
        <v>1418</v>
      </c>
      <c r="J945" t="s">
        <v>1444</v>
      </c>
      <c r="K945" t="s">
        <v>1449</v>
      </c>
      <c r="L945" t="s">
        <v>1454</v>
      </c>
      <c r="M945" t="s">
        <v>1462</v>
      </c>
      <c r="N945" t="s">
        <v>1467</v>
      </c>
    </row>
    <row r="946" spans="1:14" x14ac:dyDescent="0.25">
      <c r="A946" t="s">
        <v>958</v>
      </c>
      <c r="B946">
        <v>35</v>
      </c>
      <c r="C946">
        <v>5</v>
      </c>
      <c r="D946">
        <v>32000</v>
      </c>
      <c r="E946">
        <v>0</v>
      </c>
      <c r="F946">
        <v>3.5</v>
      </c>
      <c r="G946">
        <v>160000</v>
      </c>
      <c r="H946" t="s">
        <v>1982</v>
      </c>
      <c r="I946" t="s">
        <v>1423</v>
      </c>
      <c r="J946" t="s">
        <v>1441</v>
      </c>
      <c r="K946" t="s">
        <v>1446</v>
      </c>
      <c r="L946" t="s">
        <v>1457</v>
      </c>
      <c r="M946" t="s">
        <v>1463</v>
      </c>
      <c r="N946" t="s">
        <v>1468</v>
      </c>
    </row>
    <row r="947" spans="1:14" x14ac:dyDescent="0.25">
      <c r="A947" t="s">
        <v>959</v>
      </c>
      <c r="B947">
        <v>33</v>
      </c>
      <c r="C947">
        <v>2</v>
      </c>
      <c r="D947">
        <v>18000</v>
      </c>
      <c r="E947">
        <v>0</v>
      </c>
      <c r="F947">
        <v>2.4</v>
      </c>
      <c r="G947">
        <v>36000</v>
      </c>
      <c r="H947" t="s">
        <v>1983</v>
      </c>
      <c r="I947" t="s">
        <v>1253</v>
      </c>
      <c r="J947" t="s">
        <v>1444</v>
      </c>
      <c r="K947" t="s">
        <v>1449</v>
      </c>
      <c r="L947" t="s">
        <v>1461</v>
      </c>
      <c r="M947" t="s">
        <v>1462</v>
      </c>
      <c r="N947" t="s">
        <v>1465</v>
      </c>
    </row>
    <row r="948" spans="1:14" x14ac:dyDescent="0.25">
      <c r="A948" t="s">
        <v>960</v>
      </c>
      <c r="B948">
        <v>45</v>
      </c>
      <c r="C948">
        <v>2</v>
      </c>
      <c r="D948">
        <v>20000</v>
      </c>
      <c r="E948">
        <v>0</v>
      </c>
      <c r="F948">
        <v>5</v>
      </c>
      <c r="G948">
        <v>40000</v>
      </c>
      <c r="H948" t="s">
        <v>1983</v>
      </c>
      <c r="I948" t="s">
        <v>1249</v>
      </c>
      <c r="J948" t="s">
        <v>1441</v>
      </c>
      <c r="K948" t="s">
        <v>1446</v>
      </c>
      <c r="L948" t="s">
        <v>1459</v>
      </c>
      <c r="M948" t="s">
        <v>1462</v>
      </c>
      <c r="N948" t="s">
        <v>1466</v>
      </c>
    </row>
    <row r="949" spans="1:14" x14ac:dyDescent="0.25">
      <c r="A949" t="s">
        <v>961</v>
      </c>
      <c r="B949">
        <v>49</v>
      </c>
      <c r="C949">
        <v>1</v>
      </c>
      <c r="D949">
        <v>18000</v>
      </c>
      <c r="E949">
        <v>0</v>
      </c>
      <c r="F949">
        <v>2.6</v>
      </c>
      <c r="G949">
        <v>18000</v>
      </c>
      <c r="H949" t="s">
        <v>1983</v>
      </c>
      <c r="I949" t="s">
        <v>1381</v>
      </c>
      <c r="J949" t="s">
        <v>1443</v>
      </c>
      <c r="K949" t="s">
        <v>1448</v>
      </c>
      <c r="L949" t="s">
        <v>1460</v>
      </c>
      <c r="M949" t="s">
        <v>1463</v>
      </c>
      <c r="N949" t="s">
        <v>1465</v>
      </c>
    </row>
    <row r="950" spans="1:14" x14ac:dyDescent="0.25">
      <c r="A950" t="s">
        <v>962</v>
      </c>
      <c r="B950">
        <v>22</v>
      </c>
      <c r="C950">
        <v>1</v>
      </c>
      <c r="D950">
        <v>27000</v>
      </c>
      <c r="E950">
        <v>0</v>
      </c>
      <c r="F950">
        <v>4.5</v>
      </c>
      <c r="G950">
        <v>27000</v>
      </c>
      <c r="H950" t="s">
        <v>1983</v>
      </c>
      <c r="I950" t="s">
        <v>1325</v>
      </c>
      <c r="J950" t="s">
        <v>1443</v>
      </c>
      <c r="K950" t="s">
        <v>1448</v>
      </c>
      <c r="L950" t="s">
        <v>1458</v>
      </c>
      <c r="M950" t="s">
        <v>1464</v>
      </c>
      <c r="N950" t="s">
        <v>1467</v>
      </c>
    </row>
    <row r="951" spans="1:14" x14ac:dyDescent="0.25">
      <c r="A951" t="s">
        <v>963</v>
      </c>
      <c r="B951">
        <v>30</v>
      </c>
      <c r="C951">
        <v>2</v>
      </c>
      <c r="D951">
        <v>25000</v>
      </c>
      <c r="E951">
        <v>5</v>
      </c>
      <c r="F951">
        <v>4.3</v>
      </c>
      <c r="G951">
        <v>47500</v>
      </c>
      <c r="H951" t="s">
        <v>1984</v>
      </c>
      <c r="I951" t="s">
        <v>1355</v>
      </c>
      <c r="J951" t="s">
        <v>1444</v>
      </c>
      <c r="K951" t="s">
        <v>1449</v>
      </c>
      <c r="L951" t="s">
        <v>1452</v>
      </c>
      <c r="M951" t="s">
        <v>1462</v>
      </c>
      <c r="N951" t="s">
        <v>1468</v>
      </c>
    </row>
    <row r="952" spans="1:14" x14ac:dyDescent="0.25">
      <c r="A952" t="s">
        <v>964</v>
      </c>
      <c r="B952">
        <v>20</v>
      </c>
      <c r="C952">
        <v>3</v>
      </c>
      <c r="D952">
        <v>18000</v>
      </c>
      <c r="E952">
        <v>20</v>
      </c>
      <c r="F952">
        <v>2.9</v>
      </c>
      <c r="G952">
        <v>43200</v>
      </c>
      <c r="H952" t="s">
        <v>1985</v>
      </c>
      <c r="I952" t="s">
        <v>1262</v>
      </c>
      <c r="J952" t="s">
        <v>1445</v>
      </c>
      <c r="K952" t="s">
        <v>1450</v>
      </c>
      <c r="L952" t="s">
        <v>1460</v>
      </c>
      <c r="M952" t="s">
        <v>1463</v>
      </c>
      <c r="N952" t="s">
        <v>1465</v>
      </c>
    </row>
    <row r="953" spans="1:14" x14ac:dyDescent="0.25">
      <c r="A953" t="s">
        <v>965</v>
      </c>
      <c r="B953">
        <v>37</v>
      </c>
      <c r="C953">
        <v>1</v>
      </c>
      <c r="D953">
        <v>28000</v>
      </c>
      <c r="E953">
        <v>0</v>
      </c>
      <c r="F953">
        <v>2.7</v>
      </c>
      <c r="G953">
        <v>28000</v>
      </c>
      <c r="H953" t="s">
        <v>1986</v>
      </c>
      <c r="I953" t="s">
        <v>1406</v>
      </c>
      <c r="J953" t="s">
        <v>1443</v>
      </c>
      <c r="K953" t="s">
        <v>1448</v>
      </c>
      <c r="L953" t="s">
        <v>1455</v>
      </c>
      <c r="M953" t="s">
        <v>1464</v>
      </c>
      <c r="N953" t="s">
        <v>1468</v>
      </c>
    </row>
    <row r="954" spans="1:14" x14ac:dyDescent="0.25">
      <c r="A954" t="s">
        <v>966</v>
      </c>
      <c r="B954">
        <v>53</v>
      </c>
      <c r="C954">
        <v>4</v>
      </c>
      <c r="D954">
        <v>20000</v>
      </c>
      <c r="E954">
        <v>5</v>
      </c>
      <c r="F954">
        <v>4.5</v>
      </c>
      <c r="G954">
        <v>76000</v>
      </c>
      <c r="H954" t="s">
        <v>1986</v>
      </c>
      <c r="I954" t="s">
        <v>1301</v>
      </c>
      <c r="J954" t="s">
        <v>1441</v>
      </c>
      <c r="K954" t="s">
        <v>1446</v>
      </c>
      <c r="L954" t="s">
        <v>1459</v>
      </c>
      <c r="M954" t="s">
        <v>1462</v>
      </c>
      <c r="N954" t="s">
        <v>1468</v>
      </c>
    </row>
    <row r="955" spans="1:14" x14ac:dyDescent="0.25">
      <c r="A955" t="s">
        <v>967</v>
      </c>
      <c r="B955">
        <v>20</v>
      </c>
      <c r="C955">
        <v>5</v>
      </c>
      <c r="D955">
        <v>23000</v>
      </c>
      <c r="E955">
        <v>0</v>
      </c>
      <c r="F955">
        <v>2</v>
      </c>
      <c r="G955">
        <v>115000</v>
      </c>
      <c r="H955" t="s">
        <v>1986</v>
      </c>
      <c r="I955" t="s">
        <v>1319</v>
      </c>
      <c r="J955" t="s">
        <v>1443</v>
      </c>
      <c r="K955" t="s">
        <v>1448</v>
      </c>
      <c r="L955" t="s">
        <v>1456</v>
      </c>
      <c r="M955" t="s">
        <v>1463</v>
      </c>
      <c r="N955" t="s">
        <v>1468</v>
      </c>
    </row>
    <row r="956" spans="1:14" x14ac:dyDescent="0.25">
      <c r="A956" t="s">
        <v>968</v>
      </c>
      <c r="B956">
        <v>53</v>
      </c>
      <c r="C956">
        <v>5</v>
      </c>
      <c r="D956">
        <v>18000</v>
      </c>
      <c r="E956">
        <v>15</v>
      </c>
      <c r="F956">
        <v>3.4</v>
      </c>
      <c r="G956">
        <v>76500</v>
      </c>
      <c r="H956" t="s">
        <v>1987</v>
      </c>
      <c r="I956" t="s">
        <v>1284</v>
      </c>
      <c r="J956" t="s">
        <v>1443</v>
      </c>
      <c r="K956" t="s">
        <v>1448</v>
      </c>
      <c r="L956" t="s">
        <v>1460</v>
      </c>
      <c r="M956" t="s">
        <v>1463</v>
      </c>
      <c r="N956" t="s">
        <v>1465</v>
      </c>
    </row>
    <row r="957" spans="1:14" x14ac:dyDescent="0.25">
      <c r="A957" t="s">
        <v>969</v>
      </c>
      <c r="B957">
        <v>49</v>
      </c>
      <c r="C957">
        <v>4</v>
      </c>
      <c r="D957">
        <v>32000</v>
      </c>
      <c r="E957">
        <v>5</v>
      </c>
      <c r="F957">
        <v>2</v>
      </c>
      <c r="G957">
        <v>121600</v>
      </c>
      <c r="H957" t="s">
        <v>1987</v>
      </c>
      <c r="I957" t="s">
        <v>1288</v>
      </c>
      <c r="J957" t="s">
        <v>1441</v>
      </c>
      <c r="K957" t="s">
        <v>1446</v>
      </c>
      <c r="L957" t="s">
        <v>1457</v>
      </c>
      <c r="M957" t="s">
        <v>1463</v>
      </c>
      <c r="N957" t="s">
        <v>1465</v>
      </c>
    </row>
    <row r="958" spans="1:14" x14ac:dyDescent="0.25">
      <c r="A958" t="s">
        <v>970</v>
      </c>
      <c r="B958">
        <v>48</v>
      </c>
      <c r="C958">
        <v>1</v>
      </c>
      <c r="D958">
        <v>25000</v>
      </c>
      <c r="E958">
        <v>0</v>
      </c>
      <c r="F958">
        <v>5</v>
      </c>
      <c r="G958">
        <v>25000</v>
      </c>
      <c r="H958" t="s">
        <v>1988</v>
      </c>
      <c r="I958" t="s">
        <v>1430</v>
      </c>
      <c r="J958" t="s">
        <v>1444</v>
      </c>
      <c r="K958" t="s">
        <v>1449</v>
      </c>
      <c r="L958" t="s">
        <v>1452</v>
      </c>
      <c r="M958" t="s">
        <v>1462</v>
      </c>
      <c r="N958" t="s">
        <v>1468</v>
      </c>
    </row>
    <row r="959" spans="1:14" x14ac:dyDescent="0.25">
      <c r="A959" t="s">
        <v>971</v>
      </c>
      <c r="B959">
        <v>54</v>
      </c>
      <c r="C959">
        <v>5</v>
      </c>
      <c r="D959">
        <v>20000</v>
      </c>
      <c r="E959">
        <v>20</v>
      </c>
      <c r="F959">
        <v>2.2000000000000002</v>
      </c>
      <c r="G959">
        <v>80000</v>
      </c>
      <c r="H959" t="s">
        <v>1988</v>
      </c>
      <c r="I959" t="s">
        <v>1273</v>
      </c>
      <c r="J959" t="s">
        <v>1442</v>
      </c>
      <c r="K959" t="s">
        <v>1447</v>
      </c>
      <c r="L959" t="s">
        <v>1459</v>
      </c>
      <c r="M959" t="s">
        <v>1462</v>
      </c>
      <c r="N959" t="s">
        <v>1466</v>
      </c>
    </row>
    <row r="960" spans="1:14" x14ac:dyDescent="0.25">
      <c r="A960" t="s">
        <v>972</v>
      </c>
      <c r="B960">
        <v>33</v>
      </c>
      <c r="C960">
        <v>4</v>
      </c>
      <c r="D960">
        <v>25000</v>
      </c>
      <c r="E960">
        <v>0</v>
      </c>
      <c r="F960">
        <v>2.2999999999999998</v>
      </c>
      <c r="G960">
        <v>100000</v>
      </c>
      <c r="H960" t="s">
        <v>1989</v>
      </c>
      <c r="I960" t="s">
        <v>1285</v>
      </c>
      <c r="J960" t="s">
        <v>1443</v>
      </c>
      <c r="K960" t="s">
        <v>1448</v>
      </c>
      <c r="L960" t="s">
        <v>1452</v>
      </c>
      <c r="M960" t="s">
        <v>1462</v>
      </c>
      <c r="N960" t="s">
        <v>1467</v>
      </c>
    </row>
    <row r="961" spans="1:14" x14ac:dyDescent="0.25">
      <c r="A961" t="s">
        <v>973</v>
      </c>
      <c r="B961">
        <v>26</v>
      </c>
      <c r="C961">
        <v>1</v>
      </c>
      <c r="D961">
        <v>25000</v>
      </c>
      <c r="E961">
        <v>5</v>
      </c>
      <c r="F961">
        <v>1.8</v>
      </c>
      <c r="G961">
        <v>23750</v>
      </c>
      <c r="H961" t="s">
        <v>1989</v>
      </c>
      <c r="I961" t="s">
        <v>1436</v>
      </c>
      <c r="J961" t="s">
        <v>1445</v>
      </c>
      <c r="K961" t="s">
        <v>1450</v>
      </c>
      <c r="L961" t="s">
        <v>1452</v>
      </c>
      <c r="M961" t="s">
        <v>1462</v>
      </c>
      <c r="N961" t="s">
        <v>1465</v>
      </c>
    </row>
    <row r="962" spans="1:14" x14ac:dyDescent="0.25">
      <c r="A962" t="s">
        <v>974</v>
      </c>
      <c r="B962">
        <v>30</v>
      </c>
      <c r="C962">
        <v>3</v>
      </c>
      <c r="D962">
        <v>20000</v>
      </c>
      <c r="E962">
        <v>10</v>
      </c>
      <c r="F962">
        <v>1.4</v>
      </c>
      <c r="G962">
        <v>54000</v>
      </c>
      <c r="H962" t="s">
        <v>1989</v>
      </c>
      <c r="I962" t="s">
        <v>1425</v>
      </c>
      <c r="J962" t="s">
        <v>1442</v>
      </c>
      <c r="K962" t="s">
        <v>1447</v>
      </c>
      <c r="L962" t="s">
        <v>1459</v>
      </c>
      <c r="M962" t="s">
        <v>1462</v>
      </c>
      <c r="N962" t="s">
        <v>1468</v>
      </c>
    </row>
    <row r="963" spans="1:14" x14ac:dyDescent="0.25">
      <c r="A963" t="s">
        <v>975</v>
      </c>
      <c r="B963">
        <v>45</v>
      </c>
      <c r="C963">
        <v>3</v>
      </c>
      <c r="D963">
        <v>32000</v>
      </c>
      <c r="E963">
        <v>10</v>
      </c>
      <c r="F963">
        <v>3.4</v>
      </c>
      <c r="G963">
        <v>86400</v>
      </c>
      <c r="H963" t="s">
        <v>1990</v>
      </c>
      <c r="I963" t="s">
        <v>1270</v>
      </c>
      <c r="J963" t="s">
        <v>1443</v>
      </c>
      <c r="K963" t="s">
        <v>1448</v>
      </c>
      <c r="L963" t="s">
        <v>1457</v>
      </c>
      <c r="M963" t="s">
        <v>1463</v>
      </c>
      <c r="N963" t="s">
        <v>1465</v>
      </c>
    </row>
    <row r="964" spans="1:14" x14ac:dyDescent="0.25">
      <c r="A964" t="s">
        <v>976</v>
      </c>
      <c r="B964">
        <v>23</v>
      </c>
      <c r="C964">
        <v>3</v>
      </c>
      <c r="D964">
        <v>20000</v>
      </c>
      <c r="E964">
        <v>10</v>
      </c>
      <c r="F964">
        <v>2.2000000000000002</v>
      </c>
      <c r="G964">
        <v>54000</v>
      </c>
      <c r="H964" t="s">
        <v>1991</v>
      </c>
      <c r="I964" t="s">
        <v>1342</v>
      </c>
      <c r="J964" t="s">
        <v>1445</v>
      </c>
      <c r="K964" t="s">
        <v>1450</v>
      </c>
      <c r="L964" t="s">
        <v>1459</v>
      </c>
      <c r="M964" t="s">
        <v>1462</v>
      </c>
      <c r="N964" t="s">
        <v>1465</v>
      </c>
    </row>
    <row r="965" spans="1:14" x14ac:dyDescent="0.25">
      <c r="A965" t="s">
        <v>977</v>
      </c>
      <c r="B965">
        <v>30</v>
      </c>
      <c r="C965">
        <v>3</v>
      </c>
      <c r="D965">
        <v>28000</v>
      </c>
      <c r="E965">
        <v>0</v>
      </c>
      <c r="F965">
        <v>3.7</v>
      </c>
      <c r="G965">
        <v>84000</v>
      </c>
      <c r="H965" t="s">
        <v>1992</v>
      </c>
      <c r="I965" t="s">
        <v>1265</v>
      </c>
      <c r="J965" t="s">
        <v>1444</v>
      </c>
      <c r="K965" t="s">
        <v>1449</v>
      </c>
      <c r="L965" t="s">
        <v>1455</v>
      </c>
      <c r="M965" t="s">
        <v>1464</v>
      </c>
      <c r="N965" t="s">
        <v>1466</v>
      </c>
    </row>
    <row r="966" spans="1:14" x14ac:dyDescent="0.25">
      <c r="A966" t="s">
        <v>978</v>
      </c>
      <c r="B966">
        <v>48</v>
      </c>
      <c r="C966">
        <v>5</v>
      </c>
      <c r="D966">
        <v>23000</v>
      </c>
      <c r="E966">
        <v>15</v>
      </c>
      <c r="F966">
        <v>1.2</v>
      </c>
      <c r="G966">
        <v>97750</v>
      </c>
      <c r="H966" t="s">
        <v>1992</v>
      </c>
      <c r="I966" t="s">
        <v>1298</v>
      </c>
      <c r="J966" t="s">
        <v>1441</v>
      </c>
      <c r="K966" t="s">
        <v>1446</v>
      </c>
      <c r="L966" t="s">
        <v>1456</v>
      </c>
      <c r="M966" t="s">
        <v>1463</v>
      </c>
      <c r="N966" t="s">
        <v>1465</v>
      </c>
    </row>
    <row r="967" spans="1:14" x14ac:dyDescent="0.25">
      <c r="A967" t="s">
        <v>979</v>
      </c>
      <c r="B967">
        <v>40</v>
      </c>
      <c r="C967">
        <v>4</v>
      </c>
      <c r="D967">
        <v>22000</v>
      </c>
      <c r="E967">
        <v>0</v>
      </c>
      <c r="F967">
        <v>3.5</v>
      </c>
      <c r="G967">
        <v>88000</v>
      </c>
      <c r="H967" t="s">
        <v>1993</v>
      </c>
      <c r="I967" t="s">
        <v>1326</v>
      </c>
      <c r="J967" t="s">
        <v>1441</v>
      </c>
      <c r="K967" t="s">
        <v>1446</v>
      </c>
      <c r="L967" t="s">
        <v>1454</v>
      </c>
      <c r="M967" t="s">
        <v>1462</v>
      </c>
      <c r="N967" t="s">
        <v>1466</v>
      </c>
    </row>
    <row r="968" spans="1:14" x14ac:dyDescent="0.25">
      <c r="A968" t="s">
        <v>980</v>
      </c>
      <c r="B968">
        <v>52</v>
      </c>
      <c r="C968">
        <v>5</v>
      </c>
      <c r="D968">
        <v>23000</v>
      </c>
      <c r="E968">
        <v>0</v>
      </c>
      <c r="F968">
        <v>2.1</v>
      </c>
      <c r="G968">
        <v>115000</v>
      </c>
      <c r="H968" t="s">
        <v>1994</v>
      </c>
      <c r="I968" t="s">
        <v>1414</v>
      </c>
      <c r="J968" t="s">
        <v>1445</v>
      </c>
      <c r="K968" t="s">
        <v>1450</v>
      </c>
      <c r="L968" t="s">
        <v>1456</v>
      </c>
      <c r="M968" t="s">
        <v>1463</v>
      </c>
      <c r="N968" t="s">
        <v>1465</v>
      </c>
    </row>
    <row r="969" spans="1:14" x14ac:dyDescent="0.25">
      <c r="A969" t="s">
        <v>981</v>
      </c>
      <c r="B969">
        <v>24</v>
      </c>
      <c r="C969">
        <v>3</v>
      </c>
      <c r="D969">
        <v>28000</v>
      </c>
      <c r="E969">
        <v>20</v>
      </c>
      <c r="F969">
        <v>1.6</v>
      </c>
      <c r="G969">
        <v>67200</v>
      </c>
      <c r="H969" t="s">
        <v>1994</v>
      </c>
      <c r="I969" t="s">
        <v>1313</v>
      </c>
      <c r="J969" t="s">
        <v>1444</v>
      </c>
      <c r="K969" t="s">
        <v>1449</v>
      </c>
      <c r="L969" t="s">
        <v>1455</v>
      </c>
      <c r="M969" t="s">
        <v>1464</v>
      </c>
      <c r="N969" t="s">
        <v>1465</v>
      </c>
    </row>
    <row r="970" spans="1:14" x14ac:dyDescent="0.25">
      <c r="A970" t="s">
        <v>982</v>
      </c>
      <c r="B970">
        <v>50</v>
      </c>
      <c r="C970">
        <v>4</v>
      </c>
      <c r="D970">
        <v>28000</v>
      </c>
      <c r="E970">
        <v>0</v>
      </c>
      <c r="F970">
        <v>4.3</v>
      </c>
      <c r="G970">
        <v>112000</v>
      </c>
      <c r="H970" t="s">
        <v>1995</v>
      </c>
      <c r="I970" t="s">
        <v>1396</v>
      </c>
      <c r="J970" t="s">
        <v>1444</v>
      </c>
      <c r="K970" t="s">
        <v>1449</v>
      </c>
      <c r="L970" t="s">
        <v>1455</v>
      </c>
      <c r="M970" t="s">
        <v>1464</v>
      </c>
      <c r="N970" t="s">
        <v>1467</v>
      </c>
    </row>
    <row r="971" spans="1:14" x14ac:dyDescent="0.25">
      <c r="A971" t="s">
        <v>983</v>
      </c>
      <c r="B971">
        <v>52</v>
      </c>
      <c r="C971">
        <v>2</v>
      </c>
      <c r="D971">
        <v>18000</v>
      </c>
      <c r="E971">
        <v>10</v>
      </c>
      <c r="F971">
        <v>1.8</v>
      </c>
      <c r="G971">
        <v>32400</v>
      </c>
      <c r="H971" t="s">
        <v>1995</v>
      </c>
      <c r="I971" t="s">
        <v>1365</v>
      </c>
      <c r="J971" t="s">
        <v>1441</v>
      </c>
      <c r="K971" t="s">
        <v>1446</v>
      </c>
      <c r="L971" t="s">
        <v>1460</v>
      </c>
      <c r="M971" t="s">
        <v>1463</v>
      </c>
      <c r="N971" t="s">
        <v>1468</v>
      </c>
    </row>
    <row r="972" spans="1:14" x14ac:dyDescent="0.25">
      <c r="A972" t="s">
        <v>984</v>
      </c>
      <c r="B972">
        <v>31</v>
      </c>
      <c r="C972">
        <v>1</v>
      </c>
      <c r="D972">
        <v>22000</v>
      </c>
      <c r="E972">
        <v>0</v>
      </c>
      <c r="F972">
        <v>3.7</v>
      </c>
      <c r="G972">
        <v>22000</v>
      </c>
      <c r="H972" t="s">
        <v>1996</v>
      </c>
      <c r="I972" t="s">
        <v>1385</v>
      </c>
      <c r="J972" t="s">
        <v>1442</v>
      </c>
      <c r="K972" t="s">
        <v>1447</v>
      </c>
      <c r="L972" t="s">
        <v>1454</v>
      </c>
      <c r="M972" t="s">
        <v>1462</v>
      </c>
      <c r="N972" t="s">
        <v>1466</v>
      </c>
    </row>
    <row r="973" spans="1:14" x14ac:dyDescent="0.25">
      <c r="A973" t="s">
        <v>985</v>
      </c>
      <c r="B973">
        <v>20</v>
      </c>
      <c r="C973">
        <v>3</v>
      </c>
      <c r="D973">
        <v>20000</v>
      </c>
      <c r="E973">
        <v>0</v>
      </c>
      <c r="F973">
        <v>4.5999999999999996</v>
      </c>
      <c r="G973">
        <v>60000</v>
      </c>
      <c r="H973" t="s">
        <v>1997</v>
      </c>
      <c r="I973" t="s">
        <v>1287</v>
      </c>
      <c r="J973" t="s">
        <v>1442</v>
      </c>
      <c r="K973" t="s">
        <v>1447</v>
      </c>
      <c r="L973" t="s">
        <v>1459</v>
      </c>
      <c r="M973" t="s">
        <v>1462</v>
      </c>
      <c r="N973" t="s">
        <v>1467</v>
      </c>
    </row>
    <row r="974" spans="1:14" x14ac:dyDescent="0.25">
      <c r="A974" t="s">
        <v>986</v>
      </c>
      <c r="B974">
        <v>30</v>
      </c>
      <c r="C974">
        <v>1</v>
      </c>
      <c r="D974">
        <v>18000</v>
      </c>
      <c r="E974">
        <v>0</v>
      </c>
      <c r="F974">
        <v>4.4000000000000004</v>
      </c>
      <c r="G974">
        <v>18000</v>
      </c>
      <c r="H974" t="s">
        <v>1998</v>
      </c>
      <c r="I974" t="s">
        <v>1265</v>
      </c>
      <c r="J974" t="s">
        <v>1443</v>
      </c>
      <c r="K974" t="s">
        <v>1448</v>
      </c>
      <c r="L974" t="s">
        <v>1460</v>
      </c>
      <c r="M974" t="s">
        <v>1463</v>
      </c>
      <c r="N974" t="s">
        <v>1468</v>
      </c>
    </row>
    <row r="975" spans="1:14" x14ac:dyDescent="0.25">
      <c r="A975" t="s">
        <v>987</v>
      </c>
      <c r="B975">
        <v>53</v>
      </c>
      <c r="C975">
        <v>5</v>
      </c>
      <c r="D975">
        <v>18000</v>
      </c>
      <c r="E975">
        <v>0</v>
      </c>
      <c r="F975">
        <v>1</v>
      </c>
      <c r="G975">
        <v>90000</v>
      </c>
      <c r="H975" t="s">
        <v>1998</v>
      </c>
      <c r="I975" t="s">
        <v>1324</v>
      </c>
      <c r="J975" t="s">
        <v>1442</v>
      </c>
      <c r="K975" t="s">
        <v>1447</v>
      </c>
      <c r="L975" t="s">
        <v>1461</v>
      </c>
      <c r="M975" t="s">
        <v>1462</v>
      </c>
      <c r="N975" t="s">
        <v>1467</v>
      </c>
    </row>
    <row r="976" spans="1:14" x14ac:dyDescent="0.25">
      <c r="A976" t="s">
        <v>988</v>
      </c>
      <c r="B976">
        <v>22</v>
      </c>
      <c r="C976">
        <v>5</v>
      </c>
      <c r="D976">
        <v>23000</v>
      </c>
      <c r="E976">
        <v>5</v>
      </c>
      <c r="F976">
        <v>2.2000000000000002</v>
      </c>
      <c r="G976">
        <v>109250</v>
      </c>
      <c r="H976" t="s">
        <v>1998</v>
      </c>
      <c r="I976" t="s">
        <v>1325</v>
      </c>
      <c r="J976" t="s">
        <v>1445</v>
      </c>
      <c r="K976" t="s">
        <v>1450</v>
      </c>
      <c r="L976" t="s">
        <v>1456</v>
      </c>
      <c r="M976" t="s">
        <v>1463</v>
      </c>
      <c r="N976" t="s">
        <v>1468</v>
      </c>
    </row>
    <row r="977" spans="1:14" x14ac:dyDescent="0.25">
      <c r="A977" t="s">
        <v>989</v>
      </c>
      <c r="B977">
        <v>40</v>
      </c>
      <c r="C977">
        <v>2</v>
      </c>
      <c r="D977">
        <v>25000</v>
      </c>
      <c r="E977">
        <v>10</v>
      </c>
      <c r="F977">
        <v>4</v>
      </c>
      <c r="G977">
        <v>45000</v>
      </c>
      <c r="H977" t="s">
        <v>1999</v>
      </c>
      <c r="I977" t="s">
        <v>1251</v>
      </c>
      <c r="J977" t="s">
        <v>1442</v>
      </c>
      <c r="K977" t="s">
        <v>1447</v>
      </c>
      <c r="L977" t="s">
        <v>1452</v>
      </c>
      <c r="M977" t="s">
        <v>1462</v>
      </c>
      <c r="N977" t="s">
        <v>1465</v>
      </c>
    </row>
    <row r="978" spans="1:14" x14ac:dyDescent="0.25">
      <c r="A978" t="s">
        <v>990</v>
      </c>
      <c r="B978">
        <v>34</v>
      </c>
      <c r="C978">
        <v>2</v>
      </c>
      <c r="D978">
        <v>23000</v>
      </c>
      <c r="E978">
        <v>0</v>
      </c>
      <c r="F978">
        <v>1</v>
      </c>
      <c r="G978">
        <v>46000</v>
      </c>
      <c r="H978" t="s">
        <v>2000</v>
      </c>
      <c r="I978" t="s">
        <v>1336</v>
      </c>
      <c r="J978" t="s">
        <v>1444</v>
      </c>
      <c r="K978" t="s">
        <v>1449</v>
      </c>
      <c r="L978" t="s">
        <v>1456</v>
      </c>
      <c r="M978" t="s">
        <v>1463</v>
      </c>
      <c r="N978" t="s">
        <v>1467</v>
      </c>
    </row>
    <row r="979" spans="1:14" x14ac:dyDescent="0.25">
      <c r="A979" t="s">
        <v>991</v>
      </c>
      <c r="B979">
        <v>19</v>
      </c>
      <c r="C979">
        <v>5</v>
      </c>
      <c r="D979">
        <v>20000</v>
      </c>
      <c r="E979">
        <v>0</v>
      </c>
      <c r="F979">
        <v>4.5</v>
      </c>
      <c r="G979">
        <v>100000</v>
      </c>
      <c r="H979" t="s">
        <v>2000</v>
      </c>
      <c r="I979" t="s">
        <v>1416</v>
      </c>
      <c r="J979" t="s">
        <v>1442</v>
      </c>
      <c r="K979" t="s">
        <v>1447</v>
      </c>
      <c r="L979" t="s">
        <v>1459</v>
      </c>
      <c r="M979" t="s">
        <v>1462</v>
      </c>
      <c r="N979" t="s">
        <v>1465</v>
      </c>
    </row>
    <row r="980" spans="1:14" x14ac:dyDescent="0.25">
      <c r="A980" t="s">
        <v>992</v>
      </c>
      <c r="B980">
        <v>31</v>
      </c>
      <c r="C980">
        <v>5</v>
      </c>
      <c r="D980">
        <v>28000</v>
      </c>
      <c r="E980">
        <v>0</v>
      </c>
      <c r="F980">
        <v>3.8</v>
      </c>
      <c r="G980">
        <v>140000</v>
      </c>
      <c r="H980" t="s">
        <v>2001</v>
      </c>
      <c r="I980" t="s">
        <v>1263</v>
      </c>
      <c r="J980" t="s">
        <v>1445</v>
      </c>
      <c r="K980" t="s">
        <v>1450</v>
      </c>
      <c r="L980" t="s">
        <v>1455</v>
      </c>
      <c r="M980" t="s">
        <v>1464</v>
      </c>
      <c r="N980" t="s">
        <v>1468</v>
      </c>
    </row>
    <row r="981" spans="1:14" x14ac:dyDescent="0.25">
      <c r="A981" t="s">
        <v>993</v>
      </c>
      <c r="B981">
        <v>51</v>
      </c>
      <c r="C981">
        <v>3</v>
      </c>
      <c r="D981">
        <v>25000</v>
      </c>
      <c r="E981">
        <v>0</v>
      </c>
      <c r="F981">
        <v>3.7</v>
      </c>
      <c r="G981">
        <v>75000</v>
      </c>
      <c r="H981" t="s">
        <v>2001</v>
      </c>
      <c r="I981" t="s">
        <v>1304</v>
      </c>
      <c r="J981" t="s">
        <v>1445</v>
      </c>
      <c r="K981" t="s">
        <v>1450</v>
      </c>
      <c r="L981" t="s">
        <v>1452</v>
      </c>
      <c r="M981" t="s">
        <v>1462</v>
      </c>
      <c r="N981" t="s">
        <v>1467</v>
      </c>
    </row>
    <row r="982" spans="1:14" x14ac:dyDescent="0.25">
      <c r="A982" t="s">
        <v>994</v>
      </c>
      <c r="B982">
        <v>48</v>
      </c>
      <c r="C982">
        <v>2</v>
      </c>
      <c r="D982">
        <v>23000</v>
      </c>
      <c r="E982">
        <v>0</v>
      </c>
      <c r="F982">
        <v>2.2000000000000002</v>
      </c>
      <c r="G982">
        <v>46000</v>
      </c>
      <c r="H982" t="s">
        <v>2002</v>
      </c>
      <c r="I982" t="s">
        <v>1296</v>
      </c>
      <c r="J982" t="s">
        <v>1442</v>
      </c>
      <c r="K982" t="s">
        <v>1447</v>
      </c>
      <c r="L982" t="s">
        <v>1456</v>
      </c>
      <c r="M982" t="s">
        <v>1463</v>
      </c>
      <c r="N982" t="s">
        <v>1468</v>
      </c>
    </row>
    <row r="983" spans="1:14" x14ac:dyDescent="0.25">
      <c r="A983" t="s">
        <v>995</v>
      </c>
      <c r="B983">
        <v>24</v>
      </c>
      <c r="C983">
        <v>4</v>
      </c>
      <c r="D983">
        <v>32000</v>
      </c>
      <c r="E983">
        <v>0</v>
      </c>
      <c r="F983">
        <v>4.5</v>
      </c>
      <c r="G983">
        <v>128000</v>
      </c>
      <c r="H983" t="s">
        <v>2003</v>
      </c>
      <c r="I983" t="s">
        <v>1412</v>
      </c>
      <c r="J983" t="s">
        <v>1441</v>
      </c>
      <c r="K983" t="s">
        <v>1446</v>
      </c>
      <c r="L983" t="s">
        <v>1457</v>
      </c>
      <c r="M983" t="s">
        <v>1463</v>
      </c>
      <c r="N983" t="s">
        <v>1465</v>
      </c>
    </row>
    <row r="984" spans="1:14" x14ac:dyDescent="0.25">
      <c r="A984" t="s">
        <v>996</v>
      </c>
      <c r="B984">
        <v>47</v>
      </c>
      <c r="C984">
        <v>5</v>
      </c>
      <c r="D984">
        <v>30000</v>
      </c>
      <c r="E984">
        <v>5</v>
      </c>
      <c r="F984">
        <v>1.9</v>
      </c>
      <c r="G984">
        <v>142500</v>
      </c>
      <c r="H984" t="s">
        <v>2003</v>
      </c>
      <c r="I984" t="s">
        <v>1349</v>
      </c>
      <c r="J984" t="s">
        <v>1442</v>
      </c>
      <c r="K984" t="s">
        <v>1447</v>
      </c>
      <c r="L984" t="s">
        <v>1453</v>
      </c>
      <c r="M984" t="s">
        <v>1463</v>
      </c>
      <c r="N984" t="s">
        <v>1466</v>
      </c>
    </row>
    <row r="985" spans="1:14" x14ac:dyDescent="0.25">
      <c r="A985" t="s">
        <v>997</v>
      </c>
      <c r="B985">
        <v>52</v>
      </c>
      <c r="C985">
        <v>2</v>
      </c>
      <c r="D985">
        <v>28000</v>
      </c>
      <c r="E985">
        <v>0</v>
      </c>
      <c r="F985">
        <v>2.1</v>
      </c>
      <c r="G985">
        <v>56000</v>
      </c>
      <c r="H985" t="s">
        <v>2003</v>
      </c>
      <c r="I985" t="s">
        <v>1365</v>
      </c>
      <c r="J985" t="s">
        <v>1444</v>
      </c>
      <c r="K985" t="s">
        <v>1449</v>
      </c>
      <c r="L985" t="s">
        <v>1455</v>
      </c>
      <c r="M985" t="s">
        <v>1464</v>
      </c>
      <c r="N985" t="s">
        <v>1465</v>
      </c>
    </row>
    <row r="986" spans="1:14" x14ac:dyDescent="0.25">
      <c r="A986" t="s">
        <v>998</v>
      </c>
      <c r="B986">
        <v>39</v>
      </c>
      <c r="C986">
        <v>5</v>
      </c>
      <c r="D986">
        <v>18000</v>
      </c>
      <c r="E986">
        <v>10</v>
      </c>
      <c r="F986">
        <v>1.9</v>
      </c>
      <c r="G986">
        <v>81000</v>
      </c>
      <c r="H986" t="s">
        <v>2004</v>
      </c>
      <c r="I986" t="s">
        <v>1331</v>
      </c>
      <c r="J986" t="s">
        <v>1441</v>
      </c>
      <c r="K986" t="s">
        <v>1446</v>
      </c>
      <c r="L986" t="s">
        <v>1460</v>
      </c>
      <c r="M986" t="s">
        <v>1463</v>
      </c>
      <c r="N986" t="s">
        <v>1468</v>
      </c>
    </row>
    <row r="987" spans="1:14" x14ac:dyDescent="0.25">
      <c r="A987" t="s">
        <v>999</v>
      </c>
      <c r="B987">
        <v>30</v>
      </c>
      <c r="C987">
        <v>2</v>
      </c>
      <c r="D987">
        <v>18000</v>
      </c>
      <c r="E987">
        <v>10</v>
      </c>
      <c r="F987">
        <v>4.0999999999999996</v>
      </c>
      <c r="G987">
        <v>32400</v>
      </c>
      <c r="H987" t="s">
        <v>2005</v>
      </c>
      <c r="I987" t="s">
        <v>1371</v>
      </c>
      <c r="J987" t="s">
        <v>1444</v>
      </c>
      <c r="K987" t="s">
        <v>1449</v>
      </c>
      <c r="L987" t="s">
        <v>1460</v>
      </c>
      <c r="M987" t="s">
        <v>1463</v>
      </c>
      <c r="N987" t="s">
        <v>1467</v>
      </c>
    </row>
    <row r="988" spans="1:14" x14ac:dyDescent="0.25">
      <c r="A988" t="s">
        <v>1000</v>
      </c>
      <c r="B988">
        <v>24</v>
      </c>
      <c r="C988">
        <v>1</v>
      </c>
      <c r="D988">
        <v>18000</v>
      </c>
      <c r="E988">
        <v>20</v>
      </c>
      <c r="F988">
        <v>2</v>
      </c>
      <c r="G988">
        <v>14400</v>
      </c>
      <c r="H988" t="s">
        <v>2006</v>
      </c>
      <c r="I988" t="s">
        <v>1321</v>
      </c>
      <c r="J988" t="s">
        <v>1441</v>
      </c>
      <c r="K988" t="s">
        <v>1446</v>
      </c>
      <c r="L988" t="s">
        <v>1460</v>
      </c>
      <c r="M988" t="s">
        <v>1463</v>
      </c>
      <c r="N988" t="s">
        <v>1466</v>
      </c>
    </row>
    <row r="989" spans="1:14" x14ac:dyDescent="0.25">
      <c r="A989" t="s">
        <v>1001</v>
      </c>
      <c r="B989">
        <v>24</v>
      </c>
      <c r="C989">
        <v>3</v>
      </c>
      <c r="D989">
        <v>25000</v>
      </c>
      <c r="E989">
        <v>0</v>
      </c>
      <c r="F989">
        <v>1.3</v>
      </c>
      <c r="G989">
        <v>75000</v>
      </c>
      <c r="H989" t="s">
        <v>2007</v>
      </c>
      <c r="I989" t="s">
        <v>1394</v>
      </c>
      <c r="J989" t="s">
        <v>1444</v>
      </c>
      <c r="K989" t="s">
        <v>1449</v>
      </c>
      <c r="L989" t="s">
        <v>1452</v>
      </c>
      <c r="M989" t="s">
        <v>1462</v>
      </c>
      <c r="N989" t="s">
        <v>1466</v>
      </c>
    </row>
    <row r="990" spans="1:14" x14ac:dyDescent="0.25">
      <c r="A990" t="s">
        <v>1002</v>
      </c>
      <c r="B990">
        <v>53</v>
      </c>
      <c r="C990">
        <v>4</v>
      </c>
      <c r="D990">
        <v>18000</v>
      </c>
      <c r="E990">
        <v>5</v>
      </c>
      <c r="F990">
        <v>3.8</v>
      </c>
      <c r="G990">
        <v>68400</v>
      </c>
      <c r="H990" t="s">
        <v>2008</v>
      </c>
      <c r="I990" t="s">
        <v>1301</v>
      </c>
      <c r="J990" t="s">
        <v>1441</v>
      </c>
      <c r="K990" t="s">
        <v>1446</v>
      </c>
      <c r="L990" t="s">
        <v>1461</v>
      </c>
      <c r="M990" t="s">
        <v>1462</v>
      </c>
      <c r="N990" t="s">
        <v>1467</v>
      </c>
    </row>
    <row r="991" spans="1:14" x14ac:dyDescent="0.25">
      <c r="A991" t="s">
        <v>1003</v>
      </c>
      <c r="B991">
        <v>19</v>
      </c>
      <c r="C991">
        <v>5</v>
      </c>
      <c r="D991">
        <v>18000</v>
      </c>
      <c r="E991">
        <v>0</v>
      </c>
      <c r="F991">
        <v>1.2</v>
      </c>
      <c r="G991">
        <v>90000</v>
      </c>
      <c r="H991" t="s">
        <v>2009</v>
      </c>
      <c r="I991" t="s">
        <v>1317</v>
      </c>
      <c r="J991" t="s">
        <v>1441</v>
      </c>
      <c r="K991" t="s">
        <v>1446</v>
      </c>
      <c r="L991" t="s">
        <v>1460</v>
      </c>
      <c r="M991" t="s">
        <v>1463</v>
      </c>
      <c r="N991" t="s">
        <v>1467</v>
      </c>
    </row>
    <row r="992" spans="1:14" x14ac:dyDescent="0.25">
      <c r="A992" t="s">
        <v>1004</v>
      </c>
      <c r="B992">
        <v>28</v>
      </c>
      <c r="C992">
        <v>2</v>
      </c>
      <c r="D992">
        <v>20000</v>
      </c>
      <c r="E992">
        <v>5</v>
      </c>
      <c r="F992">
        <v>2</v>
      </c>
      <c r="G992">
        <v>38000</v>
      </c>
      <c r="H992" t="s">
        <v>2010</v>
      </c>
      <c r="I992" t="s">
        <v>1375</v>
      </c>
      <c r="J992" t="s">
        <v>1445</v>
      </c>
      <c r="K992" t="s">
        <v>1450</v>
      </c>
      <c r="L992" t="s">
        <v>1459</v>
      </c>
      <c r="M992" t="s">
        <v>1462</v>
      </c>
      <c r="N992" t="s">
        <v>1467</v>
      </c>
    </row>
    <row r="993" spans="1:14" x14ac:dyDescent="0.25">
      <c r="A993" t="s">
        <v>1005</v>
      </c>
      <c r="B993">
        <v>27</v>
      </c>
      <c r="C993">
        <v>4</v>
      </c>
      <c r="D993">
        <v>20000</v>
      </c>
      <c r="E993">
        <v>0</v>
      </c>
      <c r="F993">
        <v>3.1</v>
      </c>
      <c r="G993">
        <v>80000</v>
      </c>
      <c r="H993" t="s">
        <v>2010</v>
      </c>
      <c r="I993" t="s">
        <v>1422</v>
      </c>
      <c r="J993" t="s">
        <v>1445</v>
      </c>
      <c r="K993" t="s">
        <v>1450</v>
      </c>
      <c r="L993" t="s">
        <v>1459</v>
      </c>
      <c r="M993" t="s">
        <v>1462</v>
      </c>
      <c r="N993" t="s">
        <v>1465</v>
      </c>
    </row>
    <row r="994" spans="1:14" x14ac:dyDescent="0.25">
      <c r="A994" t="s">
        <v>1006</v>
      </c>
      <c r="B994">
        <v>39</v>
      </c>
      <c r="C994">
        <v>3</v>
      </c>
      <c r="D994">
        <v>30000</v>
      </c>
      <c r="E994">
        <v>0</v>
      </c>
      <c r="F994">
        <v>1.7</v>
      </c>
      <c r="G994">
        <v>90000</v>
      </c>
      <c r="H994" t="s">
        <v>2011</v>
      </c>
      <c r="I994" t="s">
        <v>1372</v>
      </c>
      <c r="J994" t="s">
        <v>1445</v>
      </c>
      <c r="K994" t="s">
        <v>1450</v>
      </c>
      <c r="L994" t="s">
        <v>1453</v>
      </c>
      <c r="M994" t="s">
        <v>1463</v>
      </c>
      <c r="N994" t="s">
        <v>1468</v>
      </c>
    </row>
    <row r="995" spans="1:14" x14ac:dyDescent="0.25">
      <c r="A995" t="s">
        <v>1007</v>
      </c>
      <c r="B995">
        <v>40</v>
      </c>
      <c r="C995">
        <v>1</v>
      </c>
      <c r="D995">
        <v>20000</v>
      </c>
      <c r="E995">
        <v>10</v>
      </c>
      <c r="F995">
        <v>2.9</v>
      </c>
      <c r="G995">
        <v>18000</v>
      </c>
      <c r="H995" t="s">
        <v>2012</v>
      </c>
      <c r="I995" t="s">
        <v>1341</v>
      </c>
      <c r="J995" t="s">
        <v>1441</v>
      </c>
      <c r="K995" t="s">
        <v>1446</v>
      </c>
      <c r="L995" t="s">
        <v>1459</v>
      </c>
      <c r="M995" t="s">
        <v>1462</v>
      </c>
      <c r="N995" t="s">
        <v>1467</v>
      </c>
    </row>
    <row r="996" spans="1:14" x14ac:dyDescent="0.25">
      <c r="A996" t="s">
        <v>1008</v>
      </c>
      <c r="B996">
        <v>48</v>
      </c>
      <c r="C996">
        <v>3</v>
      </c>
      <c r="D996">
        <v>23000</v>
      </c>
      <c r="E996">
        <v>10</v>
      </c>
      <c r="F996">
        <v>2.8</v>
      </c>
      <c r="G996">
        <v>62100</v>
      </c>
      <c r="H996" t="s">
        <v>2012</v>
      </c>
      <c r="I996" t="s">
        <v>1266</v>
      </c>
      <c r="J996" t="s">
        <v>1445</v>
      </c>
      <c r="K996" t="s">
        <v>1450</v>
      </c>
      <c r="L996" t="s">
        <v>1456</v>
      </c>
      <c r="M996" t="s">
        <v>1463</v>
      </c>
      <c r="N996" t="s">
        <v>1468</v>
      </c>
    </row>
    <row r="997" spans="1:14" x14ac:dyDescent="0.25">
      <c r="A997" t="s">
        <v>1009</v>
      </c>
      <c r="B997">
        <v>39</v>
      </c>
      <c r="C997">
        <v>4</v>
      </c>
      <c r="D997">
        <v>27000</v>
      </c>
      <c r="E997">
        <v>0</v>
      </c>
      <c r="F997">
        <v>2</v>
      </c>
      <c r="G997">
        <v>108000</v>
      </c>
      <c r="H997" t="s">
        <v>2013</v>
      </c>
      <c r="I997" t="s">
        <v>1250</v>
      </c>
      <c r="J997" t="s">
        <v>1442</v>
      </c>
      <c r="K997" t="s">
        <v>1447</v>
      </c>
      <c r="L997" t="s">
        <v>1458</v>
      </c>
      <c r="M997" t="s">
        <v>1464</v>
      </c>
      <c r="N997" t="s">
        <v>1465</v>
      </c>
    </row>
    <row r="998" spans="1:14" x14ac:dyDescent="0.25">
      <c r="A998" t="s">
        <v>1010</v>
      </c>
      <c r="B998">
        <v>45</v>
      </c>
      <c r="C998">
        <v>3</v>
      </c>
      <c r="D998">
        <v>27000</v>
      </c>
      <c r="E998">
        <v>0</v>
      </c>
      <c r="F998">
        <v>3.7</v>
      </c>
      <c r="G998">
        <v>81000</v>
      </c>
      <c r="H998" t="s">
        <v>2013</v>
      </c>
      <c r="I998" t="s">
        <v>1415</v>
      </c>
      <c r="J998" t="s">
        <v>1441</v>
      </c>
      <c r="K998" t="s">
        <v>1446</v>
      </c>
      <c r="L998" t="s">
        <v>1458</v>
      </c>
      <c r="M998" t="s">
        <v>1464</v>
      </c>
      <c r="N998" t="s">
        <v>1467</v>
      </c>
    </row>
    <row r="999" spans="1:14" x14ac:dyDescent="0.25">
      <c r="A999" t="s">
        <v>1011</v>
      </c>
      <c r="B999">
        <v>35</v>
      </c>
      <c r="C999">
        <v>2</v>
      </c>
      <c r="D999">
        <v>25000</v>
      </c>
      <c r="E999">
        <v>5</v>
      </c>
      <c r="F999">
        <v>3.1</v>
      </c>
      <c r="G999">
        <v>47500</v>
      </c>
      <c r="H999" t="s">
        <v>2014</v>
      </c>
      <c r="I999" t="s">
        <v>1259</v>
      </c>
      <c r="J999" t="s">
        <v>1442</v>
      </c>
      <c r="K999" t="s">
        <v>1447</v>
      </c>
      <c r="L999" t="s">
        <v>1452</v>
      </c>
      <c r="M999" t="s">
        <v>1462</v>
      </c>
      <c r="N999" t="s">
        <v>1465</v>
      </c>
    </row>
    <row r="1000" spans="1:14" x14ac:dyDescent="0.25">
      <c r="A1000" t="s">
        <v>1012</v>
      </c>
      <c r="B1000">
        <v>40</v>
      </c>
      <c r="C1000">
        <v>2</v>
      </c>
      <c r="D1000">
        <v>23000</v>
      </c>
      <c r="E1000">
        <v>0</v>
      </c>
      <c r="F1000">
        <v>2.2000000000000002</v>
      </c>
      <c r="G1000">
        <v>46000</v>
      </c>
      <c r="H1000" t="s">
        <v>2014</v>
      </c>
      <c r="I1000" t="s">
        <v>1350</v>
      </c>
      <c r="J1000" t="s">
        <v>1445</v>
      </c>
      <c r="K1000" t="s">
        <v>1450</v>
      </c>
      <c r="L1000" t="s">
        <v>1456</v>
      </c>
      <c r="M1000" t="s">
        <v>1463</v>
      </c>
      <c r="N1000" t="s">
        <v>1465</v>
      </c>
    </row>
    <row r="1001" spans="1:14" x14ac:dyDescent="0.25">
      <c r="A1001" t="s">
        <v>1013</v>
      </c>
      <c r="B1001">
        <v>53</v>
      </c>
      <c r="C1001">
        <v>2</v>
      </c>
      <c r="D1001">
        <v>18000</v>
      </c>
      <c r="E1001">
        <v>0</v>
      </c>
      <c r="F1001">
        <v>3.4</v>
      </c>
      <c r="G1001">
        <v>36000</v>
      </c>
      <c r="H1001" t="s">
        <v>2015</v>
      </c>
      <c r="I1001" t="s">
        <v>1276</v>
      </c>
      <c r="J1001" t="s">
        <v>1445</v>
      </c>
      <c r="K1001" t="s">
        <v>1450</v>
      </c>
      <c r="L1001" t="s">
        <v>1460</v>
      </c>
      <c r="M1001" t="s">
        <v>1463</v>
      </c>
      <c r="N1001" t="s">
        <v>1467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0114-0727-4D5B-9A56-3AA8647EF3F1}">
  <dimension ref="A1:B6"/>
  <sheetViews>
    <sheetView workbookViewId="0">
      <selection activeCell="B4" sqref="B4"/>
    </sheetView>
  </sheetViews>
  <sheetFormatPr defaultRowHeight="15" x14ac:dyDescent="0.25"/>
  <cols>
    <col min="1" max="1" width="11.85546875" customWidth="1"/>
    <col min="2" max="2" width="20.42578125" bestFit="1" customWidth="1"/>
  </cols>
  <sheetData>
    <row r="1" spans="1:2" x14ac:dyDescent="0.25">
      <c r="A1" t="s">
        <v>1440</v>
      </c>
      <c r="B1" t="s">
        <v>4</v>
      </c>
    </row>
    <row r="2" spans="1:2" x14ac:dyDescent="0.25">
      <c r="A2" t="s">
        <v>1441</v>
      </c>
      <c r="B2" t="s">
        <v>1213</v>
      </c>
    </row>
    <row r="3" spans="1:2" x14ac:dyDescent="0.25">
      <c r="A3" t="s">
        <v>1442</v>
      </c>
      <c r="B3" t="s">
        <v>1214</v>
      </c>
    </row>
    <row r="4" spans="1:2" x14ac:dyDescent="0.25">
      <c r="A4" t="s">
        <v>1443</v>
      </c>
      <c r="B4" t="s">
        <v>1215</v>
      </c>
    </row>
    <row r="5" spans="1:2" x14ac:dyDescent="0.25">
      <c r="A5" t="s">
        <v>1444</v>
      </c>
      <c r="B5" t="s">
        <v>1216</v>
      </c>
    </row>
    <row r="6" spans="1:2" x14ac:dyDescent="0.25">
      <c r="A6" t="s">
        <v>1445</v>
      </c>
      <c r="B6" t="s">
        <v>1217</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C79C-6364-43DB-A298-F318ED32880B}">
  <dimension ref="A1:B200"/>
  <sheetViews>
    <sheetView workbookViewId="0">
      <selection activeCell="D10" sqref="D10"/>
    </sheetView>
  </sheetViews>
  <sheetFormatPr defaultRowHeight="15" x14ac:dyDescent="0.25"/>
  <cols>
    <col min="1" max="1" width="9.42578125" customWidth="1"/>
    <col min="2" max="2" width="17.42578125" customWidth="1"/>
  </cols>
  <sheetData>
    <row r="1" spans="1:2" x14ac:dyDescent="0.25">
      <c r="A1" t="s">
        <v>1240</v>
      </c>
      <c r="B1" t="s">
        <v>2</v>
      </c>
    </row>
    <row r="2" spans="1:2" x14ac:dyDescent="0.25">
      <c r="A2" t="s">
        <v>1241</v>
      </c>
      <c r="B2" t="s">
        <v>1014</v>
      </c>
    </row>
    <row r="3" spans="1:2" x14ac:dyDescent="0.25">
      <c r="A3" t="s">
        <v>1242</v>
      </c>
      <c r="B3" t="s">
        <v>1015</v>
      </c>
    </row>
    <row r="4" spans="1:2" x14ac:dyDescent="0.25">
      <c r="A4" t="s">
        <v>1243</v>
      </c>
      <c r="B4" t="s">
        <v>1016</v>
      </c>
    </row>
    <row r="5" spans="1:2" x14ac:dyDescent="0.25">
      <c r="A5" t="s">
        <v>1244</v>
      </c>
      <c r="B5" t="s">
        <v>1017</v>
      </c>
    </row>
    <row r="6" spans="1:2" x14ac:dyDescent="0.25">
      <c r="A6" t="s">
        <v>1245</v>
      </c>
      <c r="B6" t="s">
        <v>1018</v>
      </c>
    </row>
    <row r="7" spans="1:2" x14ac:dyDescent="0.25">
      <c r="A7" t="s">
        <v>1246</v>
      </c>
      <c r="B7" t="s">
        <v>1019</v>
      </c>
    </row>
    <row r="8" spans="1:2" x14ac:dyDescent="0.25">
      <c r="A8" t="s">
        <v>1247</v>
      </c>
      <c r="B8" t="s">
        <v>1020</v>
      </c>
    </row>
    <row r="9" spans="1:2" x14ac:dyDescent="0.25">
      <c r="A9" t="s">
        <v>1248</v>
      </c>
      <c r="B9" t="s">
        <v>1021</v>
      </c>
    </row>
    <row r="10" spans="1:2" x14ac:dyDescent="0.25">
      <c r="A10" t="s">
        <v>1249</v>
      </c>
      <c r="B10" t="s">
        <v>1022</v>
      </c>
    </row>
    <row r="11" spans="1:2" x14ac:dyDescent="0.25">
      <c r="A11" t="s">
        <v>1250</v>
      </c>
      <c r="B11" t="s">
        <v>1023</v>
      </c>
    </row>
    <row r="12" spans="1:2" x14ac:dyDescent="0.25">
      <c r="A12" t="s">
        <v>1251</v>
      </c>
      <c r="B12" t="s">
        <v>1024</v>
      </c>
    </row>
    <row r="13" spans="1:2" x14ac:dyDescent="0.25">
      <c r="A13" t="s">
        <v>1252</v>
      </c>
      <c r="B13" t="s">
        <v>1025</v>
      </c>
    </row>
    <row r="14" spans="1:2" x14ac:dyDescent="0.25">
      <c r="A14" t="s">
        <v>1253</v>
      </c>
      <c r="B14" t="s">
        <v>1026</v>
      </c>
    </row>
    <row r="15" spans="1:2" x14ac:dyDescent="0.25">
      <c r="A15" t="s">
        <v>1254</v>
      </c>
      <c r="B15" t="s">
        <v>1027</v>
      </c>
    </row>
    <row r="16" spans="1:2" x14ac:dyDescent="0.25">
      <c r="A16" t="s">
        <v>1255</v>
      </c>
      <c r="B16" t="s">
        <v>1028</v>
      </c>
    </row>
    <row r="17" spans="1:2" x14ac:dyDescent="0.25">
      <c r="A17" t="s">
        <v>1256</v>
      </c>
      <c r="B17" t="s">
        <v>1029</v>
      </c>
    </row>
    <row r="18" spans="1:2" x14ac:dyDescent="0.25">
      <c r="A18" t="s">
        <v>1257</v>
      </c>
      <c r="B18" t="s">
        <v>1030</v>
      </c>
    </row>
    <row r="19" spans="1:2" x14ac:dyDescent="0.25">
      <c r="A19" t="s">
        <v>1258</v>
      </c>
      <c r="B19" t="s">
        <v>1031</v>
      </c>
    </row>
    <row r="20" spans="1:2" x14ac:dyDescent="0.25">
      <c r="A20" t="s">
        <v>1259</v>
      </c>
      <c r="B20" t="s">
        <v>1032</v>
      </c>
    </row>
    <row r="21" spans="1:2" x14ac:dyDescent="0.25">
      <c r="A21" t="s">
        <v>1260</v>
      </c>
      <c r="B21" t="s">
        <v>1033</v>
      </c>
    </row>
    <row r="22" spans="1:2" x14ac:dyDescent="0.25">
      <c r="A22" t="s">
        <v>1261</v>
      </c>
      <c r="B22" t="s">
        <v>1034</v>
      </c>
    </row>
    <row r="23" spans="1:2" x14ac:dyDescent="0.25">
      <c r="A23" t="s">
        <v>1262</v>
      </c>
      <c r="B23" t="s">
        <v>1035</v>
      </c>
    </row>
    <row r="24" spans="1:2" x14ac:dyDescent="0.25">
      <c r="A24" t="s">
        <v>1263</v>
      </c>
      <c r="B24" t="s">
        <v>1036</v>
      </c>
    </row>
    <row r="25" spans="1:2" x14ac:dyDescent="0.25">
      <c r="A25" t="s">
        <v>1264</v>
      </c>
      <c r="B25" t="s">
        <v>1037</v>
      </c>
    </row>
    <row r="26" spans="1:2" x14ac:dyDescent="0.25">
      <c r="A26" t="s">
        <v>1265</v>
      </c>
      <c r="B26" t="s">
        <v>1038</v>
      </c>
    </row>
    <row r="27" spans="1:2" x14ac:dyDescent="0.25">
      <c r="A27" t="s">
        <v>1266</v>
      </c>
      <c r="B27" t="s">
        <v>1039</v>
      </c>
    </row>
    <row r="28" spans="1:2" x14ac:dyDescent="0.25">
      <c r="A28" t="s">
        <v>1267</v>
      </c>
      <c r="B28" t="s">
        <v>1040</v>
      </c>
    </row>
    <row r="29" spans="1:2" x14ac:dyDescent="0.25">
      <c r="A29" t="s">
        <v>1268</v>
      </c>
      <c r="B29" t="s">
        <v>1041</v>
      </c>
    </row>
    <row r="30" spans="1:2" x14ac:dyDescent="0.25">
      <c r="A30" t="s">
        <v>1269</v>
      </c>
      <c r="B30" t="s">
        <v>1042</v>
      </c>
    </row>
    <row r="31" spans="1:2" x14ac:dyDescent="0.25">
      <c r="A31" t="s">
        <v>1270</v>
      </c>
      <c r="B31" t="s">
        <v>1043</v>
      </c>
    </row>
    <row r="32" spans="1:2" x14ac:dyDescent="0.25">
      <c r="A32" t="s">
        <v>1271</v>
      </c>
      <c r="B32" t="s">
        <v>1044</v>
      </c>
    </row>
    <row r="33" spans="1:2" x14ac:dyDescent="0.25">
      <c r="A33" t="s">
        <v>1272</v>
      </c>
      <c r="B33" t="s">
        <v>1045</v>
      </c>
    </row>
    <row r="34" spans="1:2" x14ac:dyDescent="0.25">
      <c r="A34" t="s">
        <v>1273</v>
      </c>
      <c r="B34" t="s">
        <v>1046</v>
      </c>
    </row>
    <row r="35" spans="1:2" x14ac:dyDescent="0.25">
      <c r="A35" t="s">
        <v>1274</v>
      </c>
      <c r="B35" t="s">
        <v>1047</v>
      </c>
    </row>
    <row r="36" spans="1:2" x14ac:dyDescent="0.25">
      <c r="A36" t="s">
        <v>1275</v>
      </c>
      <c r="B36" t="s">
        <v>1048</v>
      </c>
    </row>
    <row r="37" spans="1:2" x14ac:dyDescent="0.25">
      <c r="A37" t="s">
        <v>1276</v>
      </c>
      <c r="B37" t="s">
        <v>1049</v>
      </c>
    </row>
    <row r="38" spans="1:2" x14ac:dyDescent="0.25">
      <c r="A38" t="s">
        <v>1277</v>
      </c>
      <c r="B38" t="s">
        <v>1050</v>
      </c>
    </row>
    <row r="39" spans="1:2" x14ac:dyDescent="0.25">
      <c r="A39" t="s">
        <v>1278</v>
      </c>
      <c r="B39" t="s">
        <v>1051</v>
      </c>
    </row>
    <row r="40" spans="1:2" x14ac:dyDescent="0.25">
      <c r="A40" t="s">
        <v>1279</v>
      </c>
      <c r="B40" t="s">
        <v>1052</v>
      </c>
    </row>
    <row r="41" spans="1:2" x14ac:dyDescent="0.25">
      <c r="A41" t="s">
        <v>1280</v>
      </c>
      <c r="B41" t="s">
        <v>1053</v>
      </c>
    </row>
    <row r="42" spans="1:2" x14ac:dyDescent="0.25">
      <c r="A42" t="s">
        <v>1281</v>
      </c>
      <c r="B42" t="s">
        <v>1054</v>
      </c>
    </row>
    <row r="43" spans="1:2" x14ac:dyDescent="0.25">
      <c r="A43" t="s">
        <v>1282</v>
      </c>
      <c r="B43" t="s">
        <v>1055</v>
      </c>
    </row>
    <row r="44" spans="1:2" x14ac:dyDescent="0.25">
      <c r="A44" t="s">
        <v>1283</v>
      </c>
      <c r="B44" t="s">
        <v>1056</v>
      </c>
    </row>
    <row r="45" spans="1:2" x14ac:dyDescent="0.25">
      <c r="A45" t="s">
        <v>1284</v>
      </c>
      <c r="B45" t="s">
        <v>1057</v>
      </c>
    </row>
    <row r="46" spans="1:2" x14ac:dyDescent="0.25">
      <c r="A46" t="s">
        <v>1285</v>
      </c>
      <c r="B46" t="s">
        <v>1058</v>
      </c>
    </row>
    <row r="47" spans="1:2" x14ac:dyDescent="0.25">
      <c r="A47" t="s">
        <v>1286</v>
      </c>
      <c r="B47" t="s">
        <v>1059</v>
      </c>
    </row>
    <row r="48" spans="1:2" x14ac:dyDescent="0.25">
      <c r="A48" t="s">
        <v>1287</v>
      </c>
      <c r="B48" t="s">
        <v>1060</v>
      </c>
    </row>
    <row r="49" spans="1:2" x14ac:dyDescent="0.25">
      <c r="A49" t="s">
        <v>1288</v>
      </c>
      <c r="B49" t="s">
        <v>1061</v>
      </c>
    </row>
    <row r="50" spans="1:2" x14ac:dyDescent="0.25">
      <c r="A50" t="s">
        <v>1289</v>
      </c>
      <c r="B50" t="s">
        <v>1062</v>
      </c>
    </row>
    <row r="51" spans="1:2" x14ac:dyDescent="0.25">
      <c r="A51" t="s">
        <v>1290</v>
      </c>
      <c r="B51" t="s">
        <v>1063</v>
      </c>
    </row>
    <row r="52" spans="1:2" x14ac:dyDescent="0.25">
      <c r="A52" t="s">
        <v>1291</v>
      </c>
      <c r="B52" t="s">
        <v>1064</v>
      </c>
    </row>
    <row r="53" spans="1:2" x14ac:dyDescent="0.25">
      <c r="A53" t="s">
        <v>1292</v>
      </c>
      <c r="B53" t="s">
        <v>1065</v>
      </c>
    </row>
    <row r="54" spans="1:2" x14ac:dyDescent="0.25">
      <c r="A54" t="s">
        <v>1293</v>
      </c>
      <c r="B54" t="s">
        <v>1066</v>
      </c>
    </row>
    <row r="55" spans="1:2" x14ac:dyDescent="0.25">
      <c r="A55" t="s">
        <v>1294</v>
      </c>
      <c r="B55" t="s">
        <v>1067</v>
      </c>
    </row>
    <row r="56" spans="1:2" x14ac:dyDescent="0.25">
      <c r="A56" t="s">
        <v>1295</v>
      </c>
      <c r="B56" t="s">
        <v>1068</v>
      </c>
    </row>
    <row r="57" spans="1:2" x14ac:dyDescent="0.25">
      <c r="A57" t="s">
        <v>1296</v>
      </c>
      <c r="B57" t="s">
        <v>1069</v>
      </c>
    </row>
    <row r="58" spans="1:2" x14ac:dyDescent="0.25">
      <c r="A58" t="s">
        <v>1297</v>
      </c>
      <c r="B58" t="s">
        <v>1070</v>
      </c>
    </row>
    <row r="59" spans="1:2" x14ac:dyDescent="0.25">
      <c r="A59" t="s">
        <v>1298</v>
      </c>
      <c r="B59" t="s">
        <v>1071</v>
      </c>
    </row>
    <row r="60" spans="1:2" x14ac:dyDescent="0.25">
      <c r="A60" t="s">
        <v>1299</v>
      </c>
      <c r="B60" t="s">
        <v>1072</v>
      </c>
    </row>
    <row r="61" spans="1:2" x14ac:dyDescent="0.25">
      <c r="A61" t="s">
        <v>1300</v>
      </c>
      <c r="B61" t="s">
        <v>1073</v>
      </c>
    </row>
    <row r="62" spans="1:2" x14ac:dyDescent="0.25">
      <c r="A62" t="s">
        <v>1301</v>
      </c>
      <c r="B62" t="s">
        <v>1074</v>
      </c>
    </row>
    <row r="63" spans="1:2" x14ac:dyDescent="0.25">
      <c r="A63" t="s">
        <v>1302</v>
      </c>
      <c r="B63" t="s">
        <v>1075</v>
      </c>
    </row>
    <row r="64" spans="1:2" x14ac:dyDescent="0.25">
      <c r="A64" t="s">
        <v>1303</v>
      </c>
      <c r="B64" t="s">
        <v>1076</v>
      </c>
    </row>
    <row r="65" spans="1:2" x14ac:dyDescent="0.25">
      <c r="A65" t="s">
        <v>1304</v>
      </c>
      <c r="B65" t="s">
        <v>1077</v>
      </c>
    </row>
    <row r="66" spans="1:2" x14ac:dyDescent="0.25">
      <c r="A66" t="s">
        <v>1305</v>
      </c>
      <c r="B66" t="s">
        <v>1078</v>
      </c>
    </row>
    <row r="67" spans="1:2" x14ac:dyDescent="0.25">
      <c r="A67" t="s">
        <v>1306</v>
      </c>
      <c r="B67" t="s">
        <v>1079</v>
      </c>
    </row>
    <row r="68" spans="1:2" x14ac:dyDescent="0.25">
      <c r="A68" t="s">
        <v>1307</v>
      </c>
      <c r="B68" t="s">
        <v>1080</v>
      </c>
    </row>
    <row r="69" spans="1:2" x14ac:dyDescent="0.25">
      <c r="A69" t="s">
        <v>1308</v>
      </c>
      <c r="B69" t="s">
        <v>1081</v>
      </c>
    </row>
    <row r="70" spans="1:2" x14ac:dyDescent="0.25">
      <c r="A70" t="s">
        <v>1309</v>
      </c>
      <c r="B70" t="s">
        <v>1082</v>
      </c>
    </row>
    <row r="71" spans="1:2" x14ac:dyDescent="0.25">
      <c r="A71" t="s">
        <v>1310</v>
      </c>
      <c r="B71" t="s">
        <v>1083</v>
      </c>
    </row>
    <row r="72" spans="1:2" x14ac:dyDescent="0.25">
      <c r="A72" t="s">
        <v>1311</v>
      </c>
      <c r="B72" t="s">
        <v>1084</v>
      </c>
    </row>
    <row r="73" spans="1:2" x14ac:dyDescent="0.25">
      <c r="A73" t="s">
        <v>1312</v>
      </c>
      <c r="B73" t="s">
        <v>1085</v>
      </c>
    </row>
    <row r="74" spans="1:2" x14ac:dyDescent="0.25">
      <c r="A74" t="s">
        <v>1313</v>
      </c>
      <c r="B74" t="s">
        <v>1086</v>
      </c>
    </row>
    <row r="75" spans="1:2" x14ac:dyDescent="0.25">
      <c r="A75" t="s">
        <v>1314</v>
      </c>
      <c r="B75" t="s">
        <v>1087</v>
      </c>
    </row>
    <row r="76" spans="1:2" x14ac:dyDescent="0.25">
      <c r="A76" t="s">
        <v>1315</v>
      </c>
      <c r="B76" t="s">
        <v>1088</v>
      </c>
    </row>
    <row r="77" spans="1:2" x14ac:dyDescent="0.25">
      <c r="A77" t="s">
        <v>1316</v>
      </c>
      <c r="B77" t="s">
        <v>1089</v>
      </c>
    </row>
    <row r="78" spans="1:2" x14ac:dyDescent="0.25">
      <c r="A78" t="s">
        <v>1317</v>
      </c>
      <c r="B78" t="s">
        <v>1090</v>
      </c>
    </row>
    <row r="79" spans="1:2" x14ac:dyDescent="0.25">
      <c r="A79" t="s">
        <v>1318</v>
      </c>
      <c r="B79" t="s">
        <v>1091</v>
      </c>
    </row>
    <row r="80" spans="1:2" x14ac:dyDescent="0.25">
      <c r="A80" t="s">
        <v>1319</v>
      </c>
      <c r="B80" t="s">
        <v>1092</v>
      </c>
    </row>
    <row r="81" spans="1:2" x14ac:dyDescent="0.25">
      <c r="A81" t="s">
        <v>1320</v>
      </c>
      <c r="B81" t="s">
        <v>1093</v>
      </c>
    </row>
    <row r="82" spans="1:2" x14ac:dyDescent="0.25">
      <c r="A82" t="s">
        <v>1321</v>
      </c>
      <c r="B82" t="s">
        <v>1094</v>
      </c>
    </row>
    <row r="83" spans="1:2" x14ac:dyDescent="0.25">
      <c r="A83" t="s">
        <v>1322</v>
      </c>
      <c r="B83" t="s">
        <v>1095</v>
      </c>
    </row>
    <row r="84" spans="1:2" x14ac:dyDescent="0.25">
      <c r="A84" t="s">
        <v>1323</v>
      </c>
      <c r="B84" t="s">
        <v>1096</v>
      </c>
    </row>
    <row r="85" spans="1:2" x14ac:dyDescent="0.25">
      <c r="A85" t="s">
        <v>1324</v>
      </c>
      <c r="B85" t="s">
        <v>1097</v>
      </c>
    </row>
    <row r="86" spans="1:2" x14ac:dyDescent="0.25">
      <c r="A86" t="s">
        <v>1325</v>
      </c>
      <c r="B86" t="s">
        <v>1098</v>
      </c>
    </row>
    <row r="87" spans="1:2" x14ac:dyDescent="0.25">
      <c r="A87" t="s">
        <v>1326</v>
      </c>
      <c r="B87" t="s">
        <v>1099</v>
      </c>
    </row>
    <row r="88" spans="1:2" x14ac:dyDescent="0.25">
      <c r="A88" t="s">
        <v>1327</v>
      </c>
      <c r="B88" t="s">
        <v>1100</v>
      </c>
    </row>
    <row r="89" spans="1:2" x14ac:dyDescent="0.25">
      <c r="A89" t="s">
        <v>1328</v>
      </c>
      <c r="B89" t="s">
        <v>1101</v>
      </c>
    </row>
    <row r="90" spans="1:2" x14ac:dyDescent="0.25">
      <c r="A90" t="s">
        <v>1329</v>
      </c>
      <c r="B90" t="s">
        <v>1102</v>
      </c>
    </row>
    <row r="91" spans="1:2" x14ac:dyDescent="0.25">
      <c r="A91" t="s">
        <v>1330</v>
      </c>
      <c r="B91" t="s">
        <v>1103</v>
      </c>
    </row>
    <row r="92" spans="1:2" x14ac:dyDescent="0.25">
      <c r="A92" t="s">
        <v>1331</v>
      </c>
      <c r="B92" t="s">
        <v>1104</v>
      </c>
    </row>
    <row r="93" spans="1:2" x14ac:dyDescent="0.25">
      <c r="A93" t="s">
        <v>1332</v>
      </c>
      <c r="B93" t="s">
        <v>1105</v>
      </c>
    </row>
    <row r="94" spans="1:2" x14ac:dyDescent="0.25">
      <c r="A94" t="s">
        <v>1333</v>
      </c>
      <c r="B94" t="s">
        <v>1106</v>
      </c>
    </row>
    <row r="95" spans="1:2" x14ac:dyDescent="0.25">
      <c r="A95" t="s">
        <v>1334</v>
      </c>
      <c r="B95" t="s">
        <v>1107</v>
      </c>
    </row>
    <row r="96" spans="1:2" x14ac:dyDescent="0.25">
      <c r="A96" t="s">
        <v>1335</v>
      </c>
      <c r="B96" t="s">
        <v>1108</v>
      </c>
    </row>
    <row r="97" spans="1:2" x14ac:dyDescent="0.25">
      <c r="A97" t="s">
        <v>1336</v>
      </c>
      <c r="B97" t="s">
        <v>1109</v>
      </c>
    </row>
    <row r="98" spans="1:2" x14ac:dyDescent="0.25">
      <c r="A98" t="s">
        <v>1337</v>
      </c>
      <c r="B98" t="s">
        <v>1110</v>
      </c>
    </row>
    <row r="99" spans="1:2" x14ac:dyDescent="0.25">
      <c r="A99" t="s">
        <v>1338</v>
      </c>
      <c r="B99" t="s">
        <v>1111</v>
      </c>
    </row>
    <row r="100" spans="1:2" x14ac:dyDescent="0.25">
      <c r="A100" t="s">
        <v>1339</v>
      </c>
      <c r="B100" t="s">
        <v>1112</v>
      </c>
    </row>
    <row r="101" spans="1:2" x14ac:dyDescent="0.25">
      <c r="A101" t="s">
        <v>1340</v>
      </c>
      <c r="B101" t="s">
        <v>1113</v>
      </c>
    </row>
    <row r="102" spans="1:2" x14ac:dyDescent="0.25">
      <c r="A102" t="s">
        <v>1341</v>
      </c>
      <c r="B102" t="s">
        <v>1114</v>
      </c>
    </row>
    <row r="103" spans="1:2" x14ac:dyDescent="0.25">
      <c r="A103" t="s">
        <v>1342</v>
      </c>
      <c r="B103" t="s">
        <v>1115</v>
      </c>
    </row>
    <row r="104" spans="1:2" x14ac:dyDescent="0.25">
      <c r="A104" t="s">
        <v>1343</v>
      </c>
      <c r="B104" t="s">
        <v>1116</v>
      </c>
    </row>
    <row r="105" spans="1:2" x14ac:dyDescent="0.25">
      <c r="A105" t="s">
        <v>1344</v>
      </c>
      <c r="B105" t="s">
        <v>1117</v>
      </c>
    </row>
    <row r="106" spans="1:2" x14ac:dyDescent="0.25">
      <c r="A106" t="s">
        <v>1345</v>
      </c>
      <c r="B106" t="s">
        <v>1118</v>
      </c>
    </row>
    <row r="107" spans="1:2" x14ac:dyDescent="0.25">
      <c r="A107" t="s">
        <v>1346</v>
      </c>
      <c r="B107" t="s">
        <v>1119</v>
      </c>
    </row>
    <row r="108" spans="1:2" x14ac:dyDescent="0.25">
      <c r="A108" t="s">
        <v>1347</v>
      </c>
      <c r="B108" t="s">
        <v>1120</v>
      </c>
    </row>
    <row r="109" spans="1:2" x14ac:dyDescent="0.25">
      <c r="A109" t="s">
        <v>1348</v>
      </c>
      <c r="B109" t="s">
        <v>1121</v>
      </c>
    </row>
    <row r="110" spans="1:2" x14ac:dyDescent="0.25">
      <c r="A110" t="s">
        <v>1349</v>
      </c>
      <c r="B110" t="s">
        <v>1122</v>
      </c>
    </row>
    <row r="111" spans="1:2" x14ac:dyDescent="0.25">
      <c r="A111" t="s">
        <v>1350</v>
      </c>
      <c r="B111" t="s">
        <v>1123</v>
      </c>
    </row>
    <row r="112" spans="1:2" x14ac:dyDescent="0.25">
      <c r="A112" t="s">
        <v>1351</v>
      </c>
      <c r="B112" t="s">
        <v>1124</v>
      </c>
    </row>
    <row r="113" spans="1:2" x14ac:dyDescent="0.25">
      <c r="A113" t="s">
        <v>1352</v>
      </c>
      <c r="B113" t="s">
        <v>1125</v>
      </c>
    </row>
    <row r="114" spans="1:2" x14ac:dyDescent="0.25">
      <c r="A114" t="s">
        <v>1353</v>
      </c>
      <c r="B114" t="s">
        <v>1126</v>
      </c>
    </row>
    <row r="115" spans="1:2" x14ac:dyDescent="0.25">
      <c r="A115" t="s">
        <v>1354</v>
      </c>
      <c r="B115" t="s">
        <v>1127</v>
      </c>
    </row>
    <row r="116" spans="1:2" x14ac:dyDescent="0.25">
      <c r="A116" t="s">
        <v>1355</v>
      </c>
      <c r="B116" t="s">
        <v>1128</v>
      </c>
    </row>
    <row r="117" spans="1:2" x14ac:dyDescent="0.25">
      <c r="A117" t="s">
        <v>1356</v>
      </c>
      <c r="B117" t="s">
        <v>1129</v>
      </c>
    </row>
    <row r="118" spans="1:2" x14ac:dyDescent="0.25">
      <c r="A118" t="s">
        <v>1357</v>
      </c>
      <c r="B118" t="s">
        <v>1130</v>
      </c>
    </row>
    <row r="119" spans="1:2" x14ac:dyDescent="0.25">
      <c r="A119" t="s">
        <v>1358</v>
      </c>
      <c r="B119" t="s">
        <v>1131</v>
      </c>
    </row>
    <row r="120" spans="1:2" x14ac:dyDescent="0.25">
      <c r="A120" t="s">
        <v>1359</v>
      </c>
      <c r="B120" t="s">
        <v>1132</v>
      </c>
    </row>
    <row r="121" spans="1:2" x14ac:dyDescent="0.25">
      <c r="A121" t="s">
        <v>1360</v>
      </c>
      <c r="B121" t="s">
        <v>1133</v>
      </c>
    </row>
    <row r="122" spans="1:2" x14ac:dyDescent="0.25">
      <c r="A122" t="s">
        <v>1361</v>
      </c>
      <c r="B122" t="s">
        <v>1134</v>
      </c>
    </row>
    <row r="123" spans="1:2" x14ac:dyDescent="0.25">
      <c r="A123" t="s">
        <v>1362</v>
      </c>
      <c r="B123" t="s">
        <v>1135</v>
      </c>
    </row>
    <row r="124" spans="1:2" x14ac:dyDescent="0.25">
      <c r="A124" t="s">
        <v>1363</v>
      </c>
      <c r="B124" t="s">
        <v>1136</v>
      </c>
    </row>
    <row r="125" spans="1:2" x14ac:dyDescent="0.25">
      <c r="A125" t="s">
        <v>1364</v>
      </c>
      <c r="B125" t="s">
        <v>1137</v>
      </c>
    </row>
    <row r="126" spans="1:2" x14ac:dyDescent="0.25">
      <c r="A126" t="s">
        <v>1365</v>
      </c>
      <c r="B126" t="s">
        <v>1138</v>
      </c>
    </row>
    <row r="127" spans="1:2" x14ac:dyDescent="0.25">
      <c r="A127" t="s">
        <v>1366</v>
      </c>
      <c r="B127" t="s">
        <v>1139</v>
      </c>
    </row>
    <row r="128" spans="1:2" x14ac:dyDescent="0.25">
      <c r="A128" t="s">
        <v>1367</v>
      </c>
      <c r="B128" t="s">
        <v>1140</v>
      </c>
    </row>
    <row r="129" spans="1:2" x14ac:dyDescent="0.25">
      <c r="A129" t="s">
        <v>1368</v>
      </c>
      <c r="B129" t="s">
        <v>1141</v>
      </c>
    </row>
    <row r="130" spans="1:2" x14ac:dyDescent="0.25">
      <c r="A130" t="s">
        <v>1369</v>
      </c>
      <c r="B130" t="s">
        <v>1142</v>
      </c>
    </row>
    <row r="131" spans="1:2" x14ac:dyDescent="0.25">
      <c r="A131" t="s">
        <v>1370</v>
      </c>
      <c r="B131" t="s">
        <v>1143</v>
      </c>
    </row>
    <row r="132" spans="1:2" x14ac:dyDescent="0.25">
      <c r="A132" t="s">
        <v>1371</v>
      </c>
      <c r="B132" t="s">
        <v>1144</v>
      </c>
    </row>
    <row r="133" spans="1:2" x14ac:dyDescent="0.25">
      <c r="A133" t="s">
        <v>1372</v>
      </c>
      <c r="B133" t="s">
        <v>1145</v>
      </c>
    </row>
    <row r="134" spans="1:2" x14ac:dyDescent="0.25">
      <c r="A134" t="s">
        <v>1373</v>
      </c>
      <c r="B134" t="s">
        <v>1146</v>
      </c>
    </row>
    <row r="135" spans="1:2" x14ac:dyDescent="0.25">
      <c r="A135" t="s">
        <v>1374</v>
      </c>
      <c r="B135" t="s">
        <v>1147</v>
      </c>
    </row>
    <row r="136" spans="1:2" x14ac:dyDescent="0.25">
      <c r="A136" t="s">
        <v>1375</v>
      </c>
      <c r="B136" t="s">
        <v>1148</v>
      </c>
    </row>
    <row r="137" spans="1:2" x14ac:dyDescent="0.25">
      <c r="A137" t="s">
        <v>1376</v>
      </c>
      <c r="B137" t="s">
        <v>1149</v>
      </c>
    </row>
    <row r="138" spans="1:2" x14ac:dyDescent="0.25">
      <c r="A138" t="s">
        <v>1377</v>
      </c>
      <c r="B138" t="s">
        <v>1150</v>
      </c>
    </row>
    <row r="139" spans="1:2" x14ac:dyDescent="0.25">
      <c r="A139" t="s">
        <v>1378</v>
      </c>
      <c r="B139" t="s">
        <v>1151</v>
      </c>
    </row>
    <row r="140" spans="1:2" x14ac:dyDescent="0.25">
      <c r="A140" t="s">
        <v>1379</v>
      </c>
      <c r="B140" t="s">
        <v>1152</v>
      </c>
    </row>
    <row r="141" spans="1:2" x14ac:dyDescent="0.25">
      <c r="A141" t="s">
        <v>1380</v>
      </c>
      <c r="B141" t="s">
        <v>1153</v>
      </c>
    </row>
    <row r="142" spans="1:2" x14ac:dyDescent="0.25">
      <c r="A142" t="s">
        <v>1381</v>
      </c>
      <c r="B142" t="s">
        <v>1154</v>
      </c>
    </row>
    <row r="143" spans="1:2" x14ac:dyDescent="0.25">
      <c r="A143" t="s">
        <v>1382</v>
      </c>
      <c r="B143" t="s">
        <v>1155</v>
      </c>
    </row>
    <row r="144" spans="1:2" x14ac:dyDescent="0.25">
      <c r="A144" t="s">
        <v>1383</v>
      </c>
      <c r="B144" t="s">
        <v>1156</v>
      </c>
    </row>
    <row r="145" spans="1:2" x14ac:dyDescent="0.25">
      <c r="A145" t="s">
        <v>1384</v>
      </c>
      <c r="B145" t="s">
        <v>1157</v>
      </c>
    </row>
    <row r="146" spans="1:2" x14ac:dyDescent="0.25">
      <c r="A146" t="s">
        <v>1385</v>
      </c>
      <c r="B146" t="s">
        <v>1158</v>
      </c>
    </row>
    <row r="147" spans="1:2" x14ac:dyDescent="0.25">
      <c r="A147" t="s">
        <v>1386</v>
      </c>
      <c r="B147" t="s">
        <v>1159</v>
      </c>
    </row>
    <row r="148" spans="1:2" x14ac:dyDescent="0.25">
      <c r="A148" t="s">
        <v>1387</v>
      </c>
      <c r="B148" t="s">
        <v>1160</v>
      </c>
    </row>
    <row r="149" spans="1:2" x14ac:dyDescent="0.25">
      <c r="A149" t="s">
        <v>1388</v>
      </c>
      <c r="B149" t="s">
        <v>1161</v>
      </c>
    </row>
    <row r="150" spans="1:2" x14ac:dyDescent="0.25">
      <c r="A150" t="s">
        <v>1389</v>
      </c>
      <c r="B150" t="s">
        <v>1162</v>
      </c>
    </row>
    <row r="151" spans="1:2" x14ac:dyDescent="0.25">
      <c r="A151" t="s">
        <v>1390</v>
      </c>
      <c r="B151" t="s">
        <v>1163</v>
      </c>
    </row>
    <row r="152" spans="1:2" x14ac:dyDescent="0.25">
      <c r="A152" t="s">
        <v>1391</v>
      </c>
      <c r="B152" t="s">
        <v>1164</v>
      </c>
    </row>
    <row r="153" spans="1:2" x14ac:dyDescent="0.25">
      <c r="A153" t="s">
        <v>1392</v>
      </c>
      <c r="B153" t="s">
        <v>1165</v>
      </c>
    </row>
    <row r="154" spans="1:2" x14ac:dyDescent="0.25">
      <c r="A154" t="s">
        <v>1393</v>
      </c>
      <c r="B154" t="s">
        <v>1166</v>
      </c>
    </row>
    <row r="155" spans="1:2" x14ac:dyDescent="0.25">
      <c r="A155" t="s">
        <v>1394</v>
      </c>
      <c r="B155" t="s">
        <v>1167</v>
      </c>
    </row>
    <row r="156" spans="1:2" x14ac:dyDescent="0.25">
      <c r="A156" t="s">
        <v>1395</v>
      </c>
      <c r="B156" t="s">
        <v>1168</v>
      </c>
    </row>
    <row r="157" spans="1:2" x14ac:dyDescent="0.25">
      <c r="A157" t="s">
        <v>1396</v>
      </c>
      <c r="B157" t="s">
        <v>1169</v>
      </c>
    </row>
    <row r="158" spans="1:2" x14ac:dyDescent="0.25">
      <c r="A158" t="s">
        <v>1397</v>
      </c>
      <c r="B158" t="s">
        <v>1170</v>
      </c>
    </row>
    <row r="159" spans="1:2" x14ac:dyDescent="0.25">
      <c r="A159" t="s">
        <v>1398</v>
      </c>
      <c r="B159" t="s">
        <v>1171</v>
      </c>
    </row>
    <row r="160" spans="1:2" x14ac:dyDescent="0.25">
      <c r="A160" t="s">
        <v>1399</v>
      </c>
      <c r="B160" t="s">
        <v>1172</v>
      </c>
    </row>
    <row r="161" spans="1:2" x14ac:dyDescent="0.25">
      <c r="A161" t="s">
        <v>1400</v>
      </c>
      <c r="B161" t="s">
        <v>1173</v>
      </c>
    </row>
    <row r="162" spans="1:2" x14ac:dyDescent="0.25">
      <c r="A162" t="s">
        <v>1401</v>
      </c>
      <c r="B162" t="s">
        <v>1174</v>
      </c>
    </row>
    <row r="163" spans="1:2" x14ac:dyDescent="0.25">
      <c r="A163" t="s">
        <v>1402</v>
      </c>
      <c r="B163" t="s">
        <v>1175</v>
      </c>
    </row>
    <row r="164" spans="1:2" x14ac:dyDescent="0.25">
      <c r="A164" t="s">
        <v>1403</v>
      </c>
      <c r="B164" t="s">
        <v>1176</v>
      </c>
    </row>
    <row r="165" spans="1:2" x14ac:dyDescent="0.25">
      <c r="A165" t="s">
        <v>1404</v>
      </c>
      <c r="B165" t="s">
        <v>1177</v>
      </c>
    </row>
    <row r="166" spans="1:2" x14ac:dyDescent="0.25">
      <c r="A166" t="s">
        <v>1405</v>
      </c>
      <c r="B166" t="s">
        <v>1178</v>
      </c>
    </row>
    <row r="167" spans="1:2" x14ac:dyDescent="0.25">
      <c r="A167" t="s">
        <v>1406</v>
      </c>
      <c r="B167" t="s">
        <v>1179</v>
      </c>
    </row>
    <row r="168" spans="1:2" x14ac:dyDescent="0.25">
      <c r="A168" t="s">
        <v>1407</v>
      </c>
      <c r="B168" t="s">
        <v>1180</v>
      </c>
    </row>
    <row r="169" spans="1:2" x14ac:dyDescent="0.25">
      <c r="A169" t="s">
        <v>1408</v>
      </c>
      <c r="B169" t="s">
        <v>1181</v>
      </c>
    </row>
    <row r="170" spans="1:2" x14ac:dyDescent="0.25">
      <c r="A170" t="s">
        <v>1409</v>
      </c>
      <c r="B170" t="s">
        <v>1182</v>
      </c>
    </row>
    <row r="171" spans="1:2" x14ac:dyDescent="0.25">
      <c r="A171" t="s">
        <v>1410</v>
      </c>
      <c r="B171" t="s">
        <v>1183</v>
      </c>
    </row>
    <row r="172" spans="1:2" x14ac:dyDescent="0.25">
      <c r="A172" t="s">
        <v>1411</v>
      </c>
      <c r="B172" t="s">
        <v>1184</v>
      </c>
    </row>
    <row r="173" spans="1:2" x14ac:dyDescent="0.25">
      <c r="A173" t="s">
        <v>1412</v>
      </c>
      <c r="B173" t="s">
        <v>1185</v>
      </c>
    </row>
    <row r="174" spans="1:2" x14ac:dyDescent="0.25">
      <c r="A174" t="s">
        <v>1413</v>
      </c>
      <c r="B174" t="s">
        <v>1186</v>
      </c>
    </row>
    <row r="175" spans="1:2" x14ac:dyDescent="0.25">
      <c r="A175" t="s">
        <v>1414</v>
      </c>
      <c r="B175" t="s">
        <v>1187</v>
      </c>
    </row>
    <row r="176" spans="1:2" x14ac:dyDescent="0.25">
      <c r="A176" t="s">
        <v>1415</v>
      </c>
      <c r="B176" t="s">
        <v>1188</v>
      </c>
    </row>
    <row r="177" spans="1:2" x14ac:dyDescent="0.25">
      <c r="A177" t="s">
        <v>1416</v>
      </c>
      <c r="B177" t="s">
        <v>1189</v>
      </c>
    </row>
    <row r="178" spans="1:2" x14ac:dyDescent="0.25">
      <c r="A178" t="s">
        <v>1417</v>
      </c>
      <c r="B178" t="s">
        <v>1190</v>
      </c>
    </row>
    <row r="179" spans="1:2" x14ac:dyDescent="0.25">
      <c r="A179" t="s">
        <v>1418</v>
      </c>
      <c r="B179" t="s">
        <v>1191</v>
      </c>
    </row>
    <row r="180" spans="1:2" x14ac:dyDescent="0.25">
      <c r="A180" t="s">
        <v>1419</v>
      </c>
      <c r="B180" t="s">
        <v>1192</v>
      </c>
    </row>
    <row r="181" spans="1:2" x14ac:dyDescent="0.25">
      <c r="A181" t="s">
        <v>1420</v>
      </c>
      <c r="B181" t="s">
        <v>1193</v>
      </c>
    </row>
    <row r="182" spans="1:2" x14ac:dyDescent="0.25">
      <c r="A182" t="s">
        <v>1421</v>
      </c>
      <c r="B182" t="s">
        <v>1194</v>
      </c>
    </row>
    <row r="183" spans="1:2" x14ac:dyDescent="0.25">
      <c r="A183" t="s">
        <v>1422</v>
      </c>
      <c r="B183" t="s">
        <v>1195</v>
      </c>
    </row>
    <row r="184" spans="1:2" x14ac:dyDescent="0.25">
      <c r="A184" t="s">
        <v>1423</v>
      </c>
      <c r="B184" t="s">
        <v>1196</v>
      </c>
    </row>
    <row r="185" spans="1:2" x14ac:dyDescent="0.25">
      <c r="A185" t="s">
        <v>1424</v>
      </c>
      <c r="B185" t="s">
        <v>1197</v>
      </c>
    </row>
    <row r="186" spans="1:2" x14ac:dyDescent="0.25">
      <c r="A186" t="s">
        <v>1425</v>
      </c>
      <c r="B186" t="s">
        <v>1198</v>
      </c>
    </row>
    <row r="187" spans="1:2" x14ac:dyDescent="0.25">
      <c r="A187" t="s">
        <v>1426</v>
      </c>
      <c r="B187" t="s">
        <v>1199</v>
      </c>
    </row>
    <row r="188" spans="1:2" x14ac:dyDescent="0.25">
      <c r="A188" t="s">
        <v>1427</v>
      </c>
      <c r="B188" t="s">
        <v>1200</v>
      </c>
    </row>
    <row r="189" spans="1:2" x14ac:dyDescent="0.25">
      <c r="A189" t="s">
        <v>1428</v>
      </c>
      <c r="B189" t="s">
        <v>1201</v>
      </c>
    </row>
    <row r="190" spans="1:2" x14ac:dyDescent="0.25">
      <c r="A190" t="s">
        <v>1429</v>
      </c>
      <c r="B190" t="s">
        <v>1202</v>
      </c>
    </row>
    <row r="191" spans="1:2" x14ac:dyDescent="0.25">
      <c r="A191" t="s">
        <v>1430</v>
      </c>
      <c r="B191" t="s">
        <v>1203</v>
      </c>
    </row>
    <row r="192" spans="1:2" x14ac:dyDescent="0.25">
      <c r="A192" t="s">
        <v>1431</v>
      </c>
      <c r="B192" t="s">
        <v>1204</v>
      </c>
    </row>
    <row r="193" spans="1:2" x14ac:dyDescent="0.25">
      <c r="A193" t="s">
        <v>1432</v>
      </c>
      <c r="B193" t="s">
        <v>1205</v>
      </c>
    </row>
    <row r="194" spans="1:2" x14ac:dyDescent="0.25">
      <c r="A194" t="s">
        <v>1433</v>
      </c>
      <c r="B194" t="s">
        <v>1206</v>
      </c>
    </row>
    <row r="195" spans="1:2" x14ac:dyDescent="0.25">
      <c r="A195" t="s">
        <v>1434</v>
      </c>
      <c r="B195" t="s">
        <v>1207</v>
      </c>
    </row>
    <row r="196" spans="1:2" x14ac:dyDescent="0.25">
      <c r="A196" t="s">
        <v>1435</v>
      </c>
      <c r="B196" t="s">
        <v>1208</v>
      </c>
    </row>
    <row r="197" spans="1:2" x14ac:dyDescent="0.25">
      <c r="A197" t="s">
        <v>1436</v>
      </c>
      <c r="B197" t="s">
        <v>1209</v>
      </c>
    </row>
    <row r="198" spans="1:2" x14ac:dyDescent="0.25">
      <c r="A198" t="s">
        <v>1437</v>
      </c>
      <c r="B198" t="s">
        <v>1210</v>
      </c>
    </row>
    <row r="199" spans="1:2" x14ac:dyDescent="0.25">
      <c r="A199" t="s">
        <v>1438</v>
      </c>
      <c r="B199" t="s">
        <v>1211</v>
      </c>
    </row>
    <row r="200" spans="1:2" x14ac:dyDescent="0.25">
      <c r="A200" t="s">
        <v>1439</v>
      </c>
      <c r="B200" t="s">
        <v>1212</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495A-31AB-465F-B5F8-96E662E3DA77}">
  <dimension ref="A1:B6"/>
  <sheetViews>
    <sheetView workbookViewId="0">
      <selection activeCell="A2" sqref="A2:B6"/>
    </sheetView>
  </sheetViews>
  <sheetFormatPr defaultRowHeight="15" x14ac:dyDescent="0.25"/>
  <cols>
    <col min="1" max="1" width="9.7109375" customWidth="1"/>
  </cols>
  <sheetData>
    <row r="1" spans="1:2" x14ac:dyDescent="0.25">
      <c r="A1" t="s">
        <v>2017</v>
      </c>
      <c r="B1" t="s">
        <v>5</v>
      </c>
    </row>
    <row r="2" spans="1:2" x14ac:dyDescent="0.25">
      <c r="A2" t="s">
        <v>1446</v>
      </c>
      <c r="B2" t="s">
        <v>1218</v>
      </c>
    </row>
    <row r="3" spans="1:2" x14ac:dyDescent="0.25">
      <c r="A3" t="s">
        <v>1447</v>
      </c>
      <c r="B3" t="s">
        <v>1219</v>
      </c>
    </row>
    <row r="4" spans="1:2" x14ac:dyDescent="0.25">
      <c r="A4" t="s">
        <v>1448</v>
      </c>
      <c r="B4" t="s">
        <v>1220</v>
      </c>
    </row>
    <row r="5" spans="1:2" x14ac:dyDescent="0.25">
      <c r="A5" t="s">
        <v>1449</v>
      </c>
      <c r="B5" t="s">
        <v>1221</v>
      </c>
    </row>
    <row r="6" spans="1:2" x14ac:dyDescent="0.25">
      <c r="A6" t="s">
        <v>1450</v>
      </c>
      <c r="B6" t="s">
        <v>1222</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3E9B-711A-4DE7-926C-CBD289FFF7F2}">
  <dimension ref="A1:B11"/>
  <sheetViews>
    <sheetView workbookViewId="0">
      <selection activeCell="B6" sqref="B6"/>
    </sheetView>
  </sheetViews>
  <sheetFormatPr defaultRowHeight="15" x14ac:dyDescent="0.25"/>
  <cols>
    <col min="1" max="1" width="11" customWidth="1"/>
    <col min="2" max="2" width="14.28515625" customWidth="1"/>
  </cols>
  <sheetData>
    <row r="1" spans="1:2" x14ac:dyDescent="0.25">
      <c r="A1" t="s">
        <v>1451</v>
      </c>
      <c r="B1" t="s">
        <v>6</v>
      </c>
    </row>
    <row r="2" spans="1:2" x14ac:dyDescent="0.25">
      <c r="A2" t="s">
        <v>1452</v>
      </c>
      <c r="B2" t="s">
        <v>1223</v>
      </c>
    </row>
    <row r="3" spans="1:2" x14ac:dyDescent="0.25">
      <c r="A3" t="s">
        <v>1453</v>
      </c>
      <c r="B3" t="s">
        <v>1224</v>
      </c>
    </row>
    <row r="4" spans="1:2" x14ac:dyDescent="0.25">
      <c r="A4" t="s">
        <v>1454</v>
      </c>
      <c r="B4" t="s">
        <v>1225</v>
      </c>
    </row>
    <row r="5" spans="1:2" x14ac:dyDescent="0.25">
      <c r="A5" t="s">
        <v>1455</v>
      </c>
      <c r="B5" t="s">
        <v>1226</v>
      </c>
    </row>
    <row r="6" spans="1:2" x14ac:dyDescent="0.25">
      <c r="A6" t="s">
        <v>1456</v>
      </c>
      <c r="B6" t="s">
        <v>1227</v>
      </c>
    </row>
    <row r="7" spans="1:2" x14ac:dyDescent="0.25">
      <c r="A7" t="s">
        <v>1457</v>
      </c>
      <c r="B7" t="s">
        <v>1228</v>
      </c>
    </row>
    <row r="8" spans="1:2" x14ac:dyDescent="0.25">
      <c r="A8" t="s">
        <v>1458</v>
      </c>
      <c r="B8" t="s">
        <v>1229</v>
      </c>
    </row>
    <row r="9" spans="1:2" x14ac:dyDescent="0.25">
      <c r="A9" t="s">
        <v>1459</v>
      </c>
      <c r="B9" t="s">
        <v>1230</v>
      </c>
    </row>
    <row r="10" spans="1:2" x14ac:dyDescent="0.25">
      <c r="A10" t="s">
        <v>1460</v>
      </c>
      <c r="B10" t="s">
        <v>1231</v>
      </c>
    </row>
    <row r="11" spans="1:2" x14ac:dyDescent="0.25">
      <c r="A11" t="s">
        <v>1461</v>
      </c>
      <c r="B11" t="s">
        <v>1232</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4DE6-F35E-429A-870F-63082449561A}">
  <dimension ref="A1:B4"/>
  <sheetViews>
    <sheetView workbookViewId="0">
      <selection activeCell="A2" sqref="A2:B4"/>
    </sheetView>
  </sheetViews>
  <sheetFormatPr defaultRowHeight="15" x14ac:dyDescent="0.25"/>
  <cols>
    <col min="1" max="1" width="13.140625" customWidth="1"/>
    <col min="2" max="2" width="10.7109375" customWidth="1"/>
  </cols>
  <sheetData>
    <row r="1" spans="1:2" x14ac:dyDescent="0.25">
      <c r="A1" t="s">
        <v>2019</v>
      </c>
      <c r="B1" t="s">
        <v>7</v>
      </c>
    </row>
    <row r="2" spans="1:2" x14ac:dyDescent="0.25">
      <c r="A2" t="s">
        <v>1462</v>
      </c>
      <c r="B2" t="s">
        <v>1233</v>
      </c>
    </row>
    <row r="3" spans="1:2" x14ac:dyDescent="0.25">
      <c r="A3" t="s">
        <v>1463</v>
      </c>
      <c r="B3" t="s">
        <v>1234</v>
      </c>
    </row>
    <row r="4" spans="1:2" x14ac:dyDescent="0.25">
      <c r="A4" t="s">
        <v>1464</v>
      </c>
      <c r="B4" t="s">
        <v>1235</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7AFED-9576-417D-A587-21BDCA65FF64}">
  <dimension ref="A1:B5"/>
  <sheetViews>
    <sheetView workbookViewId="0">
      <selection activeCell="A2" sqref="A2:B5"/>
    </sheetView>
  </sheetViews>
  <sheetFormatPr defaultRowHeight="15" x14ac:dyDescent="0.25"/>
  <cols>
    <col min="1" max="1" width="13.7109375" customWidth="1"/>
    <col min="2" max="2" width="10.140625" customWidth="1"/>
  </cols>
  <sheetData>
    <row r="1" spans="1:2" x14ac:dyDescent="0.25">
      <c r="A1" t="s">
        <v>2018</v>
      </c>
      <c r="B1" t="s">
        <v>12</v>
      </c>
    </row>
    <row r="2" spans="1:2" x14ac:dyDescent="0.25">
      <c r="A2" t="s">
        <v>1465</v>
      </c>
      <c r="B2" t="s">
        <v>1236</v>
      </c>
    </row>
    <row r="3" spans="1:2" x14ac:dyDescent="0.25">
      <c r="A3" t="s">
        <v>1466</v>
      </c>
      <c r="B3" t="s">
        <v>1237</v>
      </c>
    </row>
    <row r="4" spans="1:2" x14ac:dyDescent="0.25">
      <c r="A4" t="s">
        <v>1467</v>
      </c>
      <c r="B4" t="s">
        <v>1238</v>
      </c>
    </row>
    <row r="5" spans="1:2" x14ac:dyDescent="0.25">
      <c r="A5" t="s">
        <v>1468</v>
      </c>
      <c r="B5" t="s">
        <v>1239</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0718-9B1E-4692-AD7A-63F737A035FF}">
  <dimension ref="A1:E1001"/>
  <sheetViews>
    <sheetView topLeftCell="A524" workbookViewId="0">
      <selection activeCell="L551" sqref="L551"/>
    </sheetView>
  </sheetViews>
  <sheetFormatPr defaultRowHeight="15" x14ac:dyDescent="0.25"/>
  <cols>
    <col min="2" max="2" width="10.7109375" style="2" bestFit="1" customWidth="1"/>
  </cols>
  <sheetData>
    <row r="1" spans="1:5" x14ac:dyDescent="0.25">
      <c r="A1" t="s">
        <v>2016</v>
      </c>
      <c r="B1" s="2" t="s">
        <v>1</v>
      </c>
      <c r="C1" t="s">
        <v>1469</v>
      </c>
      <c r="D1" t="s">
        <v>1470</v>
      </c>
      <c r="E1" t="s">
        <v>1471</v>
      </c>
    </row>
    <row r="2" spans="1:5" x14ac:dyDescent="0.25">
      <c r="A2" t="s">
        <v>1472</v>
      </c>
      <c r="B2" s="1">
        <v>45292</v>
      </c>
      <c r="C2">
        <f>YEAR(B2)</f>
        <v>2024</v>
      </c>
      <c r="D2">
        <f>MONTH(B2)</f>
        <v>1</v>
      </c>
      <c r="E2">
        <f>DAY(B2)</f>
        <v>1</v>
      </c>
    </row>
    <row r="3" spans="1:5" x14ac:dyDescent="0.25">
      <c r="A3" t="s">
        <v>1473</v>
      </c>
      <c r="B3" s="1">
        <v>45293</v>
      </c>
      <c r="C3">
        <f t="shared" ref="C3:C66" si="0">YEAR(B3)</f>
        <v>2024</v>
      </c>
      <c r="D3">
        <f t="shared" ref="D3:D66" si="1">MONTH(B3)</f>
        <v>1</v>
      </c>
      <c r="E3">
        <f t="shared" ref="E3:E66" si="2">DAY(B3)</f>
        <v>2</v>
      </c>
    </row>
    <row r="4" spans="1:5" x14ac:dyDescent="0.25">
      <c r="A4" t="s">
        <v>1474</v>
      </c>
      <c r="B4" s="1">
        <v>45294</v>
      </c>
      <c r="C4">
        <f t="shared" si="0"/>
        <v>2024</v>
      </c>
      <c r="D4">
        <f t="shared" si="1"/>
        <v>1</v>
      </c>
      <c r="E4">
        <f t="shared" si="2"/>
        <v>3</v>
      </c>
    </row>
    <row r="5" spans="1:5" x14ac:dyDescent="0.25">
      <c r="A5" t="s">
        <v>1475</v>
      </c>
      <c r="B5" s="1">
        <v>45295</v>
      </c>
      <c r="C5">
        <f t="shared" si="0"/>
        <v>2024</v>
      </c>
      <c r="D5">
        <f t="shared" si="1"/>
        <v>1</v>
      </c>
      <c r="E5">
        <f t="shared" si="2"/>
        <v>4</v>
      </c>
    </row>
    <row r="6" spans="1:5" x14ac:dyDescent="0.25">
      <c r="A6" t="s">
        <v>1476</v>
      </c>
      <c r="B6" s="1">
        <v>45296</v>
      </c>
      <c r="C6">
        <f t="shared" si="0"/>
        <v>2024</v>
      </c>
      <c r="D6">
        <f t="shared" si="1"/>
        <v>1</v>
      </c>
      <c r="E6">
        <f t="shared" si="2"/>
        <v>5</v>
      </c>
    </row>
    <row r="7" spans="1:5" x14ac:dyDescent="0.25">
      <c r="A7" t="s">
        <v>1477</v>
      </c>
      <c r="B7" s="1">
        <v>45297</v>
      </c>
      <c r="C7">
        <f t="shared" si="0"/>
        <v>2024</v>
      </c>
      <c r="D7">
        <f t="shared" si="1"/>
        <v>1</v>
      </c>
      <c r="E7">
        <f t="shared" si="2"/>
        <v>6</v>
      </c>
    </row>
    <row r="8" spans="1:5" x14ac:dyDescent="0.25">
      <c r="A8" t="s">
        <v>1478</v>
      </c>
      <c r="B8" s="1">
        <v>45298</v>
      </c>
      <c r="C8">
        <f t="shared" si="0"/>
        <v>2024</v>
      </c>
      <c r="D8">
        <f t="shared" si="1"/>
        <v>1</v>
      </c>
      <c r="E8">
        <f t="shared" si="2"/>
        <v>7</v>
      </c>
    </row>
    <row r="9" spans="1:5" x14ac:dyDescent="0.25">
      <c r="A9" t="s">
        <v>1479</v>
      </c>
      <c r="B9" s="1">
        <v>45299</v>
      </c>
      <c r="C9">
        <f t="shared" si="0"/>
        <v>2024</v>
      </c>
      <c r="D9">
        <f t="shared" si="1"/>
        <v>1</v>
      </c>
      <c r="E9">
        <f t="shared" si="2"/>
        <v>8</v>
      </c>
    </row>
    <row r="10" spans="1:5" x14ac:dyDescent="0.25">
      <c r="A10" t="s">
        <v>1480</v>
      </c>
      <c r="B10" s="1">
        <v>45300</v>
      </c>
      <c r="C10">
        <f t="shared" si="0"/>
        <v>2024</v>
      </c>
      <c r="D10">
        <f t="shared" si="1"/>
        <v>1</v>
      </c>
      <c r="E10">
        <f t="shared" si="2"/>
        <v>9</v>
      </c>
    </row>
    <row r="11" spans="1:5" x14ac:dyDescent="0.25">
      <c r="A11" t="s">
        <v>1481</v>
      </c>
      <c r="B11" s="1">
        <v>45301</v>
      </c>
      <c r="C11">
        <f t="shared" si="0"/>
        <v>2024</v>
      </c>
      <c r="D11">
        <f t="shared" si="1"/>
        <v>1</v>
      </c>
      <c r="E11">
        <f t="shared" si="2"/>
        <v>10</v>
      </c>
    </row>
    <row r="12" spans="1:5" x14ac:dyDescent="0.25">
      <c r="A12" t="s">
        <v>1482</v>
      </c>
      <c r="B12" s="1">
        <v>45302</v>
      </c>
      <c r="C12">
        <f t="shared" si="0"/>
        <v>2024</v>
      </c>
      <c r="D12">
        <f t="shared" si="1"/>
        <v>1</v>
      </c>
      <c r="E12">
        <f t="shared" si="2"/>
        <v>11</v>
      </c>
    </row>
    <row r="13" spans="1:5" x14ac:dyDescent="0.25">
      <c r="A13" t="s">
        <v>1483</v>
      </c>
      <c r="B13" s="1">
        <v>45303</v>
      </c>
      <c r="C13">
        <f t="shared" si="0"/>
        <v>2024</v>
      </c>
      <c r="D13">
        <f t="shared" si="1"/>
        <v>1</v>
      </c>
      <c r="E13">
        <f t="shared" si="2"/>
        <v>12</v>
      </c>
    </row>
    <row r="14" spans="1:5" x14ac:dyDescent="0.25">
      <c r="A14" t="s">
        <v>1484</v>
      </c>
      <c r="B14" s="1">
        <v>45304</v>
      </c>
      <c r="C14">
        <f t="shared" si="0"/>
        <v>2024</v>
      </c>
      <c r="D14">
        <f t="shared" si="1"/>
        <v>1</v>
      </c>
      <c r="E14">
        <f t="shared" si="2"/>
        <v>13</v>
      </c>
    </row>
    <row r="15" spans="1:5" x14ac:dyDescent="0.25">
      <c r="A15" t="s">
        <v>1485</v>
      </c>
      <c r="B15" s="1">
        <v>45306</v>
      </c>
      <c r="C15">
        <f t="shared" si="0"/>
        <v>2024</v>
      </c>
      <c r="D15">
        <f t="shared" si="1"/>
        <v>1</v>
      </c>
      <c r="E15">
        <f t="shared" si="2"/>
        <v>15</v>
      </c>
    </row>
    <row r="16" spans="1:5" x14ac:dyDescent="0.25">
      <c r="A16" t="s">
        <v>1486</v>
      </c>
      <c r="B16" s="1">
        <v>45307</v>
      </c>
      <c r="C16">
        <f t="shared" si="0"/>
        <v>2024</v>
      </c>
      <c r="D16">
        <f t="shared" si="1"/>
        <v>1</v>
      </c>
      <c r="E16">
        <f t="shared" si="2"/>
        <v>16</v>
      </c>
    </row>
    <row r="17" spans="1:5" x14ac:dyDescent="0.25">
      <c r="A17" t="s">
        <v>1487</v>
      </c>
      <c r="B17" s="1">
        <v>45308</v>
      </c>
      <c r="C17">
        <f t="shared" si="0"/>
        <v>2024</v>
      </c>
      <c r="D17">
        <f t="shared" si="1"/>
        <v>1</v>
      </c>
      <c r="E17">
        <f t="shared" si="2"/>
        <v>17</v>
      </c>
    </row>
    <row r="18" spans="1:5" x14ac:dyDescent="0.25">
      <c r="A18" t="s">
        <v>1488</v>
      </c>
      <c r="B18" s="1">
        <v>45309</v>
      </c>
      <c r="C18">
        <f t="shared" si="0"/>
        <v>2024</v>
      </c>
      <c r="D18">
        <f t="shared" si="1"/>
        <v>1</v>
      </c>
      <c r="E18">
        <f t="shared" si="2"/>
        <v>18</v>
      </c>
    </row>
    <row r="19" spans="1:5" x14ac:dyDescent="0.25">
      <c r="A19" t="s">
        <v>1489</v>
      </c>
      <c r="B19" s="1">
        <v>45310</v>
      </c>
      <c r="C19">
        <f t="shared" si="0"/>
        <v>2024</v>
      </c>
      <c r="D19">
        <f t="shared" si="1"/>
        <v>1</v>
      </c>
      <c r="E19">
        <f t="shared" si="2"/>
        <v>19</v>
      </c>
    </row>
    <row r="20" spans="1:5" x14ac:dyDescent="0.25">
      <c r="A20" t="s">
        <v>1490</v>
      </c>
      <c r="B20" s="1">
        <v>45311</v>
      </c>
      <c r="C20">
        <f t="shared" si="0"/>
        <v>2024</v>
      </c>
      <c r="D20">
        <f t="shared" si="1"/>
        <v>1</v>
      </c>
      <c r="E20">
        <f t="shared" si="2"/>
        <v>20</v>
      </c>
    </row>
    <row r="21" spans="1:5" x14ac:dyDescent="0.25">
      <c r="A21" t="s">
        <v>1491</v>
      </c>
      <c r="B21" s="1">
        <v>45313</v>
      </c>
      <c r="C21">
        <f t="shared" si="0"/>
        <v>2024</v>
      </c>
      <c r="D21">
        <f t="shared" si="1"/>
        <v>1</v>
      </c>
      <c r="E21">
        <f t="shared" si="2"/>
        <v>22</v>
      </c>
    </row>
    <row r="22" spans="1:5" x14ac:dyDescent="0.25">
      <c r="A22" t="s">
        <v>1492</v>
      </c>
      <c r="B22" s="1">
        <v>45314</v>
      </c>
      <c r="C22">
        <f t="shared" si="0"/>
        <v>2024</v>
      </c>
      <c r="D22">
        <f t="shared" si="1"/>
        <v>1</v>
      </c>
      <c r="E22">
        <f t="shared" si="2"/>
        <v>23</v>
      </c>
    </row>
    <row r="23" spans="1:5" x14ac:dyDescent="0.25">
      <c r="A23" t="s">
        <v>1493</v>
      </c>
      <c r="B23" s="1">
        <v>45316</v>
      </c>
      <c r="C23">
        <f t="shared" si="0"/>
        <v>2024</v>
      </c>
      <c r="D23">
        <f t="shared" si="1"/>
        <v>1</v>
      </c>
      <c r="E23">
        <f t="shared" si="2"/>
        <v>25</v>
      </c>
    </row>
    <row r="24" spans="1:5" x14ac:dyDescent="0.25">
      <c r="A24" t="s">
        <v>1494</v>
      </c>
      <c r="B24" s="1">
        <v>45317</v>
      </c>
      <c r="C24">
        <f t="shared" si="0"/>
        <v>2024</v>
      </c>
      <c r="D24">
        <f t="shared" si="1"/>
        <v>1</v>
      </c>
      <c r="E24">
        <f t="shared" si="2"/>
        <v>26</v>
      </c>
    </row>
    <row r="25" spans="1:5" x14ac:dyDescent="0.25">
      <c r="A25" t="s">
        <v>1495</v>
      </c>
      <c r="B25" s="1">
        <v>45318</v>
      </c>
      <c r="C25">
        <f t="shared" si="0"/>
        <v>2024</v>
      </c>
      <c r="D25">
        <f t="shared" si="1"/>
        <v>1</v>
      </c>
      <c r="E25">
        <f t="shared" si="2"/>
        <v>27</v>
      </c>
    </row>
    <row r="26" spans="1:5" x14ac:dyDescent="0.25">
      <c r="A26" t="s">
        <v>1496</v>
      </c>
      <c r="B26" s="1">
        <v>45319</v>
      </c>
      <c r="C26">
        <f t="shared" si="0"/>
        <v>2024</v>
      </c>
      <c r="D26">
        <f t="shared" si="1"/>
        <v>1</v>
      </c>
      <c r="E26">
        <f t="shared" si="2"/>
        <v>28</v>
      </c>
    </row>
    <row r="27" spans="1:5" x14ac:dyDescent="0.25">
      <c r="A27" t="s">
        <v>1497</v>
      </c>
      <c r="B27" s="1">
        <v>45320</v>
      </c>
      <c r="C27">
        <f t="shared" si="0"/>
        <v>2024</v>
      </c>
      <c r="D27">
        <f t="shared" si="1"/>
        <v>1</v>
      </c>
      <c r="E27">
        <f t="shared" si="2"/>
        <v>29</v>
      </c>
    </row>
    <row r="28" spans="1:5" x14ac:dyDescent="0.25">
      <c r="A28" t="s">
        <v>1498</v>
      </c>
      <c r="B28" s="1">
        <v>45323</v>
      </c>
      <c r="C28">
        <f t="shared" si="0"/>
        <v>2024</v>
      </c>
      <c r="D28">
        <f t="shared" si="1"/>
        <v>2</v>
      </c>
      <c r="E28">
        <f t="shared" si="2"/>
        <v>1</v>
      </c>
    </row>
    <row r="29" spans="1:5" x14ac:dyDescent="0.25">
      <c r="A29" t="s">
        <v>1499</v>
      </c>
      <c r="B29" s="1">
        <v>45324</v>
      </c>
      <c r="C29">
        <f t="shared" si="0"/>
        <v>2024</v>
      </c>
      <c r="D29">
        <f t="shared" si="1"/>
        <v>2</v>
      </c>
      <c r="E29">
        <f t="shared" si="2"/>
        <v>2</v>
      </c>
    </row>
    <row r="30" spans="1:5" x14ac:dyDescent="0.25">
      <c r="A30" t="s">
        <v>1500</v>
      </c>
      <c r="B30" s="1">
        <v>45325</v>
      </c>
      <c r="C30">
        <f t="shared" si="0"/>
        <v>2024</v>
      </c>
      <c r="D30">
        <f t="shared" si="1"/>
        <v>2</v>
      </c>
      <c r="E30">
        <f t="shared" si="2"/>
        <v>3</v>
      </c>
    </row>
    <row r="31" spans="1:5" x14ac:dyDescent="0.25">
      <c r="A31" t="s">
        <v>1501</v>
      </c>
      <c r="B31" s="1">
        <v>45326</v>
      </c>
      <c r="C31">
        <f t="shared" si="0"/>
        <v>2024</v>
      </c>
      <c r="D31">
        <f t="shared" si="1"/>
        <v>2</v>
      </c>
      <c r="E31">
        <f t="shared" si="2"/>
        <v>4</v>
      </c>
    </row>
    <row r="32" spans="1:5" x14ac:dyDescent="0.25">
      <c r="A32" t="s">
        <v>1502</v>
      </c>
      <c r="B32" s="1">
        <v>45327</v>
      </c>
      <c r="C32">
        <f t="shared" si="0"/>
        <v>2024</v>
      </c>
      <c r="D32">
        <f t="shared" si="1"/>
        <v>2</v>
      </c>
      <c r="E32">
        <f t="shared" si="2"/>
        <v>5</v>
      </c>
    </row>
    <row r="33" spans="1:5" x14ac:dyDescent="0.25">
      <c r="A33" t="s">
        <v>1503</v>
      </c>
      <c r="B33" s="1">
        <v>45328</v>
      </c>
      <c r="C33">
        <f t="shared" si="0"/>
        <v>2024</v>
      </c>
      <c r="D33">
        <f t="shared" si="1"/>
        <v>2</v>
      </c>
      <c r="E33">
        <f t="shared" si="2"/>
        <v>6</v>
      </c>
    </row>
    <row r="34" spans="1:5" x14ac:dyDescent="0.25">
      <c r="A34" t="s">
        <v>1504</v>
      </c>
      <c r="B34" s="1">
        <v>45329</v>
      </c>
      <c r="C34">
        <f t="shared" si="0"/>
        <v>2024</v>
      </c>
      <c r="D34">
        <f t="shared" si="1"/>
        <v>2</v>
      </c>
      <c r="E34">
        <f t="shared" si="2"/>
        <v>7</v>
      </c>
    </row>
    <row r="35" spans="1:5" x14ac:dyDescent="0.25">
      <c r="A35" t="s">
        <v>1505</v>
      </c>
      <c r="B35" s="1">
        <v>45330</v>
      </c>
      <c r="C35">
        <f t="shared" si="0"/>
        <v>2024</v>
      </c>
      <c r="D35">
        <f t="shared" si="1"/>
        <v>2</v>
      </c>
      <c r="E35">
        <f t="shared" si="2"/>
        <v>8</v>
      </c>
    </row>
    <row r="36" spans="1:5" x14ac:dyDescent="0.25">
      <c r="A36" t="s">
        <v>1506</v>
      </c>
      <c r="B36" s="1">
        <v>45331</v>
      </c>
      <c r="C36">
        <f t="shared" si="0"/>
        <v>2024</v>
      </c>
      <c r="D36">
        <f t="shared" si="1"/>
        <v>2</v>
      </c>
      <c r="E36">
        <f t="shared" si="2"/>
        <v>9</v>
      </c>
    </row>
    <row r="37" spans="1:5" x14ac:dyDescent="0.25">
      <c r="A37" t="s">
        <v>1507</v>
      </c>
      <c r="B37" s="1">
        <v>45332</v>
      </c>
      <c r="C37">
        <f t="shared" si="0"/>
        <v>2024</v>
      </c>
      <c r="D37">
        <f t="shared" si="1"/>
        <v>2</v>
      </c>
      <c r="E37">
        <f t="shared" si="2"/>
        <v>10</v>
      </c>
    </row>
    <row r="38" spans="1:5" x14ac:dyDescent="0.25">
      <c r="A38" t="s">
        <v>1508</v>
      </c>
      <c r="B38" s="1">
        <v>45333</v>
      </c>
      <c r="C38">
        <f t="shared" si="0"/>
        <v>2024</v>
      </c>
      <c r="D38">
        <f t="shared" si="1"/>
        <v>2</v>
      </c>
      <c r="E38">
        <f t="shared" si="2"/>
        <v>11</v>
      </c>
    </row>
    <row r="39" spans="1:5" x14ac:dyDescent="0.25">
      <c r="A39" t="s">
        <v>1509</v>
      </c>
      <c r="B39" s="1">
        <v>45334</v>
      </c>
      <c r="C39">
        <f t="shared" si="0"/>
        <v>2024</v>
      </c>
      <c r="D39">
        <f t="shared" si="1"/>
        <v>2</v>
      </c>
      <c r="E39">
        <f t="shared" si="2"/>
        <v>12</v>
      </c>
    </row>
    <row r="40" spans="1:5" x14ac:dyDescent="0.25">
      <c r="A40" t="s">
        <v>1510</v>
      </c>
      <c r="B40" s="1">
        <v>45337</v>
      </c>
      <c r="C40">
        <f t="shared" si="0"/>
        <v>2024</v>
      </c>
      <c r="D40">
        <f t="shared" si="1"/>
        <v>2</v>
      </c>
      <c r="E40">
        <f t="shared" si="2"/>
        <v>15</v>
      </c>
    </row>
    <row r="41" spans="1:5" x14ac:dyDescent="0.25">
      <c r="A41" t="s">
        <v>1511</v>
      </c>
      <c r="B41" s="1">
        <v>45338</v>
      </c>
      <c r="C41">
        <f t="shared" si="0"/>
        <v>2024</v>
      </c>
      <c r="D41">
        <f t="shared" si="1"/>
        <v>2</v>
      </c>
      <c r="E41">
        <f t="shared" si="2"/>
        <v>16</v>
      </c>
    </row>
    <row r="42" spans="1:5" x14ac:dyDescent="0.25">
      <c r="A42" t="s">
        <v>1512</v>
      </c>
      <c r="B42" s="1">
        <v>45339</v>
      </c>
      <c r="C42">
        <f t="shared" si="0"/>
        <v>2024</v>
      </c>
      <c r="D42">
        <f t="shared" si="1"/>
        <v>2</v>
      </c>
      <c r="E42">
        <f t="shared" si="2"/>
        <v>17</v>
      </c>
    </row>
    <row r="43" spans="1:5" x14ac:dyDescent="0.25">
      <c r="A43" t="s">
        <v>1513</v>
      </c>
      <c r="B43" s="1">
        <v>45340</v>
      </c>
      <c r="C43">
        <f t="shared" si="0"/>
        <v>2024</v>
      </c>
      <c r="D43">
        <f t="shared" si="1"/>
        <v>2</v>
      </c>
      <c r="E43">
        <f t="shared" si="2"/>
        <v>18</v>
      </c>
    </row>
    <row r="44" spans="1:5" x14ac:dyDescent="0.25">
      <c r="A44" t="s">
        <v>1514</v>
      </c>
      <c r="B44" s="1">
        <v>45342</v>
      </c>
      <c r="C44">
        <f t="shared" si="0"/>
        <v>2024</v>
      </c>
      <c r="D44">
        <f t="shared" si="1"/>
        <v>2</v>
      </c>
      <c r="E44">
        <f t="shared" si="2"/>
        <v>20</v>
      </c>
    </row>
    <row r="45" spans="1:5" x14ac:dyDescent="0.25">
      <c r="A45" t="s">
        <v>1515</v>
      </c>
      <c r="B45" s="1">
        <v>45344</v>
      </c>
      <c r="C45">
        <f t="shared" si="0"/>
        <v>2024</v>
      </c>
      <c r="D45">
        <f t="shared" si="1"/>
        <v>2</v>
      </c>
      <c r="E45">
        <f t="shared" si="2"/>
        <v>22</v>
      </c>
    </row>
    <row r="46" spans="1:5" x14ac:dyDescent="0.25">
      <c r="A46" t="s">
        <v>1516</v>
      </c>
      <c r="B46" s="1">
        <v>45345</v>
      </c>
      <c r="C46">
        <f t="shared" si="0"/>
        <v>2024</v>
      </c>
      <c r="D46">
        <f t="shared" si="1"/>
        <v>2</v>
      </c>
      <c r="E46">
        <f t="shared" si="2"/>
        <v>23</v>
      </c>
    </row>
    <row r="47" spans="1:5" x14ac:dyDescent="0.25">
      <c r="A47" t="s">
        <v>1517</v>
      </c>
      <c r="B47" s="1">
        <v>45346</v>
      </c>
      <c r="C47">
        <f t="shared" si="0"/>
        <v>2024</v>
      </c>
      <c r="D47">
        <f t="shared" si="1"/>
        <v>2</v>
      </c>
      <c r="E47">
        <f t="shared" si="2"/>
        <v>24</v>
      </c>
    </row>
    <row r="48" spans="1:5" x14ac:dyDescent="0.25">
      <c r="A48" t="s">
        <v>1518</v>
      </c>
      <c r="B48" s="1">
        <v>45347</v>
      </c>
      <c r="C48">
        <f t="shared" si="0"/>
        <v>2024</v>
      </c>
      <c r="D48">
        <f t="shared" si="1"/>
        <v>2</v>
      </c>
      <c r="E48">
        <f t="shared" si="2"/>
        <v>25</v>
      </c>
    </row>
    <row r="49" spans="1:5" x14ac:dyDescent="0.25">
      <c r="A49" t="s">
        <v>1519</v>
      </c>
      <c r="B49" s="1">
        <v>45349</v>
      </c>
      <c r="C49">
        <f t="shared" si="0"/>
        <v>2024</v>
      </c>
      <c r="D49">
        <f t="shared" si="1"/>
        <v>2</v>
      </c>
      <c r="E49">
        <f t="shared" si="2"/>
        <v>27</v>
      </c>
    </row>
    <row r="50" spans="1:5" x14ac:dyDescent="0.25">
      <c r="A50" t="s">
        <v>1520</v>
      </c>
      <c r="B50" s="1">
        <v>45352</v>
      </c>
      <c r="C50">
        <f t="shared" si="0"/>
        <v>2024</v>
      </c>
      <c r="D50">
        <f t="shared" si="1"/>
        <v>3</v>
      </c>
      <c r="E50">
        <f t="shared" si="2"/>
        <v>1</v>
      </c>
    </row>
    <row r="51" spans="1:5" x14ac:dyDescent="0.25">
      <c r="A51" t="s">
        <v>1521</v>
      </c>
      <c r="B51" s="1">
        <v>45353</v>
      </c>
      <c r="C51">
        <f t="shared" si="0"/>
        <v>2024</v>
      </c>
      <c r="D51">
        <f t="shared" si="1"/>
        <v>3</v>
      </c>
      <c r="E51">
        <f t="shared" si="2"/>
        <v>2</v>
      </c>
    </row>
    <row r="52" spans="1:5" x14ac:dyDescent="0.25">
      <c r="A52" t="s">
        <v>1522</v>
      </c>
      <c r="B52" s="1">
        <v>45354</v>
      </c>
      <c r="C52">
        <f t="shared" si="0"/>
        <v>2024</v>
      </c>
      <c r="D52">
        <f t="shared" si="1"/>
        <v>3</v>
      </c>
      <c r="E52">
        <f t="shared" si="2"/>
        <v>3</v>
      </c>
    </row>
    <row r="53" spans="1:5" x14ac:dyDescent="0.25">
      <c r="A53" t="s">
        <v>1523</v>
      </c>
      <c r="B53" s="1">
        <v>45356</v>
      </c>
      <c r="C53">
        <f t="shared" si="0"/>
        <v>2024</v>
      </c>
      <c r="D53">
        <f t="shared" si="1"/>
        <v>3</v>
      </c>
      <c r="E53">
        <f t="shared" si="2"/>
        <v>5</v>
      </c>
    </row>
    <row r="54" spans="1:5" x14ac:dyDescent="0.25">
      <c r="A54" t="s">
        <v>1524</v>
      </c>
      <c r="B54" s="1">
        <v>45358</v>
      </c>
      <c r="C54">
        <f t="shared" si="0"/>
        <v>2024</v>
      </c>
      <c r="D54">
        <f t="shared" si="1"/>
        <v>3</v>
      </c>
      <c r="E54">
        <f t="shared" si="2"/>
        <v>7</v>
      </c>
    </row>
    <row r="55" spans="1:5" x14ac:dyDescent="0.25">
      <c r="A55" t="s">
        <v>1525</v>
      </c>
      <c r="B55" s="1">
        <v>45360</v>
      </c>
      <c r="C55">
        <f t="shared" si="0"/>
        <v>2024</v>
      </c>
      <c r="D55">
        <f t="shared" si="1"/>
        <v>3</v>
      </c>
      <c r="E55">
        <f t="shared" si="2"/>
        <v>9</v>
      </c>
    </row>
    <row r="56" spans="1:5" x14ac:dyDescent="0.25">
      <c r="A56" t="s">
        <v>1526</v>
      </c>
      <c r="B56" s="1">
        <v>45361</v>
      </c>
      <c r="C56">
        <f t="shared" si="0"/>
        <v>2024</v>
      </c>
      <c r="D56">
        <f t="shared" si="1"/>
        <v>3</v>
      </c>
      <c r="E56">
        <f t="shared" si="2"/>
        <v>10</v>
      </c>
    </row>
    <row r="57" spans="1:5" x14ac:dyDescent="0.25">
      <c r="A57" t="s">
        <v>1527</v>
      </c>
      <c r="B57" s="1">
        <v>45363</v>
      </c>
      <c r="C57">
        <f t="shared" si="0"/>
        <v>2024</v>
      </c>
      <c r="D57">
        <f t="shared" si="1"/>
        <v>3</v>
      </c>
      <c r="E57">
        <f t="shared" si="2"/>
        <v>12</v>
      </c>
    </row>
    <row r="58" spans="1:5" x14ac:dyDescent="0.25">
      <c r="A58" t="s">
        <v>1528</v>
      </c>
      <c r="B58" s="1">
        <v>45364</v>
      </c>
      <c r="C58">
        <f t="shared" si="0"/>
        <v>2024</v>
      </c>
      <c r="D58">
        <f t="shared" si="1"/>
        <v>3</v>
      </c>
      <c r="E58">
        <f t="shared" si="2"/>
        <v>13</v>
      </c>
    </row>
    <row r="59" spans="1:5" x14ac:dyDescent="0.25">
      <c r="A59" t="s">
        <v>1529</v>
      </c>
      <c r="B59" s="1">
        <v>45365</v>
      </c>
      <c r="C59">
        <f t="shared" si="0"/>
        <v>2024</v>
      </c>
      <c r="D59">
        <f t="shared" si="1"/>
        <v>3</v>
      </c>
      <c r="E59">
        <f t="shared" si="2"/>
        <v>14</v>
      </c>
    </row>
    <row r="60" spans="1:5" x14ac:dyDescent="0.25">
      <c r="A60" t="s">
        <v>1530</v>
      </c>
      <c r="B60" s="1">
        <v>45366</v>
      </c>
      <c r="C60">
        <f t="shared" si="0"/>
        <v>2024</v>
      </c>
      <c r="D60">
        <f t="shared" si="1"/>
        <v>3</v>
      </c>
      <c r="E60">
        <f t="shared" si="2"/>
        <v>15</v>
      </c>
    </row>
    <row r="61" spans="1:5" x14ac:dyDescent="0.25">
      <c r="A61" t="s">
        <v>1531</v>
      </c>
      <c r="B61" s="1">
        <v>45367</v>
      </c>
      <c r="C61">
        <f t="shared" si="0"/>
        <v>2024</v>
      </c>
      <c r="D61">
        <f t="shared" si="1"/>
        <v>3</v>
      </c>
      <c r="E61">
        <f t="shared" si="2"/>
        <v>16</v>
      </c>
    </row>
    <row r="62" spans="1:5" x14ac:dyDescent="0.25">
      <c r="A62" t="s">
        <v>1532</v>
      </c>
      <c r="B62" s="1">
        <v>45369</v>
      </c>
      <c r="C62">
        <f t="shared" si="0"/>
        <v>2024</v>
      </c>
      <c r="D62">
        <f t="shared" si="1"/>
        <v>3</v>
      </c>
      <c r="E62">
        <f t="shared" si="2"/>
        <v>18</v>
      </c>
    </row>
    <row r="63" spans="1:5" x14ac:dyDescent="0.25">
      <c r="A63" t="s">
        <v>1533</v>
      </c>
      <c r="B63" s="1">
        <v>45371</v>
      </c>
      <c r="C63">
        <f t="shared" si="0"/>
        <v>2024</v>
      </c>
      <c r="D63">
        <f t="shared" si="1"/>
        <v>3</v>
      </c>
      <c r="E63">
        <f t="shared" si="2"/>
        <v>20</v>
      </c>
    </row>
    <row r="64" spans="1:5" x14ac:dyDescent="0.25">
      <c r="A64" t="s">
        <v>1534</v>
      </c>
      <c r="B64" s="1">
        <v>45372</v>
      </c>
      <c r="C64">
        <f t="shared" si="0"/>
        <v>2024</v>
      </c>
      <c r="D64">
        <f t="shared" si="1"/>
        <v>3</v>
      </c>
      <c r="E64">
        <f t="shared" si="2"/>
        <v>21</v>
      </c>
    </row>
    <row r="65" spans="1:5" x14ac:dyDescent="0.25">
      <c r="A65" t="s">
        <v>1535</v>
      </c>
      <c r="B65" s="1">
        <v>45374</v>
      </c>
      <c r="C65">
        <f t="shared" si="0"/>
        <v>2024</v>
      </c>
      <c r="D65">
        <f t="shared" si="1"/>
        <v>3</v>
      </c>
      <c r="E65">
        <f t="shared" si="2"/>
        <v>23</v>
      </c>
    </row>
    <row r="66" spans="1:5" x14ac:dyDescent="0.25">
      <c r="A66" t="s">
        <v>1536</v>
      </c>
      <c r="B66" s="1">
        <v>45375</v>
      </c>
      <c r="C66">
        <f t="shared" si="0"/>
        <v>2024</v>
      </c>
      <c r="D66">
        <f t="shared" si="1"/>
        <v>3</v>
      </c>
      <c r="E66">
        <f t="shared" si="2"/>
        <v>24</v>
      </c>
    </row>
    <row r="67" spans="1:5" x14ac:dyDescent="0.25">
      <c r="A67" t="s">
        <v>1537</v>
      </c>
      <c r="B67" s="1">
        <v>45376</v>
      </c>
      <c r="C67">
        <f t="shared" ref="C67:C130" si="3">YEAR(B67)</f>
        <v>2024</v>
      </c>
      <c r="D67">
        <f t="shared" ref="D67:D130" si="4">MONTH(B67)</f>
        <v>3</v>
      </c>
      <c r="E67">
        <f t="shared" ref="E67:E130" si="5">DAY(B67)</f>
        <v>25</v>
      </c>
    </row>
    <row r="68" spans="1:5" x14ac:dyDescent="0.25">
      <c r="A68" t="s">
        <v>1538</v>
      </c>
      <c r="B68" s="1">
        <v>45377</v>
      </c>
      <c r="C68">
        <f t="shared" si="3"/>
        <v>2024</v>
      </c>
      <c r="D68">
        <f t="shared" si="4"/>
        <v>3</v>
      </c>
      <c r="E68">
        <f t="shared" si="5"/>
        <v>26</v>
      </c>
    </row>
    <row r="69" spans="1:5" x14ac:dyDescent="0.25">
      <c r="A69" t="s">
        <v>1539</v>
      </c>
      <c r="B69" s="1">
        <v>45378</v>
      </c>
      <c r="C69">
        <f t="shared" si="3"/>
        <v>2024</v>
      </c>
      <c r="D69">
        <f t="shared" si="4"/>
        <v>3</v>
      </c>
      <c r="E69">
        <f t="shared" si="5"/>
        <v>27</v>
      </c>
    </row>
    <row r="70" spans="1:5" x14ac:dyDescent="0.25">
      <c r="A70" t="s">
        <v>1540</v>
      </c>
      <c r="B70" s="1">
        <v>45379</v>
      </c>
      <c r="C70">
        <f t="shared" si="3"/>
        <v>2024</v>
      </c>
      <c r="D70">
        <f t="shared" si="4"/>
        <v>3</v>
      </c>
      <c r="E70">
        <f t="shared" si="5"/>
        <v>28</v>
      </c>
    </row>
    <row r="71" spans="1:5" x14ac:dyDescent="0.25">
      <c r="A71" t="s">
        <v>1541</v>
      </c>
      <c r="B71" s="1">
        <v>45380</v>
      </c>
      <c r="C71">
        <f t="shared" si="3"/>
        <v>2024</v>
      </c>
      <c r="D71">
        <f t="shared" si="4"/>
        <v>3</v>
      </c>
      <c r="E71">
        <f t="shared" si="5"/>
        <v>29</v>
      </c>
    </row>
    <row r="72" spans="1:5" x14ac:dyDescent="0.25">
      <c r="A72" t="s">
        <v>1542</v>
      </c>
      <c r="B72" s="1">
        <v>45381</v>
      </c>
      <c r="C72">
        <f t="shared" si="3"/>
        <v>2024</v>
      </c>
      <c r="D72">
        <f t="shared" si="4"/>
        <v>3</v>
      </c>
      <c r="E72">
        <f t="shared" si="5"/>
        <v>30</v>
      </c>
    </row>
    <row r="73" spans="1:5" x14ac:dyDescent="0.25">
      <c r="A73" t="s">
        <v>1543</v>
      </c>
      <c r="B73" s="1">
        <v>45382</v>
      </c>
      <c r="C73">
        <f t="shared" si="3"/>
        <v>2024</v>
      </c>
      <c r="D73">
        <f t="shared" si="4"/>
        <v>3</v>
      </c>
      <c r="E73">
        <f t="shared" si="5"/>
        <v>31</v>
      </c>
    </row>
    <row r="74" spans="1:5" x14ac:dyDescent="0.25">
      <c r="A74" t="s">
        <v>1544</v>
      </c>
      <c r="B74" s="1">
        <v>45383</v>
      </c>
      <c r="C74">
        <f t="shared" si="3"/>
        <v>2024</v>
      </c>
      <c r="D74">
        <f t="shared" si="4"/>
        <v>4</v>
      </c>
      <c r="E74">
        <f t="shared" si="5"/>
        <v>1</v>
      </c>
    </row>
    <row r="75" spans="1:5" x14ac:dyDescent="0.25">
      <c r="A75" t="s">
        <v>1545</v>
      </c>
      <c r="B75" s="1">
        <v>45384</v>
      </c>
      <c r="C75">
        <f t="shared" si="3"/>
        <v>2024</v>
      </c>
      <c r="D75">
        <f t="shared" si="4"/>
        <v>4</v>
      </c>
      <c r="E75">
        <f t="shared" si="5"/>
        <v>2</v>
      </c>
    </row>
    <row r="76" spans="1:5" x14ac:dyDescent="0.25">
      <c r="A76" t="s">
        <v>1546</v>
      </c>
      <c r="B76" s="1">
        <v>45385</v>
      </c>
      <c r="C76">
        <f t="shared" si="3"/>
        <v>2024</v>
      </c>
      <c r="D76">
        <f t="shared" si="4"/>
        <v>4</v>
      </c>
      <c r="E76">
        <f t="shared" si="5"/>
        <v>3</v>
      </c>
    </row>
    <row r="77" spans="1:5" x14ac:dyDescent="0.25">
      <c r="A77" t="s">
        <v>1547</v>
      </c>
      <c r="B77" s="1">
        <v>45386</v>
      </c>
      <c r="C77">
        <f t="shared" si="3"/>
        <v>2024</v>
      </c>
      <c r="D77">
        <f t="shared" si="4"/>
        <v>4</v>
      </c>
      <c r="E77">
        <f t="shared" si="5"/>
        <v>4</v>
      </c>
    </row>
    <row r="78" spans="1:5" x14ac:dyDescent="0.25">
      <c r="A78" t="s">
        <v>1548</v>
      </c>
      <c r="B78" s="1">
        <v>45387</v>
      </c>
      <c r="C78">
        <f t="shared" si="3"/>
        <v>2024</v>
      </c>
      <c r="D78">
        <f t="shared" si="4"/>
        <v>4</v>
      </c>
      <c r="E78">
        <f t="shared" si="5"/>
        <v>5</v>
      </c>
    </row>
    <row r="79" spans="1:5" x14ac:dyDescent="0.25">
      <c r="A79" t="s">
        <v>1549</v>
      </c>
      <c r="B79" s="1">
        <v>45388</v>
      </c>
      <c r="C79">
        <f t="shared" si="3"/>
        <v>2024</v>
      </c>
      <c r="D79">
        <f t="shared" si="4"/>
        <v>4</v>
      </c>
      <c r="E79">
        <f t="shared" si="5"/>
        <v>6</v>
      </c>
    </row>
    <row r="80" spans="1:5" x14ac:dyDescent="0.25">
      <c r="A80" t="s">
        <v>1550</v>
      </c>
      <c r="B80" s="1">
        <v>45389</v>
      </c>
      <c r="C80">
        <f t="shared" si="3"/>
        <v>2024</v>
      </c>
      <c r="D80">
        <f t="shared" si="4"/>
        <v>4</v>
      </c>
      <c r="E80">
        <f t="shared" si="5"/>
        <v>7</v>
      </c>
    </row>
    <row r="81" spans="1:5" x14ac:dyDescent="0.25">
      <c r="A81" t="s">
        <v>1551</v>
      </c>
      <c r="B81" s="1">
        <v>45390</v>
      </c>
      <c r="C81">
        <f t="shared" si="3"/>
        <v>2024</v>
      </c>
      <c r="D81">
        <f t="shared" si="4"/>
        <v>4</v>
      </c>
      <c r="E81">
        <f t="shared" si="5"/>
        <v>8</v>
      </c>
    </row>
    <row r="82" spans="1:5" x14ac:dyDescent="0.25">
      <c r="A82" t="s">
        <v>1552</v>
      </c>
      <c r="B82" s="1">
        <v>45391</v>
      </c>
      <c r="C82">
        <f t="shared" si="3"/>
        <v>2024</v>
      </c>
      <c r="D82">
        <f t="shared" si="4"/>
        <v>4</v>
      </c>
      <c r="E82">
        <f t="shared" si="5"/>
        <v>9</v>
      </c>
    </row>
    <row r="83" spans="1:5" x14ac:dyDescent="0.25">
      <c r="A83" t="s">
        <v>1553</v>
      </c>
      <c r="B83" s="1">
        <v>45394</v>
      </c>
      <c r="C83">
        <f t="shared" si="3"/>
        <v>2024</v>
      </c>
      <c r="D83">
        <f t="shared" si="4"/>
        <v>4</v>
      </c>
      <c r="E83">
        <f t="shared" si="5"/>
        <v>12</v>
      </c>
    </row>
    <row r="84" spans="1:5" x14ac:dyDescent="0.25">
      <c r="A84" t="s">
        <v>1554</v>
      </c>
      <c r="B84" s="1">
        <v>45395</v>
      </c>
      <c r="C84">
        <f t="shared" si="3"/>
        <v>2024</v>
      </c>
      <c r="D84">
        <f t="shared" si="4"/>
        <v>4</v>
      </c>
      <c r="E84">
        <f t="shared" si="5"/>
        <v>13</v>
      </c>
    </row>
    <row r="85" spans="1:5" x14ac:dyDescent="0.25">
      <c r="A85" t="s">
        <v>1555</v>
      </c>
      <c r="B85" s="1">
        <v>45396</v>
      </c>
      <c r="C85">
        <f t="shared" si="3"/>
        <v>2024</v>
      </c>
      <c r="D85">
        <f t="shared" si="4"/>
        <v>4</v>
      </c>
      <c r="E85">
        <f t="shared" si="5"/>
        <v>14</v>
      </c>
    </row>
    <row r="86" spans="1:5" x14ac:dyDescent="0.25">
      <c r="A86" t="s">
        <v>1556</v>
      </c>
      <c r="B86" s="1">
        <v>45397</v>
      </c>
      <c r="C86">
        <f t="shared" si="3"/>
        <v>2024</v>
      </c>
      <c r="D86">
        <f t="shared" si="4"/>
        <v>4</v>
      </c>
      <c r="E86">
        <f t="shared" si="5"/>
        <v>15</v>
      </c>
    </row>
    <row r="87" spans="1:5" x14ac:dyDescent="0.25">
      <c r="A87" t="s">
        <v>1557</v>
      </c>
      <c r="B87" s="1">
        <v>45398</v>
      </c>
      <c r="C87">
        <f t="shared" si="3"/>
        <v>2024</v>
      </c>
      <c r="D87">
        <f t="shared" si="4"/>
        <v>4</v>
      </c>
      <c r="E87">
        <f t="shared" si="5"/>
        <v>16</v>
      </c>
    </row>
    <row r="88" spans="1:5" x14ac:dyDescent="0.25">
      <c r="A88" t="s">
        <v>1558</v>
      </c>
      <c r="B88" s="1">
        <v>45400</v>
      </c>
      <c r="C88">
        <f t="shared" si="3"/>
        <v>2024</v>
      </c>
      <c r="D88">
        <f t="shared" si="4"/>
        <v>4</v>
      </c>
      <c r="E88">
        <f t="shared" si="5"/>
        <v>18</v>
      </c>
    </row>
    <row r="89" spans="1:5" x14ac:dyDescent="0.25">
      <c r="A89" t="s">
        <v>1559</v>
      </c>
      <c r="B89" s="1">
        <v>45402</v>
      </c>
      <c r="C89">
        <f t="shared" si="3"/>
        <v>2024</v>
      </c>
      <c r="D89">
        <f t="shared" si="4"/>
        <v>4</v>
      </c>
      <c r="E89">
        <f t="shared" si="5"/>
        <v>20</v>
      </c>
    </row>
    <row r="90" spans="1:5" x14ac:dyDescent="0.25">
      <c r="A90" t="s">
        <v>1560</v>
      </c>
      <c r="B90" s="1">
        <v>45403</v>
      </c>
      <c r="C90">
        <f t="shared" si="3"/>
        <v>2024</v>
      </c>
      <c r="D90">
        <f t="shared" si="4"/>
        <v>4</v>
      </c>
      <c r="E90">
        <f t="shared" si="5"/>
        <v>21</v>
      </c>
    </row>
    <row r="91" spans="1:5" x14ac:dyDescent="0.25">
      <c r="A91" t="s">
        <v>1561</v>
      </c>
      <c r="B91" s="1">
        <v>45404</v>
      </c>
      <c r="C91">
        <f t="shared" si="3"/>
        <v>2024</v>
      </c>
      <c r="D91">
        <f t="shared" si="4"/>
        <v>4</v>
      </c>
      <c r="E91">
        <f t="shared" si="5"/>
        <v>22</v>
      </c>
    </row>
    <row r="92" spans="1:5" x14ac:dyDescent="0.25">
      <c r="A92" t="s">
        <v>1562</v>
      </c>
      <c r="B92" s="1">
        <v>45405</v>
      </c>
      <c r="C92">
        <f t="shared" si="3"/>
        <v>2024</v>
      </c>
      <c r="D92">
        <f t="shared" si="4"/>
        <v>4</v>
      </c>
      <c r="E92">
        <f t="shared" si="5"/>
        <v>23</v>
      </c>
    </row>
    <row r="93" spans="1:5" x14ac:dyDescent="0.25">
      <c r="A93" t="s">
        <v>1563</v>
      </c>
      <c r="B93" s="1">
        <v>45406</v>
      </c>
      <c r="C93">
        <f t="shared" si="3"/>
        <v>2024</v>
      </c>
      <c r="D93">
        <f t="shared" si="4"/>
        <v>4</v>
      </c>
      <c r="E93">
        <f t="shared" si="5"/>
        <v>24</v>
      </c>
    </row>
    <row r="94" spans="1:5" x14ac:dyDescent="0.25">
      <c r="A94" t="s">
        <v>1564</v>
      </c>
      <c r="B94" s="1">
        <v>45407</v>
      </c>
      <c r="C94">
        <f t="shared" si="3"/>
        <v>2024</v>
      </c>
      <c r="D94">
        <f t="shared" si="4"/>
        <v>4</v>
      </c>
      <c r="E94">
        <f t="shared" si="5"/>
        <v>25</v>
      </c>
    </row>
    <row r="95" spans="1:5" x14ac:dyDescent="0.25">
      <c r="A95" t="s">
        <v>1565</v>
      </c>
      <c r="B95" s="1">
        <v>45408</v>
      </c>
      <c r="C95">
        <f t="shared" si="3"/>
        <v>2024</v>
      </c>
      <c r="D95">
        <f t="shared" si="4"/>
        <v>4</v>
      </c>
      <c r="E95">
        <f t="shared" si="5"/>
        <v>26</v>
      </c>
    </row>
    <row r="96" spans="1:5" x14ac:dyDescent="0.25">
      <c r="A96" t="s">
        <v>1566</v>
      </c>
      <c r="B96" s="1">
        <v>45409</v>
      </c>
      <c r="C96">
        <f t="shared" si="3"/>
        <v>2024</v>
      </c>
      <c r="D96">
        <f t="shared" si="4"/>
        <v>4</v>
      </c>
      <c r="E96">
        <f t="shared" si="5"/>
        <v>27</v>
      </c>
    </row>
    <row r="97" spans="1:5" x14ac:dyDescent="0.25">
      <c r="A97" t="s">
        <v>1567</v>
      </c>
      <c r="B97" s="1">
        <v>45410</v>
      </c>
      <c r="C97">
        <f t="shared" si="3"/>
        <v>2024</v>
      </c>
      <c r="D97">
        <f t="shared" si="4"/>
        <v>4</v>
      </c>
      <c r="E97">
        <f t="shared" si="5"/>
        <v>28</v>
      </c>
    </row>
    <row r="98" spans="1:5" x14ac:dyDescent="0.25">
      <c r="A98" t="s">
        <v>1568</v>
      </c>
      <c r="B98" s="1">
        <v>45411</v>
      </c>
      <c r="C98">
        <f t="shared" si="3"/>
        <v>2024</v>
      </c>
      <c r="D98">
        <f t="shared" si="4"/>
        <v>4</v>
      </c>
      <c r="E98">
        <f t="shared" si="5"/>
        <v>29</v>
      </c>
    </row>
    <row r="99" spans="1:5" x14ac:dyDescent="0.25">
      <c r="A99" t="s">
        <v>1569</v>
      </c>
      <c r="B99" s="1">
        <v>45412</v>
      </c>
      <c r="C99">
        <f t="shared" si="3"/>
        <v>2024</v>
      </c>
      <c r="D99">
        <f t="shared" si="4"/>
        <v>4</v>
      </c>
      <c r="E99">
        <f t="shared" si="5"/>
        <v>30</v>
      </c>
    </row>
    <row r="100" spans="1:5" x14ac:dyDescent="0.25">
      <c r="A100" t="s">
        <v>1570</v>
      </c>
      <c r="B100" s="1">
        <v>45413</v>
      </c>
      <c r="C100">
        <f t="shared" si="3"/>
        <v>2024</v>
      </c>
      <c r="D100">
        <f t="shared" si="4"/>
        <v>5</v>
      </c>
      <c r="E100">
        <f t="shared" si="5"/>
        <v>1</v>
      </c>
    </row>
    <row r="101" spans="1:5" x14ac:dyDescent="0.25">
      <c r="A101" t="s">
        <v>1571</v>
      </c>
      <c r="B101" s="1">
        <v>45416</v>
      </c>
      <c r="C101">
        <f t="shared" si="3"/>
        <v>2024</v>
      </c>
      <c r="D101">
        <f t="shared" si="4"/>
        <v>5</v>
      </c>
      <c r="E101">
        <f t="shared" si="5"/>
        <v>4</v>
      </c>
    </row>
    <row r="102" spans="1:5" x14ac:dyDescent="0.25">
      <c r="A102" t="s">
        <v>1572</v>
      </c>
      <c r="B102" s="1">
        <v>45417</v>
      </c>
      <c r="C102">
        <f t="shared" si="3"/>
        <v>2024</v>
      </c>
      <c r="D102">
        <f t="shared" si="4"/>
        <v>5</v>
      </c>
      <c r="E102">
        <f t="shared" si="5"/>
        <v>5</v>
      </c>
    </row>
    <row r="103" spans="1:5" x14ac:dyDescent="0.25">
      <c r="A103" t="s">
        <v>1573</v>
      </c>
      <c r="B103" s="1">
        <v>45418</v>
      </c>
      <c r="C103">
        <f t="shared" si="3"/>
        <v>2024</v>
      </c>
      <c r="D103">
        <f t="shared" si="4"/>
        <v>5</v>
      </c>
      <c r="E103">
        <f t="shared" si="5"/>
        <v>6</v>
      </c>
    </row>
    <row r="104" spans="1:5" x14ac:dyDescent="0.25">
      <c r="A104" t="s">
        <v>1574</v>
      </c>
      <c r="B104" s="1">
        <v>45419</v>
      </c>
      <c r="C104">
        <f t="shared" si="3"/>
        <v>2024</v>
      </c>
      <c r="D104">
        <f t="shared" si="4"/>
        <v>5</v>
      </c>
      <c r="E104">
        <f t="shared" si="5"/>
        <v>7</v>
      </c>
    </row>
    <row r="105" spans="1:5" x14ac:dyDescent="0.25">
      <c r="A105" t="s">
        <v>1575</v>
      </c>
      <c r="B105" s="1">
        <v>45421</v>
      </c>
      <c r="C105">
        <f t="shared" si="3"/>
        <v>2024</v>
      </c>
      <c r="D105">
        <f t="shared" si="4"/>
        <v>5</v>
      </c>
      <c r="E105">
        <f t="shared" si="5"/>
        <v>9</v>
      </c>
    </row>
    <row r="106" spans="1:5" x14ac:dyDescent="0.25">
      <c r="A106" t="s">
        <v>1576</v>
      </c>
      <c r="B106" s="1">
        <v>45422</v>
      </c>
      <c r="C106">
        <f t="shared" si="3"/>
        <v>2024</v>
      </c>
      <c r="D106">
        <f t="shared" si="4"/>
        <v>5</v>
      </c>
      <c r="E106">
        <f t="shared" si="5"/>
        <v>10</v>
      </c>
    </row>
    <row r="107" spans="1:5" x14ac:dyDescent="0.25">
      <c r="A107" t="s">
        <v>1577</v>
      </c>
      <c r="B107" s="1">
        <v>45423</v>
      </c>
      <c r="C107">
        <f t="shared" si="3"/>
        <v>2024</v>
      </c>
      <c r="D107">
        <f t="shared" si="4"/>
        <v>5</v>
      </c>
      <c r="E107">
        <f t="shared" si="5"/>
        <v>11</v>
      </c>
    </row>
    <row r="108" spans="1:5" x14ac:dyDescent="0.25">
      <c r="A108" t="s">
        <v>1578</v>
      </c>
      <c r="B108" s="1">
        <v>45424</v>
      </c>
      <c r="C108">
        <f t="shared" si="3"/>
        <v>2024</v>
      </c>
      <c r="D108">
        <f t="shared" si="4"/>
        <v>5</v>
      </c>
      <c r="E108">
        <f t="shared" si="5"/>
        <v>12</v>
      </c>
    </row>
    <row r="109" spans="1:5" x14ac:dyDescent="0.25">
      <c r="A109" t="s">
        <v>1579</v>
      </c>
      <c r="B109" s="1">
        <v>45425</v>
      </c>
      <c r="C109">
        <f t="shared" si="3"/>
        <v>2024</v>
      </c>
      <c r="D109">
        <f t="shared" si="4"/>
        <v>5</v>
      </c>
      <c r="E109">
        <f t="shared" si="5"/>
        <v>13</v>
      </c>
    </row>
    <row r="110" spans="1:5" x14ac:dyDescent="0.25">
      <c r="A110" t="s">
        <v>1580</v>
      </c>
      <c r="B110" s="1">
        <v>45426</v>
      </c>
      <c r="C110">
        <f t="shared" si="3"/>
        <v>2024</v>
      </c>
      <c r="D110">
        <f t="shared" si="4"/>
        <v>5</v>
      </c>
      <c r="E110">
        <f t="shared" si="5"/>
        <v>14</v>
      </c>
    </row>
    <row r="111" spans="1:5" x14ac:dyDescent="0.25">
      <c r="A111" t="s">
        <v>1581</v>
      </c>
      <c r="B111" s="1">
        <v>45428</v>
      </c>
      <c r="C111">
        <f t="shared" si="3"/>
        <v>2024</v>
      </c>
      <c r="D111">
        <f t="shared" si="4"/>
        <v>5</v>
      </c>
      <c r="E111">
        <f t="shared" si="5"/>
        <v>16</v>
      </c>
    </row>
    <row r="112" spans="1:5" x14ac:dyDescent="0.25">
      <c r="A112" t="s">
        <v>1582</v>
      </c>
      <c r="B112" s="1">
        <v>45429</v>
      </c>
      <c r="C112">
        <f t="shared" si="3"/>
        <v>2024</v>
      </c>
      <c r="D112">
        <f t="shared" si="4"/>
        <v>5</v>
      </c>
      <c r="E112">
        <f t="shared" si="5"/>
        <v>17</v>
      </c>
    </row>
    <row r="113" spans="1:5" x14ac:dyDescent="0.25">
      <c r="A113" t="s">
        <v>1583</v>
      </c>
      <c r="B113" s="1">
        <v>45430</v>
      </c>
      <c r="C113">
        <f t="shared" si="3"/>
        <v>2024</v>
      </c>
      <c r="D113">
        <f t="shared" si="4"/>
        <v>5</v>
      </c>
      <c r="E113">
        <f t="shared" si="5"/>
        <v>18</v>
      </c>
    </row>
    <row r="114" spans="1:5" x14ac:dyDescent="0.25">
      <c r="A114" t="s">
        <v>1584</v>
      </c>
      <c r="B114" s="1">
        <v>45431</v>
      </c>
      <c r="C114">
        <f t="shared" si="3"/>
        <v>2024</v>
      </c>
      <c r="D114">
        <f t="shared" si="4"/>
        <v>5</v>
      </c>
      <c r="E114">
        <f t="shared" si="5"/>
        <v>19</v>
      </c>
    </row>
    <row r="115" spans="1:5" x14ac:dyDescent="0.25">
      <c r="A115" t="s">
        <v>1585</v>
      </c>
      <c r="B115" s="1">
        <v>45432</v>
      </c>
      <c r="C115">
        <f t="shared" si="3"/>
        <v>2024</v>
      </c>
      <c r="D115">
        <f t="shared" si="4"/>
        <v>5</v>
      </c>
      <c r="E115">
        <f t="shared" si="5"/>
        <v>20</v>
      </c>
    </row>
    <row r="116" spans="1:5" x14ac:dyDescent="0.25">
      <c r="A116" t="s">
        <v>1586</v>
      </c>
      <c r="B116" s="1">
        <v>45434</v>
      </c>
      <c r="C116">
        <f t="shared" si="3"/>
        <v>2024</v>
      </c>
      <c r="D116">
        <f t="shared" si="4"/>
        <v>5</v>
      </c>
      <c r="E116">
        <f t="shared" si="5"/>
        <v>22</v>
      </c>
    </row>
    <row r="117" spans="1:5" x14ac:dyDescent="0.25">
      <c r="A117" t="s">
        <v>1587</v>
      </c>
      <c r="B117" s="1">
        <v>45435</v>
      </c>
      <c r="C117">
        <f t="shared" si="3"/>
        <v>2024</v>
      </c>
      <c r="D117">
        <f t="shared" si="4"/>
        <v>5</v>
      </c>
      <c r="E117">
        <f t="shared" si="5"/>
        <v>23</v>
      </c>
    </row>
    <row r="118" spans="1:5" x14ac:dyDescent="0.25">
      <c r="A118" t="s">
        <v>1588</v>
      </c>
      <c r="B118" s="1">
        <v>45436</v>
      </c>
      <c r="C118">
        <f t="shared" si="3"/>
        <v>2024</v>
      </c>
      <c r="D118">
        <f t="shared" si="4"/>
        <v>5</v>
      </c>
      <c r="E118">
        <f t="shared" si="5"/>
        <v>24</v>
      </c>
    </row>
    <row r="119" spans="1:5" x14ac:dyDescent="0.25">
      <c r="A119" t="s">
        <v>1589</v>
      </c>
      <c r="B119" s="1">
        <v>45437</v>
      </c>
      <c r="C119">
        <f t="shared" si="3"/>
        <v>2024</v>
      </c>
      <c r="D119">
        <f t="shared" si="4"/>
        <v>5</v>
      </c>
      <c r="E119">
        <f t="shared" si="5"/>
        <v>25</v>
      </c>
    </row>
    <row r="120" spans="1:5" x14ac:dyDescent="0.25">
      <c r="A120" t="s">
        <v>1590</v>
      </c>
      <c r="B120" s="1">
        <v>45439</v>
      </c>
      <c r="C120">
        <f t="shared" si="3"/>
        <v>2024</v>
      </c>
      <c r="D120">
        <f t="shared" si="4"/>
        <v>5</v>
      </c>
      <c r="E120">
        <f t="shared" si="5"/>
        <v>27</v>
      </c>
    </row>
    <row r="121" spans="1:5" x14ac:dyDescent="0.25">
      <c r="A121" t="s">
        <v>1591</v>
      </c>
      <c r="B121" s="1">
        <v>45440</v>
      </c>
      <c r="C121">
        <f t="shared" si="3"/>
        <v>2024</v>
      </c>
      <c r="D121">
        <f t="shared" si="4"/>
        <v>5</v>
      </c>
      <c r="E121">
        <f t="shared" si="5"/>
        <v>28</v>
      </c>
    </row>
    <row r="122" spans="1:5" x14ac:dyDescent="0.25">
      <c r="A122" t="s">
        <v>1592</v>
      </c>
      <c r="B122" s="1">
        <v>45441</v>
      </c>
      <c r="C122">
        <f t="shared" si="3"/>
        <v>2024</v>
      </c>
      <c r="D122">
        <f t="shared" si="4"/>
        <v>5</v>
      </c>
      <c r="E122">
        <f t="shared" si="5"/>
        <v>29</v>
      </c>
    </row>
    <row r="123" spans="1:5" x14ac:dyDescent="0.25">
      <c r="A123" t="s">
        <v>1593</v>
      </c>
      <c r="B123" s="1">
        <v>45442</v>
      </c>
      <c r="C123">
        <f t="shared" si="3"/>
        <v>2024</v>
      </c>
      <c r="D123">
        <f t="shared" si="4"/>
        <v>5</v>
      </c>
      <c r="E123">
        <f t="shared" si="5"/>
        <v>30</v>
      </c>
    </row>
    <row r="124" spans="1:5" x14ac:dyDescent="0.25">
      <c r="A124" t="s">
        <v>1594</v>
      </c>
      <c r="B124" s="1">
        <v>45443</v>
      </c>
      <c r="C124">
        <f t="shared" si="3"/>
        <v>2024</v>
      </c>
      <c r="D124">
        <f t="shared" si="4"/>
        <v>5</v>
      </c>
      <c r="E124">
        <f t="shared" si="5"/>
        <v>31</v>
      </c>
    </row>
    <row r="125" spans="1:5" x14ac:dyDescent="0.25">
      <c r="A125" t="s">
        <v>1595</v>
      </c>
      <c r="B125" s="1">
        <v>45444</v>
      </c>
      <c r="C125">
        <f t="shared" si="3"/>
        <v>2024</v>
      </c>
      <c r="D125">
        <f t="shared" si="4"/>
        <v>6</v>
      </c>
      <c r="E125">
        <f t="shared" si="5"/>
        <v>1</v>
      </c>
    </row>
    <row r="126" spans="1:5" x14ac:dyDescent="0.25">
      <c r="A126" t="s">
        <v>1596</v>
      </c>
      <c r="B126" s="1">
        <v>45445</v>
      </c>
      <c r="C126">
        <f t="shared" si="3"/>
        <v>2024</v>
      </c>
      <c r="D126">
        <f t="shared" si="4"/>
        <v>6</v>
      </c>
      <c r="E126">
        <f t="shared" si="5"/>
        <v>2</v>
      </c>
    </row>
    <row r="127" spans="1:5" x14ac:dyDescent="0.25">
      <c r="A127" t="s">
        <v>1597</v>
      </c>
      <c r="B127" s="1">
        <v>45446</v>
      </c>
      <c r="C127">
        <f t="shared" si="3"/>
        <v>2024</v>
      </c>
      <c r="D127">
        <f t="shared" si="4"/>
        <v>6</v>
      </c>
      <c r="E127">
        <f t="shared" si="5"/>
        <v>3</v>
      </c>
    </row>
    <row r="128" spans="1:5" x14ac:dyDescent="0.25">
      <c r="A128" t="s">
        <v>1598</v>
      </c>
      <c r="B128" s="1">
        <v>45447</v>
      </c>
      <c r="C128">
        <f t="shared" si="3"/>
        <v>2024</v>
      </c>
      <c r="D128">
        <f t="shared" si="4"/>
        <v>6</v>
      </c>
      <c r="E128">
        <f t="shared" si="5"/>
        <v>4</v>
      </c>
    </row>
    <row r="129" spans="1:5" x14ac:dyDescent="0.25">
      <c r="A129" t="s">
        <v>1599</v>
      </c>
      <c r="B129" s="1">
        <v>45448</v>
      </c>
      <c r="C129">
        <f t="shared" si="3"/>
        <v>2024</v>
      </c>
      <c r="D129">
        <f t="shared" si="4"/>
        <v>6</v>
      </c>
      <c r="E129">
        <f t="shared" si="5"/>
        <v>5</v>
      </c>
    </row>
    <row r="130" spans="1:5" x14ac:dyDescent="0.25">
      <c r="A130" t="s">
        <v>1600</v>
      </c>
      <c r="B130" s="1">
        <v>45449</v>
      </c>
      <c r="C130">
        <f t="shared" si="3"/>
        <v>2024</v>
      </c>
      <c r="D130">
        <f t="shared" si="4"/>
        <v>6</v>
      </c>
      <c r="E130">
        <f t="shared" si="5"/>
        <v>6</v>
      </c>
    </row>
    <row r="131" spans="1:5" x14ac:dyDescent="0.25">
      <c r="A131" t="s">
        <v>1601</v>
      </c>
      <c r="B131" s="1">
        <v>45450</v>
      </c>
      <c r="C131">
        <f t="shared" ref="C131:C194" si="6">YEAR(B131)</f>
        <v>2024</v>
      </c>
      <c r="D131">
        <f t="shared" ref="D131:D194" si="7">MONTH(B131)</f>
        <v>6</v>
      </c>
      <c r="E131">
        <f t="shared" ref="E131:E194" si="8">DAY(B131)</f>
        <v>7</v>
      </c>
    </row>
    <row r="132" spans="1:5" x14ac:dyDescent="0.25">
      <c r="A132" t="s">
        <v>1602</v>
      </c>
      <c r="B132" s="1">
        <v>45451</v>
      </c>
      <c r="C132">
        <f t="shared" si="6"/>
        <v>2024</v>
      </c>
      <c r="D132">
        <f t="shared" si="7"/>
        <v>6</v>
      </c>
      <c r="E132">
        <f t="shared" si="8"/>
        <v>8</v>
      </c>
    </row>
    <row r="133" spans="1:5" x14ac:dyDescent="0.25">
      <c r="A133" t="s">
        <v>1603</v>
      </c>
      <c r="B133" s="1">
        <v>45452</v>
      </c>
      <c r="C133">
        <f t="shared" si="6"/>
        <v>2024</v>
      </c>
      <c r="D133">
        <f t="shared" si="7"/>
        <v>6</v>
      </c>
      <c r="E133">
        <f t="shared" si="8"/>
        <v>9</v>
      </c>
    </row>
    <row r="134" spans="1:5" x14ac:dyDescent="0.25">
      <c r="A134" t="s">
        <v>1604</v>
      </c>
      <c r="B134" s="1">
        <v>45453</v>
      </c>
      <c r="C134">
        <f t="shared" si="6"/>
        <v>2024</v>
      </c>
      <c r="D134">
        <f t="shared" si="7"/>
        <v>6</v>
      </c>
      <c r="E134">
        <f t="shared" si="8"/>
        <v>10</v>
      </c>
    </row>
    <row r="135" spans="1:5" x14ac:dyDescent="0.25">
      <c r="A135" t="s">
        <v>1605</v>
      </c>
      <c r="B135" s="1">
        <v>45454</v>
      </c>
      <c r="C135">
        <f t="shared" si="6"/>
        <v>2024</v>
      </c>
      <c r="D135">
        <f t="shared" si="7"/>
        <v>6</v>
      </c>
      <c r="E135">
        <f t="shared" si="8"/>
        <v>11</v>
      </c>
    </row>
    <row r="136" spans="1:5" x14ac:dyDescent="0.25">
      <c r="A136" t="s">
        <v>1606</v>
      </c>
      <c r="B136" s="1">
        <v>45456</v>
      </c>
      <c r="C136">
        <f t="shared" si="6"/>
        <v>2024</v>
      </c>
      <c r="D136">
        <f t="shared" si="7"/>
        <v>6</v>
      </c>
      <c r="E136">
        <f t="shared" si="8"/>
        <v>13</v>
      </c>
    </row>
    <row r="137" spans="1:5" x14ac:dyDescent="0.25">
      <c r="A137" t="s">
        <v>1607</v>
      </c>
      <c r="B137" s="1">
        <v>45457</v>
      </c>
      <c r="C137">
        <f t="shared" si="6"/>
        <v>2024</v>
      </c>
      <c r="D137">
        <f t="shared" si="7"/>
        <v>6</v>
      </c>
      <c r="E137">
        <f t="shared" si="8"/>
        <v>14</v>
      </c>
    </row>
    <row r="138" spans="1:5" x14ac:dyDescent="0.25">
      <c r="A138" t="s">
        <v>1608</v>
      </c>
      <c r="B138" s="1">
        <v>45458</v>
      </c>
      <c r="C138">
        <f t="shared" si="6"/>
        <v>2024</v>
      </c>
      <c r="D138">
        <f t="shared" si="7"/>
        <v>6</v>
      </c>
      <c r="E138">
        <f t="shared" si="8"/>
        <v>15</v>
      </c>
    </row>
    <row r="139" spans="1:5" x14ac:dyDescent="0.25">
      <c r="A139" t="s">
        <v>1609</v>
      </c>
      <c r="B139" s="1">
        <v>45459</v>
      </c>
      <c r="C139">
        <f t="shared" si="6"/>
        <v>2024</v>
      </c>
      <c r="D139">
        <f t="shared" si="7"/>
        <v>6</v>
      </c>
      <c r="E139">
        <f t="shared" si="8"/>
        <v>16</v>
      </c>
    </row>
    <row r="140" spans="1:5" x14ac:dyDescent="0.25">
      <c r="A140" t="s">
        <v>1610</v>
      </c>
      <c r="B140" s="1">
        <v>45461</v>
      </c>
      <c r="C140">
        <f t="shared" si="6"/>
        <v>2024</v>
      </c>
      <c r="D140">
        <f t="shared" si="7"/>
        <v>6</v>
      </c>
      <c r="E140">
        <f t="shared" si="8"/>
        <v>18</v>
      </c>
    </row>
    <row r="141" spans="1:5" x14ac:dyDescent="0.25">
      <c r="A141" t="s">
        <v>1611</v>
      </c>
      <c r="B141" s="1">
        <v>45463</v>
      </c>
      <c r="C141">
        <f t="shared" si="6"/>
        <v>2024</v>
      </c>
      <c r="D141">
        <f t="shared" si="7"/>
        <v>6</v>
      </c>
      <c r="E141">
        <f t="shared" si="8"/>
        <v>20</v>
      </c>
    </row>
    <row r="142" spans="1:5" x14ac:dyDescent="0.25">
      <c r="A142" t="s">
        <v>1612</v>
      </c>
      <c r="B142" s="1">
        <v>45464</v>
      </c>
      <c r="C142">
        <f t="shared" si="6"/>
        <v>2024</v>
      </c>
      <c r="D142">
        <f t="shared" si="7"/>
        <v>6</v>
      </c>
      <c r="E142">
        <f t="shared" si="8"/>
        <v>21</v>
      </c>
    </row>
    <row r="143" spans="1:5" x14ac:dyDescent="0.25">
      <c r="A143" t="s">
        <v>1613</v>
      </c>
      <c r="B143" s="1">
        <v>45465</v>
      </c>
      <c r="C143">
        <f t="shared" si="6"/>
        <v>2024</v>
      </c>
      <c r="D143">
        <f t="shared" si="7"/>
        <v>6</v>
      </c>
      <c r="E143">
        <f t="shared" si="8"/>
        <v>22</v>
      </c>
    </row>
    <row r="144" spans="1:5" x14ac:dyDescent="0.25">
      <c r="A144" t="s">
        <v>1614</v>
      </c>
      <c r="B144" s="1">
        <v>45466</v>
      </c>
      <c r="C144">
        <f t="shared" si="6"/>
        <v>2024</v>
      </c>
      <c r="D144">
        <f t="shared" si="7"/>
        <v>6</v>
      </c>
      <c r="E144">
        <f t="shared" si="8"/>
        <v>23</v>
      </c>
    </row>
    <row r="145" spans="1:5" x14ac:dyDescent="0.25">
      <c r="A145" t="s">
        <v>1615</v>
      </c>
      <c r="B145" s="1">
        <v>45467</v>
      </c>
      <c r="C145">
        <f t="shared" si="6"/>
        <v>2024</v>
      </c>
      <c r="D145">
        <f t="shared" si="7"/>
        <v>6</v>
      </c>
      <c r="E145">
        <f t="shared" si="8"/>
        <v>24</v>
      </c>
    </row>
    <row r="146" spans="1:5" x14ac:dyDescent="0.25">
      <c r="A146" t="s">
        <v>1616</v>
      </c>
      <c r="B146" s="1">
        <v>45468</v>
      </c>
      <c r="C146">
        <f t="shared" si="6"/>
        <v>2024</v>
      </c>
      <c r="D146">
        <f t="shared" si="7"/>
        <v>6</v>
      </c>
      <c r="E146">
        <f t="shared" si="8"/>
        <v>25</v>
      </c>
    </row>
    <row r="147" spans="1:5" x14ac:dyDescent="0.25">
      <c r="A147" t="s">
        <v>1617</v>
      </c>
      <c r="B147" s="1">
        <v>45469</v>
      </c>
      <c r="C147">
        <f t="shared" si="6"/>
        <v>2024</v>
      </c>
      <c r="D147">
        <f t="shared" si="7"/>
        <v>6</v>
      </c>
      <c r="E147">
        <f t="shared" si="8"/>
        <v>26</v>
      </c>
    </row>
    <row r="148" spans="1:5" x14ac:dyDescent="0.25">
      <c r="A148" t="s">
        <v>1618</v>
      </c>
      <c r="B148" s="1">
        <v>45470</v>
      </c>
      <c r="C148">
        <f t="shared" si="6"/>
        <v>2024</v>
      </c>
      <c r="D148">
        <f t="shared" si="7"/>
        <v>6</v>
      </c>
      <c r="E148">
        <f t="shared" si="8"/>
        <v>27</v>
      </c>
    </row>
    <row r="149" spans="1:5" x14ac:dyDescent="0.25">
      <c r="A149" t="s">
        <v>1619</v>
      </c>
      <c r="B149" s="1">
        <v>45471</v>
      </c>
      <c r="C149">
        <f t="shared" si="6"/>
        <v>2024</v>
      </c>
      <c r="D149">
        <f t="shared" si="7"/>
        <v>6</v>
      </c>
      <c r="E149">
        <f t="shared" si="8"/>
        <v>28</v>
      </c>
    </row>
    <row r="150" spans="1:5" x14ac:dyDescent="0.25">
      <c r="A150" t="s">
        <v>1620</v>
      </c>
      <c r="B150" s="1">
        <v>45472</v>
      </c>
      <c r="C150">
        <f t="shared" si="6"/>
        <v>2024</v>
      </c>
      <c r="D150">
        <f t="shared" si="7"/>
        <v>6</v>
      </c>
      <c r="E150">
        <f t="shared" si="8"/>
        <v>29</v>
      </c>
    </row>
    <row r="151" spans="1:5" x14ac:dyDescent="0.25">
      <c r="A151" t="s">
        <v>1621</v>
      </c>
      <c r="B151" s="1">
        <v>45473</v>
      </c>
      <c r="C151">
        <f t="shared" si="6"/>
        <v>2024</v>
      </c>
      <c r="D151">
        <f t="shared" si="7"/>
        <v>6</v>
      </c>
      <c r="E151">
        <f t="shared" si="8"/>
        <v>30</v>
      </c>
    </row>
    <row r="152" spans="1:5" x14ac:dyDescent="0.25">
      <c r="A152" t="s">
        <v>1622</v>
      </c>
      <c r="B152" s="1">
        <v>45474</v>
      </c>
      <c r="C152">
        <f t="shared" si="6"/>
        <v>2024</v>
      </c>
      <c r="D152">
        <f t="shared" si="7"/>
        <v>7</v>
      </c>
      <c r="E152">
        <f t="shared" si="8"/>
        <v>1</v>
      </c>
    </row>
    <row r="153" spans="1:5" x14ac:dyDescent="0.25">
      <c r="A153" t="s">
        <v>1623</v>
      </c>
      <c r="B153" s="1">
        <v>45475</v>
      </c>
      <c r="C153">
        <f t="shared" si="6"/>
        <v>2024</v>
      </c>
      <c r="D153">
        <f t="shared" si="7"/>
        <v>7</v>
      </c>
      <c r="E153">
        <f t="shared" si="8"/>
        <v>2</v>
      </c>
    </row>
    <row r="154" spans="1:5" x14ac:dyDescent="0.25">
      <c r="A154" t="s">
        <v>1624</v>
      </c>
      <c r="B154" s="1">
        <v>45477</v>
      </c>
      <c r="C154">
        <f t="shared" si="6"/>
        <v>2024</v>
      </c>
      <c r="D154">
        <f t="shared" si="7"/>
        <v>7</v>
      </c>
      <c r="E154">
        <f t="shared" si="8"/>
        <v>4</v>
      </c>
    </row>
    <row r="155" spans="1:5" x14ac:dyDescent="0.25">
      <c r="A155" t="s">
        <v>1625</v>
      </c>
      <c r="B155" s="1">
        <v>45480</v>
      </c>
      <c r="C155">
        <f t="shared" si="6"/>
        <v>2024</v>
      </c>
      <c r="D155">
        <f t="shared" si="7"/>
        <v>7</v>
      </c>
      <c r="E155">
        <f t="shared" si="8"/>
        <v>7</v>
      </c>
    </row>
    <row r="156" spans="1:5" x14ac:dyDescent="0.25">
      <c r="A156" t="s">
        <v>1626</v>
      </c>
      <c r="B156" s="1">
        <v>45481</v>
      </c>
      <c r="C156">
        <f t="shared" si="6"/>
        <v>2024</v>
      </c>
      <c r="D156">
        <f t="shared" si="7"/>
        <v>7</v>
      </c>
      <c r="E156">
        <f t="shared" si="8"/>
        <v>8</v>
      </c>
    </row>
    <row r="157" spans="1:5" x14ac:dyDescent="0.25">
      <c r="A157" t="s">
        <v>1627</v>
      </c>
      <c r="B157" s="1">
        <v>45482</v>
      </c>
      <c r="C157">
        <f t="shared" si="6"/>
        <v>2024</v>
      </c>
      <c r="D157">
        <f t="shared" si="7"/>
        <v>7</v>
      </c>
      <c r="E157">
        <f t="shared" si="8"/>
        <v>9</v>
      </c>
    </row>
    <row r="158" spans="1:5" x14ac:dyDescent="0.25">
      <c r="A158" t="s">
        <v>1628</v>
      </c>
      <c r="B158" s="1">
        <v>45483</v>
      </c>
      <c r="C158">
        <f t="shared" si="6"/>
        <v>2024</v>
      </c>
      <c r="D158">
        <f t="shared" si="7"/>
        <v>7</v>
      </c>
      <c r="E158">
        <f t="shared" si="8"/>
        <v>10</v>
      </c>
    </row>
    <row r="159" spans="1:5" x14ac:dyDescent="0.25">
      <c r="A159" t="s">
        <v>1629</v>
      </c>
      <c r="B159" s="1">
        <v>45485</v>
      </c>
      <c r="C159">
        <f t="shared" si="6"/>
        <v>2024</v>
      </c>
      <c r="D159">
        <f t="shared" si="7"/>
        <v>7</v>
      </c>
      <c r="E159">
        <f t="shared" si="8"/>
        <v>12</v>
      </c>
    </row>
    <row r="160" spans="1:5" x14ac:dyDescent="0.25">
      <c r="A160" t="s">
        <v>1630</v>
      </c>
      <c r="B160" s="1">
        <v>45486</v>
      </c>
      <c r="C160">
        <f t="shared" si="6"/>
        <v>2024</v>
      </c>
      <c r="D160">
        <f t="shared" si="7"/>
        <v>7</v>
      </c>
      <c r="E160">
        <f t="shared" si="8"/>
        <v>13</v>
      </c>
    </row>
    <row r="161" spans="1:5" x14ac:dyDescent="0.25">
      <c r="A161" t="s">
        <v>1631</v>
      </c>
      <c r="B161" s="1">
        <v>45487</v>
      </c>
      <c r="C161">
        <f t="shared" si="6"/>
        <v>2024</v>
      </c>
      <c r="D161">
        <f t="shared" si="7"/>
        <v>7</v>
      </c>
      <c r="E161">
        <f t="shared" si="8"/>
        <v>14</v>
      </c>
    </row>
    <row r="162" spans="1:5" x14ac:dyDescent="0.25">
      <c r="A162" t="s">
        <v>1632</v>
      </c>
      <c r="B162" s="1">
        <v>45489</v>
      </c>
      <c r="C162">
        <f t="shared" si="6"/>
        <v>2024</v>
      </c>
      <c r="D162">
        <f t="shared" si="7"/>
        <v>7</v>
      </c>
      <c r="E162">
        <f t="shared" si="8"/>
        <v>16</v>
      </c>
    </row>
    <row r="163" spans="1:5" x14ac:dyDescent="0.25">
      <c r="A163" t="s">
        <v>1633</v>
      </c>
      <c r="B163" s="1">
        <v>45492</v>
      </c>
      <c r="C163">
        <f t="shared" si="6"/>
        <v>2024</v>
      </c>
      <c r="D163">
        <f t="shared" si="7"/>
        <v>7</v>
      </c>
      <c r="E163">
        <f t="shared" si="8"/>
        <v>19</v>
      </c>
    </row>
    <row r="164" spans="1:5" x14ac:dyDescent="0.25">
      <c r="A164" t="s">
        <v>1634</v>
      </c>
      <c r="B164" s="1">
        <v>45493</v>
      </c>
      <c r="C164">
        <f t="shared" si="6"/>
        <v>2024</v>
      </c>
      <c r="D164">
        <f t="shared" si="7"/>
        <v>7</v>
      </c>
      <c r="E164">
        <f t="shared" si="8"/>
        <v>20</v>
      </c>
    </row>
    <row r="165" spans="1:5" x14ac:dyDescent="0.25">
      <c r="A165" t="s">
        <v>1635</v>
      </c>
      <c r="B165" s="1">
        <v>45494</v>
      </c>
      <c r="C165">
        <f t="shared" si="6"/>
        <v>2024</v>
      </c>
      <c r="D165">
        <f t="shared" si="7"/>
        <v>7</v>
      </c>
      <c r="E165">
        <f t="shared" si="8"/>
        <v>21</v>
      </c>
    </row>
    <row r="166" spans="1:5" x14ac:dyDescent="0.25">
      <c r="A166" t="s">
        <v>1636</v>
      </c>
      <c r="B166" s="1">
        <v>45495</v>
      </c>
      <c r="C166">
        <f t="shared" si="6"/>
        <v>2024</v>
      </c>
      <c r="D166">
        <f t="shared" si="7"/>
        <v>7</v>
      </c>
      <c r="E166">
        <f t="shared" si="8"/>
        <v>22</v>
      </c>
    </row>
    <row r="167" spans="1:5" x14ac:dyDescent="0.25">
      <c r="A167" t="s">
        <v>1637</v>
      </c>
      <c r="B167" s="1">
        <v>45496</v>
      </c>
      <c r="C167">
        <f t="shared" si="6"/>
        <v>2024</v>
      </c>
      <c r="D167">
        <f t="shared" si="7"/>
        <v>7</v>
      </c>
      <c r="E167">
        <f t="shared" si="8"/>
        <v>23</v>
      </c>
    </row>
    <row r="168" spans="1:5" x14ac:dyDescent="0.25">
      <c r="A168" t="s">
        <v>1638</v>
      </c>
      <c r="B168" s="1">
        <v>45498</v>
      </c>
      <c r="C168">
        <f t="shared" si="6"/>
        <v>2024</v>
      </c>
      <c r="D168">
        <f t="shared" si="7"/>
        <v>7</v>
      </c>
      <c r="E168">
        <f t="shared" si="8"/>
        <v>25</v>
      </c>
    </row>
    <row r="169" spans="1:5" x14ac:dyDescent="0.25">
      <c r="A169" t="s">
        <v>1639</v>
      </c>
      <c r="B169" s="1">
        <v>45499</v>
      </c>
      <c r="C169">
        <f t="shared" si="6"/>
        <v>2024</v>
      </c>
      <c r="D169">
        <f t="shared" si="7"/>
        <v>7</v>
      </c>
      <c r="E169">
        <f t="shared" si="8"/>
        <v>26</v>
      </c>
    </row>
    <row r="170" spans="1:5" x14ac:dyDescent="0.25">
      <c r="A170" t="s">
        <v>1640</v>
      </c>
      <c r="B170" s="1">
        <v>45501</v>
      </c>
      <c r="C170">
        <f t="shared" si="6"/>
        <v>2024</v>
      </c>
      <c r="D170">
        <f t="shared" si="7"/>
        <v>7</v>
      </c>
      <c r="E170">
        <f t="shared" si="8"/>
        <v>28</v>
      </c>
    </row>
    <row r="171" spans="1:5" x14ac:dyDescent="0.25">
      <c r="A171" t="s">
        <v>1641</v>
      </c>
      <c r="B171" s="1">
        <v>45503</v>
      </c>
      <c r="C171">
        <f t="shared" si="6"/>
        <v>2024</v>
      </c>
      <c r="D171">
        <f t="shared" si="7"/>
        <v>7</v>
      </c>
      <c r="E171">
        <f t="shared" si="8"/>
        <v>30</v>
      </c>
    </row>
    <row r="172" spans="1:5" x14ac:dyDescent="0.25">
      <c r="A172" t="s">
        <v>1642</v>
      </c>
      <c r="B172" s="1">
        <v>45504</v>
      </c>
      <c r="C172">
        <f t="shared" si="6"/>
        <v>2024</v>
      </c>
      <c r="D172">
        <f t="shared" si="7"/>
        <v>7</v>
      </c>
      <c r="E172">
        <f t="shared" si="8"/>
        <v>31</v>
      </c>
    </row>
    <row r="173" spans="1:5" x14ac:dyDescent="0.25">
      <c r="A173" t="s">
        <v>1643</v>
      </c>
      <c r="B173" s="1">
        <v>45505</v>
      </c>
      <c r="C173">
        <f t="shared" si="6"/>
        <v>2024</v>
      </c>
      <c r="D173">
        <f t="shared" si="7"/>
        <v>8</v>
      </c>
      <c r="E173">
        <f t="shared" si="8"/>
        <v>1</v>
      </c>
    </row>
    <row r="174" spans="1:5" x14ac:dyDescent="0.25">
      <c r="A174" t="s">
        <v>1644</v>
      </c>
      <c r="B174" s="1">
        <v>45506</v>
      </c>
      <c r="C174">
        <f t="shared" si="6"/>
        <v>2024</v>
      </c>
      <c r="D174">
        <f t="shared" si="7"/>
        <v>8</v>
      </c>
      <c r="E174">
        <f t="shared" si="8"/>
        <v>2</v>
      </c>
    </row>
    <row r="175" spans="1:5" x14ac:dyDescent="0.25">
      <c r="A175" t="s">
        <v>1645</v>
      </c>
      <c r="B175" s="1">
        <v>45507</v>
      </c>
      <c r="C175">
        <f t="shared" si="6"/>
        <v>2024</v>
      </c>
      <c r="D175">
        <f t="shared" si="7"/>
        <v>8</v>
      </c>
      <c r="E175">
        <f t="shared" si="8"/>
        <v>3</v>
      </c>
    </row>
    <row r="176" spans="1:5" x14ac:dyDescent="0.25">
      <c r="A176" t="s">
        <v>1646</v>
      </c>
      <c r="B176" s="1">
        <v>45508</v>
      </c>
      <c r="C176">
        <f t="shared" si="6"/>
        <v>2024</v>
      </c>
      <c r="D176">
        <f t="shared" si="7"/>
        <v>8</v>
      </c>
      <c r="E176">
        <f t="shared" si="8"/>
        <v>4</v>
      </c>
    </row>
    <row r="177" spans="1:5" x14ac:dyDescent="0.25">
      <c r="A177" t="s">
        <v>1647</v>
      </c>
      <c r="B177" s="1">
        <v>45509</v>
      </c>
      <c r="C177">
        <f t="shared" si="6"/>
        <v>2024</v>
      </c>
      <c r="D177">
        <f t="shared" si="7"/>
        <v>8</v>
      </c>
      <c r="E177">
        <f t="shared" si="8"/>
        <v>5</v>
      </c>
    </row>
    <row r="178" spans="1:5" x14ac:dyDescent="0.25">
      <c r="A178" t="s">
        <v>1648</v>
      </c>
      <c r="B178" s="1">
        <v>45511</v>
      </c>
      <c r="C178">
        <f t="shared" si="6"/>
        <v>2024</v>
      </c>
      <c r="D178">
        <f t="shared" si="7"/>
        <v>8</v>
      </c>
      <c r="E178">
        <f t="shared" si="8"/>
        <v>7</v>
      </c>
    </row>
    <row r="179" spans="1:5" x14ac:dyDescent="0.25">
      <c r="A179" t="s">
        <v>1649</v>
      </c>
      <c r="B179" s="1">
        <v>45513</v>
      </c>
      <c r="C179">
        <f t="shared" si="6"/>
        <v>2024</v>
      </c>
      <c r="D179">
        <f t="shared" si="7"/>
        <v>8</v>
      </c>
      <c r="E179">
        <f t="shared" si="8"/>
        <v>9</v>
      </c>
    </row>
    <row r="180" spans="1:5" x14ac:dyDescent="0.25">
      <c r="A180" t="s">
        <v>1650</v>
      </c>
      <c r="B180" s="1">
        <v>45514</v>
      </c>
      <c r="C180">
        <f t="shared" si="6"/>
        <v>2024</v>
      </c>
      <c r="D180">
        <f t="shared" si="7"/>
        <v>8</v>
      </c>
      <c r="E180">
        <f t="shared" si="8"/>
        <v>10</v>
      </c>
    </row>
    <row r="181" spans="1:5" x14ac:dyDescent="0.25">
      <c r="A181" t="s">
        <v>1651</v>
      </c>
      <c r="B181" s="1">
        <v>45515</v>
      </c>
      <c r="C181">
        <f t="shared" si="6"/>
        <v>2024</v>
      </c>
      <c r="D181">
        <f t="shared" si="7"/>
        <v>8</v>
      </c>
      <c r="E181">
        <f t="shared" si="8"/>
        <v>11</v>
      </c>
    </row>
    <row r="182" spans="1:5" x14ac:dyDescent="0.25">
      <c r="A182" t="s">
        <v>1652</v>
      </c>
      <c r="B182" s="1">
        <v>45516</v>
      </c>
      <c r="C182">
        <f t="shared" si="6"/>
        <v>2024</v>
      </c>
      <c r="D182">
        <f t="shared" si="7"/>
        <v>8</v>
      </c>
      <c r="E182">
        <f t="shared" si="8"/>
        <v>12</v>
      </c>
    </row>
    <row r="183" spans="1:5" x14ac:dyDescent="0.25">
      <c r="A183" t="s">
        <v>1653</v>
      </c>
      <c r="B183" s="1">
        <v>45517</v>
      </c>
      <c r="C183">
        <f t="shared" si="6"/>
        <v>2024</v>
      </c>
      <c r="D183">
        <f t="shared" si="7"/>
        <v>8</v>
      </c>
      <c r="E183">
        <f t="shared" si="8"/>
        <v>13</v>
      </c>
    </row>
    <row r="184" spans="1:5" x14ac:dyDescent="0.25">
      <c r="A184" t="s">
        <v>1654</v>
      </c>
      <c r="B184" s="1">
        <v>45518</v>
      </c>
      <c r="C184">
        <f t="shared" si="6"/>
        <v>2024</v>
      </c>
      <c r="D184">
        <f t="shared" si="7"/>
        <v>8</v>
      </c>
      <c r="E184">
        <f t="shared" si="8"/>
        <v>14</v>
      </c>
    </row>
    <row r="185" spans="1:5" x14ac:dyDescent="0.25">
      <c r="A185" t="s">
        <v>1655</v>
      </c>
      <c r="B185" s="1">
        <v>45519</v>
      </c>
      <c r="C185">
        <f t="shared" si="6"/>
        <v>2024</v>
      </c>
      <c r="D185">
        <f t="shared" si="7"/>
        <v>8</v>
      </c>
      <c r="E185">
        <f t="shared" si="8"/>
        <v>15</v>
      </c>
    </row>
    <row r="186" spans="1:5" x14ac:dyDescent="0.25">
      <c r="A186" t="s">
        <v>1656</v>
      </c>
      <c r="B186" s="1">
        <v>45520</v>
      </c>
      <c r="C186">
        <f t="shared" si="6"/>
        <v>2024</v>
      </c>
      <c r="D186">
        <f t="shared" si="7"/>
        <v>8</v>
      </c>
      <c r="E186">
        <f t="shared" si="8"/>
        <v>16</v>
      </c>
    </row>
    <row r="187" spans="1:5" x14ac:dyDescent="0.25">
      <c r="A187" t="s">
        <v>1657</v>
      </c>
      <c r="B187" s="1">
        <v>45521</v>
      </c>
      <c r="C187">
        <f t="shared" si="6"/>
        <v>2024</v>
      </c>
      <c r="D187">
        <f t="shared" si="7"/>
        <v>8</v>
      </c>
      <c r="E187">
        <f t="shared" si="8"/>
        <v>17</v>
      </c>
    </row>
    <row r="188" spans="1:5" x14ac:dyDescent="0.25">
      <c r="A188" t="s">
        <v>1658</v>
      </c>
      <c r="B188" s="1">
        <v>45522</v>
      </c>
      <c r="C188">
        <f t="shared" si="6"/>
        <v>2024</v>
      </c>
      <c r="D188">
        <f t="shared" si="7"/>
        <v>8</v>
      </c>
      <c r="E188">
        <f t="shared" si="8"/>
        <v>18</v>
      </c>
    </row>
    <row r="189" spans="1:5" x14ac:dyDescent="0.25">
      <c r="A189" t="s">
        <v>1659</v>
      </c>
      <c r="B189" s="1">
        <v>45524</v>
      </c>
      <c r="C189">
        <f t="shared" si="6"/>
        <v>2024</v>
      </c>
      <c r="D189">
        <f t="shared" si="7"/>
        <v>8</v>
      </c>
      <c r="E189">
        <f t="shared" si="8"/>
        <v>20</v>
      </c>
    </row>
    <row r="190" spans="1:5" x14ac:dyDescent="0.25">
      <c r="A190" t="s">
        <v>1660</v>
      </c>
      <c r="B190" s="1">
        <v>45526</v>
      </c>
      <c r="C190">
        <f t="shared" si="6"/>
        <v>2024</v>
      </c>
      <c r="D190">
        <f t="shared" si="7"/>
        <v>8</v>
      </c>
      <c r="E190">
        <f t="shared" si="8"/>
        <v>22</v>
      </c>
    </row>
    <row r="191" spans="1:5" x14ac:dyDescent="0.25">
      <c r="A191" t="s">
        <v>1661</v>
      </c>
      <c r="B191" s="1">
        <v>45527</v>
      </c>
      <c r="C191">
        <f t="shared" si="6"/>
        <v>2024</v>
      </c>
      <c r="D191">
        <f t="shared" si="7"/>
        <v>8</v>
      </c>
      <c r="E191">
        <f t="shared" si="8"/>
        <v>23</v>
      </c>
    </row>
    <row r="192" spans="1:5" x14ac:dyDescent="0.25">
      <c r="A192" t="s">
        <v>1662</v>
      </c>
      <c r="B192" s="1">
        <v>45528</v>
      </c>
      <c r="C192">
        <f t="shared" si="6"/>
        <v>2024</v>
      </c>
      <c r="D192">
        <f t="shared" si="7"/>
        <v>8</v>
      </c>
      <c r="E192">
        <f t="shared" si="8"/>
        <v>24</v>
      </c>
    </row>
    <row r="193" spans="1:5" x14ac:dyDescent="0.25">
      <c r="A193" t="s">
        <v>1663</v>
      </c>
      <c r="B193" s="1">
        <v>45530</v>
      </c>
      <c r="C193">
        <f t="shared" si="6"/>
        <v>2024</v>
      </c>
      <c r="D193">
        <f t="shared" si="7"/>
        <v>8</v>
      </c>
      <c r="E193">
        <f t="shared" si="8"/>
        <v>26</v>
      </c>
    </row>
    <row r="194" spans="1:5" x14ac:dyDescent="0.25">
      <c r="A194" t="s">
        <v>1664</v>
      </c>
      <c r="B194" s="1">
        <v>45533</v>
      </c>
      <c r="C194">
        <f t="shared" si="6"/>
        <v>2024</v>
      </c>
      <c r="D194">
        <f t="shared" si="7"/>
        <v>8</v>
      </c>
      <c r="E194">
        <f t="shared" si="8"/>
        <v>29</v>
      </c>
    </row>
    <row r="195" spans="1:5" x14ac:dyDescent="0.25">
      <c r="A195" t="s">
        <v>1665</v>
      </c>
      <c r="B195" s="1">
        <v>45534</v>
      </c>
      <c r="C195">
        <f t="shared" ref="C195:C258" si="9">YEAR(B195)</f>
        <v>2024</v>
      </c>
      <c r="D195">
        <f t="shared" ref="D195:D258" si="10">MONTH(B195)</f>
        <v>8</v>
      </c>
      <c r="E195">
        <f t="shared" ref="E195:E258" si="11">DAY(B195)</f>
        <v>30</v>
      </c>
    </row>
    <row r="196" spans="1:5" x14ac:dyDescent="0.25">
      <c r="A196" t="s">
        <v>1666</v>
      </c>
      <c r="B196" s="1">
        <v>45535</v>
      </c>
      <c r="C196">
        <f t="shared" si="9"/>
        <v>2024</v>
      </c>
      <c r="D196">
        <f t="shared" si="10"/>
        <v>8</v>
      </c>
      <c r="E196">
        <f t="shared" si="11"/>
        <v>31</v>
      </c>
    </row>
    <row r="197" spans="1:5" x14ac:dyDescent="0.25">
      <c r="A197" t="s">
        <v>1667</v>
      </c>
      <c r="B197" s="1">
        <v>45537</v>
      </c>
      <c r="C197">
        <f t="shared" si="9"/>
        <v>2024</v>
      </c>
      <c r="D197">
        <f t="shared" si="10"/>
        <v>9</v>
      </c>
      <c r="E197">
        <f t="shared" si="11"/>
        <v>2</v>
      </c>
    </row>
    <row r="198" spans="1:5" x14ac:dyDescent="0.25">
      <c r="A198" t="s">
        <v>1668</v>
      </c>
      <c r="B198" s="1">
        <v>45538</v>
      </c>
      <c r="C198">
        <f t="shared" si="9"/>
        <v>2024</v>
      </c>
      <c r="D198">
        <f t="shared" si="10"/>
        <v>9</v>
      </c>
      <c r="E198">
        <f t="shared" si="11"/>
        <v>3</v>
      </c>
    </row>
    <row r="199" spans="1:5" x14ac:dyDescent="0.25">
      <c r="A199" t="s">
        <v>1669</v>
      </c>
      <c r="B199" s="1">
        <v>45540</v>
      </c>
      <c r="C199">
        <f t="shared" si="9"/>
        <v>2024</v>
      </c>
      <c r="D199">
        <f t="shared" si="10"/>
        <v>9</v>
      </c>
      <c r="E199">
        <f t="shared" si="11"/>
        <v>5</v>
      </c>
    </row>
    <row r="200" spans="1:5" x14ac:dyDescent="0.25">
      <c r="A200" t="s">
        <v>1670</v>
      </c>
      <c r="B200" s="1">
        <v>45541</v>
      </c>
      <c r="C200">
        <f t="shared" si="9"/>
        <v>2024</v>
      </c>
      <c r="D200">
        <f t="shared" si="10"/>
        <v>9</v>
      </c>
      <c r="E200">
        <f t="shared" si="11"/>
        <v>6</v>
      </c>
    </row>
    <row r="201" spans="1:5" x14ac:dyDescent="0.25">
      <c r="A201" t="s">
        <v>1671</v>
      </c>
      <c r="B201" s="1">
        <v>45542</v>
      </c>
      <c r="C201">
        <f t="shared" si="9"/>
        <v>2024</v>
      </c>
      <c r="D201">
        <f t="shared" si="10"/>
        <v>9</v>
      </c>
      <c r="E201">
        <f t="shared" si="11"/>
        <v>7</v>
      </c>
    </row>
    <row r="202" spans="1:5" x14ac:dyDescent="0.25">
      <c r="A202" t="s">
        <v>1672</v>
      </c>
      <c r="B202" s="1">
        <v>45543</v>
      </c>
      <c r="C202">
        <f t="shared" si="9"/>
        <v>2024</v>
      </c>
      <c r="D202">
        <f t="shared" si="10"/>
        <v>9</v>
      </c>
      <c r="E202">
        <f t="shared" si="11"/>
        <v>8</v>
      </c>
    </row>
    <row r="203" spans="1:5" x14ac:dyDescent="0.25">
      <c r="A203" t="s">
        <v>1673</v>
      </c>
      <c r="B203" s="1">
        <v>45544</v>
      </c>
      <c r="C203">
        <f t="shared" si="9"/>
        <v>2024</v>
      </c>
      <c r="D203">
        <f t="shared" si="10"/>
        <v>9</v>
      </c>
      <c r="E203">
        <f t="shared" si="11"/>
        <v>9</v>
      </c>
    </row>
    <row r="204" spans="1:5" x14ac:dyDescent="0.25">
      <c r="A204" t="s">
        <v>1674</v>
      </c>
      <c r="B204" s="1">
        <v>45545</v>
      </c>
      <c r="C204">
        <f t="shared" si="9"/>
        <v>2024</v>
      </c>
      <c r="D204">
        <f t="shared" si="10"/>
        <v>9</v>
      </c>
      <c r="E204">
        <f t="shared" si="11"/>
        <v>10</v>
      </c>
    </row>
    <row r="205" spans="1:5" x14ac:dyDescent="0.25">
      <c r="A205" t="s">
        <v>1675</v>
      </c>
      <c r="B205" s="1">
        <v>45547</v>
      </c>
      <c r="C205">
        <f t="shared" si="9"/>
        <v>2024</v>
      </c>
      <c r="D205">
        <f t="shared" si="10"/>
        <v>9</v>
      </c>
      <c r="E205">
        <f t="shared" si="11"/>
        <v>12</v>
      </c>
    </row>
    <row r="206" spans="1:5" x14ac:dyDescent="0.25">
      <c r="A206" t="s">
        <v>1676</v>
      </c>
      <c r="B206" s="1">
        <v>45548</v>
      </c>
      <c r="C206">
        <f t="shared" si="9"/>
        <v>2024</v>
      </c>
      <c r="D206">
        <f t="shared" si="10"/>
        <v>9</v>
      </c>
      <c r="E206">
        <f t="shared" si="11"/>
        <v>13</v>
      </c>
    </row>
    <row r="207" spans="1:5" x14ac:dyDescent="0.25">
      <c r="A207" t="s">
        <v>1677</v>
      </c>
      <c r="B207" s="1">
        <v>45549</v>
      </c>
      <c r="C207">
        <f t="shared" si="9"/>
        <v>2024</v>
      </c>
      <c r="D207">
        <f t="shared" si="10"/>
        <v>9</v>
      </c>
      <c r="E207">
        <f t="shared" si="11"/>
        <v>14</v>
      </c>
    </row>
    <row r="208" spans="1:5" x14ac:dyDescent="0.25">
      <c r="A208" t="s">
        <v>1678</v>
      </c>
      <c r="B208" s="1">
        <v>45550</v>
      </c>
      <c r="C208">
        <f t="shared" si="9"/>
        <v>2024</v>
      </c>
      <c r="D208">
        <f t="shared" si="10"/>
        <v>9</v>
      </c>
      <c r="E208">
        <f t="shared" si="11"/>
        <v>15</v>
      </c>
    </row>
    <row r="209" spans="1:5" x14ac:dyDescent="0.25">
      <c r="A209" t="s">
        <v>1679</v>
      </c>
      <c r="B209" s="1">
        <v>45552</v>
      </c>
      <c r="C209">
        <f t="shared" si="9"/>
        <v>2024</v>
      </c>
      <c r="D209">
        <f t="shared" si="10"/>
        <v>9</v>
      </c>
      <c r="E209">
        <f t="shared" si="11"/>
        <v>17</v>
      </c>
    </row>
    <row r="210" spans="1:5" x14ac:dyDescent="0.25">
      <c r="A210" t="s">
        <v>1680</v>
      </c>
      <c r="B210" s="1">
        <v>45554</v>
      </c>
      <c r="C210">
        <f t="shared" si="9"/>
        <v>2024</v>
      </c>
      <c r="D210">
        <f t="shared" si="10"/>
        <v>9</v>
      </c>
      <c r="E210">
        <f t="shared" si="11"/>
        <v>19</v>
      </c>
    </row>
    <row r="211" spans="1:5" x14ac:dyDescent="0.25">
      <c r="A211" t="s">
        <v>1681</v>
      </c>
      <c r="B211" s="1">
        <v>45555</v>
      </c>
      <c r="C211">
        <f t="shared" si="9"/>
        <v>2024</v>
      </c>
      <c r="D211">
        <f t="shared" si="10"/>
        <v>9</v>
      </c>
      <c r="E211">
        <f t="shared" si="11"/>
        <v>20</v>
      </c>
    </row>
    <row r="212" spans="1:5" x14ac:dyDescent="0.25">
      <c r="A212" t="s">
        <v>1682</v>
      </c>
      <c r="B212" s="1">
        <v>45556</v>
      </c>
      <c r="C212">
        <f t="shared" si="9"/>
        <v>2024</v>
      </c>
      <c r="D212">
        <f t="shared" si="10"/>
        <v>9</v>
      </c>
      <c r="E212">
        <f t="shared" si="11"/>
        <v>21</v>
      </c>
    </row>
    <row r="213" spans="1:5" x14ac:dyDescent="0.25">
      <c r="A213" t="s">
        <v>1683</v>
      </c>
      <c r="B213" s="1">
        <v>45559</v>
      </c>
      <c r="C213">
        <f t="shared" si="9"/>
        <v>2024</v>
      </c>
      <c r="D213">
        <f t="shared" si="10"/>
        <v>9</v>
      </c>
      <c r="E213">
        <f t="shared" si="11"/>
        <v>24</v>
      </c>
    </row>
    <row r="214" spans="1:5" x14ac:dyDescent="0.25">
      <c r="A214" t="s">
        <v>1684</v>
      </c>
      <c r="B214" s="1">
        <v>45560</v>
      </c>
      <c r="C214">
        <f t="shared" si="9"/>
        <v>2024</v>
      </c>
      <c r="D214">
        <f t="shared" si="10"/>
        <v>9</v>
      </c>
      <c r="E214">
        <f t="shared" si="11"/>
        <v>25</v>
      </c>
    </row>
    <row r="215" spans="1:5" x14ac:dyDescent="0.25">
      <c r="A215" t="s">
        <v>1685</v>
      </c>
      <c r="B215" s="1">
        <v>45561</v>
      </c>
      <c r="C215">
        <f t="shared" si="9"/>
        <v>2024</v>
      </c>
      <c r="D215">
        <f t="shared" si="10"/>
        <v>9</v>
      </c>
      <c r="E215">
        <f t="shared" si="11"/>
        <v>26</v>
      </c>
    </row>
    <row r="216" spans="1:5" x14ac:dyDescent="0.25">
      <c r="A216" t="s">
        <v>1686</v>
      </c>
      <c r="B216" s="1">
        <v>45563</v>
      </c>
      <c r="C216">
        <f t="shared" si="9"/>
        <v>2024</v>
      </c>
      <c r="D216">
        <f t="shared" si="10"/>
        <v>9</v>
      </c>
      <c r="E216">
        <f t="shared" si="11"/>
        <v>28</v>
      </c>
    </row>
    <row r="217" spans="1:5" x14ac:dyDescent="0.25">
      <c r="A217" t="s">
        <v>1687</v>
      </c>
      <c r="B217" s="1">
        <v>45564</v>
      </c>
      <c r="C217">
        <f t="shared" si="9"/>
        <v>2024</v>
      </c>
      <c r="D217">
        <f t="shared" si="10"/>
        <v>9</v>
      </c>
      <c r="E217">
        <f t="shared" si="11"/>
        <v>29</v>
      </c>
    </row>
    <row r="218" spans="1:5" x14ac:dyDescent="0.25">
      <c r="A218" t="s">
        <v>1688</v>
      </c>
      <c r="B218" s="1">
        <v>45565</v>
      </c>
      <c r="C218">
        <f t="shared" si="9"/>
        <v>2024</v>
      </c>
      <c r="D218">
        <f t="shared" si="10"/>
        <v>9</v>
      </c>
      <c r="E218">
        <f t="shared" si="11"/>
        <v>30</v>
      </c>
    </row>
    <row r="219" spans="1:5" x14ac:dyDescent="0.25">
      <c r="A219" t="s">
        <v>1689</v>
      </c>
      <c r="B219" s="1">
        <v>45568</v>
      </c>
      <c r="C219">
        <f t="shared" si="9"/>
        <v>2024</v>
      </c>
      <c r="D219">
        <f t="shared" si="10"/>
        <v>10</v>
      </c>
      <c r="E219">
        <f t="shared" si="11"/>
        <v>3</v>
      </c>
    </row>
    <row r="220" spans="1:5" x14ac:dyDescent="0.25">
      <c r="A220" t="s">
        <v>1690</v>
      </c>
      <c r="B220" s="1">
        <v>45570</v>
      </c>
      <c r="C220">
        <f t="shared" si="9"/>
        <v>2024</v>
      </c>
      <c r="D220">
        <f t="shared" si="10"/>
        <v>10</v>
      </c>
      <c r="E220">
        <f t="shared" si="11"/>
        <v>5</v>
      </c>
    </row>
    <row r="221" spans="1:5" x14ac:dyDescent="0.25">
      <c r="A221" t="s">
        <v>1691</v>
      </c>
      <c r="B221" s="1">
        <v>45571</v>
      </c>
      <c r="C221">
        <f t="shared" si="9"/>
        <v>2024</v>
      </c>
      <c r="D221">
        <f t="shared" si="10"/>
        <v>10</v>
      </c>
      <c r="E221">
        <f t="shared" si="11"/>
        <v>6</v>
      </c>
    </row>
    <row r="222" spans="1:5" x14ac:dyDescent="0.25">
      <c r="A222" t="s">
        <v>1692</v>
      </c>
      <c r="B222" s="1">
        <v>45572</v>
      </c>
      <c r="C222">
        <f t="shared" si="9"/>
        <v>2024</v>
      </c>
      <c r="D222">
        <f t="shared" si="10"/>
        <v>10</v>
      </c>
      <c r="E222">
        <f t="shared" si="11"/>
        <v>7</v>
      </c>
    </row>
    <row r="223" spans="1:5" x14ac:dyDescent="0.25">
      <c r="A223" t="s">
        <v>1693</v>
      </c>
      <c r="B223" s="1">
        <v>45573</v>
      </c>
      <c r="C223">
        <f t="shared" si="9"/>
        <v>2024</v>
      </c>
      <c r="D223">
        <f t="shared" si="10"/>
        <v>10</v>
      </c>
      <c r="E223">
        <f t="shared" si="11"/>
        <v>8</v>
      </c>
    </row>
    <row r="224" spans="1:5" x14ac:dyDescent="0.25">
      <c r="A224" t="s">
        <v>1694</v>
      </c>
      <c r="B224" s="1">
        <v>45574</v>
      </c>
      <c r="C224">
        <f t="shared" si="9"/>
        <v>2024</v>
      </c>
      <c r="D224">
        <f t="shared" si="10"/>
        <v>10</v>
      </c>
      <c r="E224">
        <f t="shared" si="11"/>
        <v>9</v>
      </c>
    </row>
    <row r="225" spans="1:5" x14ac:dyDescent="0.25">
      <c r="A225" t="s">
        <v>1695</v>
      </c>
      <c r="B225" s="1">
        <v>45575</v>
      </c>
      <c r="C225">
        <f t="shared" si="9"/>
        <v>2024</v>
      </c>
      <c r="D225">
        <f t="shared" si="10"/>
        <v>10</v>
      </c>
      <c r="E225">
        <f t="shared" si="11"/>
        <v>10</v>
      </c>
    </row>
    <row r="226" spans="1:5" x14ac:dyDescent="0.25">
      <c r="A226" t="s">
        <v>1696</v>
      </c>
      <c r="B226" s="1">
        <v>45576</v>
      </c>
      <c r="C226">
        <f t="shared" si="9"/>
        <v>2024</v>
      </c>
      <c r="D226">
        <f t="shared" si="10"/>
        <v>10</v>
      </c>
      <c r="E226">
        <f t="shared" si="11"/>
        <v>11</v>
      </c>
    </row>
    <row r="227" spans="1:5" x14ac:dyDescent="0.25">
      <c r="A227" t="s">
        <v>1697</v>
      </c>
      <c r="B227" s="1">
        <v>45577</v>
      </c>
      <c r="C227">
        <f t="shared" si="9"/>
        <v>2024</v>
      </c>
      <c r="D227">
        <f t="shared" si="10"/>
        <v>10</v>
      </c>
      <c r="E227">
        <f t="shared" si="11"/>
        <v>12</v>
      </c>
    </row>
    <row r="228" spans="1:5" x14ac:dyDescent="0.25">
      <c r="A228" t="s">
        <v>1698</v>
      </c>
      <c r="B228" s="1">
        <v>45579</v>
      </c>
      <c r="C228">
        <f t="shared" si="9"/>
        <v>2024</v>
      </c>
      <c r="D228">
        <f t="shared" si="10"/>
        <v>10</v>
      </c>
      <c r="E228">
        <f t="shared" si="11"/>
        <v>14</v>
      </c>
    </row>
    <row r="229" spans="1:5" x14ac:dyDescent="0.25">
      <c r="A229" t="s">
        <v>1699</v>
      </c>
      <c r="B229" s="1">
        <v>45580</v>
      </c>
      <c r="C229">
        <f t="shared" si="9"/>
        <v>2024</v>
      </c>
      <c r="D229">
        <f t="shared" si="10"/>
        <v>10</v>
      </c>
      <c r="E229">
        <f t="shared" si="11"/>
        <v>15</v>
      </c>
    </row>
    <row r="230" spans="1:5" x14ac:dyDescent="0.25">
      <c r="A230" t="s">
        <v>1700</v>
      </c>
      <c r="B230" s="1">
        <v>45582</v>
      </c>
      <c r="C230">
        <f t="shared" si="9"/>
        <v>2024</v>
      </c>
      <c r="D230">
        <f t="shared" si="10"/>
        <v>10</v>
      </c>
      <c r="E230">
        <f t="shared" si="11"/>
        <v>17</v>
      </c>
    </row>
    <row r="231" spans="1:5" x14ac:dyDescent="0.25">
      <c r="A231" t="s">
        <v>1701</v>
      </c>
      <c r="B231" s="1">
        <v>45583</v>
      </c>
      <c r="C231">
        <f t="shared" si="9"/>
        <v>2024</v>
      </c>
      <c r="D231">
        <f t="shared" si="10"/>
        <v>10</v>
      </c>
      <c r="E231">
        <f t="shared" si="11"/>
        <v>18</v>
      </c>
    </row>
    <row r="232" spans="1:5" x14ac:dyDescent="0.25">
      <c r="A232" t="s">
        <v>1702</v>
      </c>
      <c r="B232" s="1">
        <v>45586</v>
      </c>
      <c r="C232">
        <f t="shared" si="9"/>
        <v>2024</v>
      </c>
      <c r="D232">
        <f t="shared" si="10"/>
        <v>10</v>
      </c>
      <c r="E232">
        <f t="shared" si="11"/>
        <v>21</v>
      </c>
    </row>
    <row r="233" spans="1:5" x14ac:dyDescent="0.25">
      <c r="A233" t="s">
        <v>1703</v>
      </c>
      <c r="B233" s="1">
        <v>45587</v>
      </c>
      <c r="C233">
        <f t="shared" si="9"/>
        <v>2024</v>
      </c>
      <c r="D233">
        <f t="shared" si="10"/>
        <v>10</v>
      </c>
      <c r="E233">
        <f t="shared" si="11"/>
        <v>22</v>
      </c>
    </row>
    <row r="234" spans="1:5" x14ac:dyDescent="0.25">
      <c r="A234" t="s">
        <v>1704</v>
      </c>
      <c r="B234" s="1">
        <v>45588</v>
      </c>
      <c r="C234">
        <f t="shared" si="9"/>
        <v>2024</v>
      </c>
      <c r="D234">
        <f t="shared" si="10"/>
        <v>10</v>
      </c>
      <c r="E234">
        <f t="shared" si="11"/>
        <v>23</v>
      </c>
    </row>
    <row r="235" spans="1:5" x14ac:dyDescent="0.25">
      <c r="A235" t="s">
        <v>1705</v>
      </c>
      <c r="B235" s="1">
        <v>45589</v>
      </c>
      <c r="C235">
        <f t="shared" si="9"/>
        <v>2024</v>
      </c>
      <c r="D235">
        <f t="shared" si="10"/>
        <v>10</v>
      </c>
      <c r="E235">
        <f t="shared" si="11"/>
        <v>24</v>
      </c>
    </row>
    <row r="236" spans="1:5" x14ac:dyDescent="0.25">
      <c r="A236" t="s">
        <v>1706</v>
      </c>
      <c r="B236" s="1">
        <v>45591</v>
      </c>
      <c r="C236">
        <f t="shared" si="9"/>
        <v>2024</v>
      </c>
      <c r="D236">
        <f t="shared" si="10"/>
        <v>10</v>
      </c>
      <c r="E236">
        <f t="shared" si="11"/>
        <v>26</v>
      </c>
    </row>
    <row r="237" spans="1:5" x14ac:dyDescent="0.25">
      <c r="A237" t="s">
        <v>1707</v>
      </c>
      <c r="B237" s="1">
        <v>45592</v>
      </c>
      <c r="C237">
        <f t="shared" si="9"/>
        <v>2024</v>
      </c>
      <c r="D237">
        <f t="shared" si="10"/>
        <v>10</v>
      </c>
      <c r="E237">
        <f t="shared" si="11"/>
        <v>27</v>
      </c>
    </row>
    <row r="238" spans="1:5" x14ac:dyDescent="0.25">
      <c r="A238" t="s">
        <v>1708</v>
      </c>
      <c r="B238" s="1">
        <v>45593</v>
      </c>
      <c r="C238">
        <f t="shared" si="9"/>
        <v>2024</v>
      </c>
      <c r="D238">
        <f t="shared" si="10"/>
        <v>10</v>
      </c>
      <c r="E238">
        <f t="shared" si="11"/>
        <v>28</v>
      </c>
    </row>
    <row r="239" spans="1:5" x14ac:dyDescent="0.25">
      <c r="A239" t="s">
        <v>1709</v>
      </c>
      <c r="B239" s="1">
        <v>45594</v>
      </c>
      <c r="C239">
        <f t="shared" si="9"/>
        <v>2024</v>
      </c>
      <c r="D239">
        <f t="shared" si="10"/>
        <v>10</v>
      </c>
      <c r="E239">
        <f t="shared" si="11"/>
        <v>29</v>
      </c>
    </row>
    <row r="240" spans="1:5" x14ac:dyDescent="0.25">
      <c r="A240" t="s">
        <v>1710</v>
      </c>
      <c r="B240" s="1">
        <v>45595</v>
      </c>
      <c r="C240">
        <f t="shared" si="9"/>
        <v>2024</v>
      </c>
      <c r="D240">
        <f t="shared" si="10"/>
        <v>10</v>
      </c>
      <c r="E240">
        <f t="shared" si="11"/>
        <v>30</v>
      </c>
    </row>
    <row r="241" spans="1:5" x14ac:dyDescent="0.25">
      <c r="A241" t="s">
        <v>1711</v>
      </c>
      <c r="B241" s="1">
        <v>45596</v>
      </c>
      <c r="C241">
        <f t="shared" si="9"/>
        <v>2024</v>
      </c>
      <c r="D241">
        <f t="shared" si="10"/>
        <v>10</v>
      </c>
      <c r="E241">
        <f t="shared" si="11"/>
        <v>31</v>
      </c>
    </row>
    <row r="242" spans="1:5" x14ac:dyDescent="0.25">
      <c r="A242" t="s">
        <v>1712</v>
      </c>
      <c r="B242" s="1">
        <v>45597</v>
      </c>
      <c r="C242">
        <f t="shared" si="9"/>
        <v>2024</v>
      </c>
      <c r="D242">
        <f t="shared" si="10"/>
        <v>11</v>
      </c>
      <c r="E242">
        <f t="shared" si="11"/>
        <v>1</v>
      </c>
    </row>
    <row r="243" spans="1:5" x14ac:dyDescent="0.25">
      <c r="A243" t="s">
        <v>1713</v>
      </c>
      <c r="B243" s="1">
        <v>45599</v>
      </c>
      <c r="C243">
        <f t="shared" si="9"/>
        <v>2024</v>
      </c>
      <c r="D243">
        <f t="shared" si="10"/>
        <v>11</v>
      </c>
      <c r="E243">
        <f t="shared" si="11"/>
        <v>3</v>
      </c>
    </row>
    <row r="244" spans="1:5" x14ac:dyDescent="0.25">
      <c r="A244" t="s">
        <v>1714</v>
      </c>
      <c r="B244" s="1">
        <v>45600</v>
      </c>
      <c r="C244">
        <f t="shared" si="9"/>
        <v>2024</v>
      </c>
      <c r="D244">
        <f t="shared" si="10"/>
        <v>11</v>
      </c>
      <c r="E244">
        <f t="shared" si="11"/>
        <v>4</v>
      </c>
    </row>
    <row r="245" spans="1:5" x14ac:dyDescent="0.25">
      <c r="A245" t="s">
        <v>1715</v>
      </c>
      <c r="B245" s="1">
        <v>45603</v>
      </c>
      <c r="C245">
        <f t="shared" si="9"/>
        <v>2024</v>
      </c>
      <c r="D245">
        <f t="shared" si="10"/>
        <v>11</v>
      </c>
      <c r="E245">
        <f t="shared" si="11"/>
        <v>7</v>
      </c>
    </row>
    <row r="246" spans="1:5" x14ac:dyDescent="0.25">
      <c r="A246" t="s">
        <v>1716</v>
      </c>
      <c r="B246" s="1">
        <v>45604</v>
      </c>
      <c r="C246">
        <f t="shared" si="9"/>
        <v>2024</v>
      </c>
      <c r="D246">
        <f t="shared" si="10"/>
        <v>11</v>
      </c>
      <c r="E246">
        <f t="shared" si="11"/>
        <v>8</v>
      </c>
    </row>
    <row r="247" spans="1:5" x14ac:dyDescent="0.25">
      <c r="A247" t="s">
        <v>1717</v>
      </c>
      <c r="B247" s="1">
        <v>45605</v>
      </c>
      <c r="C247">
        <f t="shared" si="9"/>
        <v>2024</v>
      </c>
      <c r="D247">
        <f t="shared" si="10"/>
        <v>11</v>
      </c>
      <c r="E247">
        <f t="shared" si="11"/>
        <v>9</v>
      </c>
    </row>
    <row r="248" spans="1:5" x14ac:dyDescent="0.25">
      <c r="A248" t="s">
        <v>1718</v>
      </c>
      <c r="B248" s="1">
        <v>45606</v>
      </c>
      <c r="C248">
        <f t="shared" si="9"/>
        <v>2024</v>
      </c>
      <c r="D248">
        <f t="shared" si="10"/>
        <v>11</v>
      </c>
      <c r="E248">
        <f t="shared" si="11"/>
        <v>10</v>
      </c>
    </row>
    <row r="249" spans="1:5" x14ac:dyDescent="0.25">
      <c r="A249" t="s">
        <v>1719</v>
      </c>
      <c r="B249" s="1">
        <v>45607</v>
      </c>
      <c r="C249">
        <f t="shared" si="9"/>
        <v>2024</v>
      </c>
      <c r="D249">
        <f t="shared" si="10"/>
        <v>11</v>
      </c>
      <c r="E249">
        <f t="shared" si="11"/>
        <v>11</v>
      </c>
    </row>
    <row r="250" spans="1:5" x14ac:dyDescent="0.25">
      <c r="A250" t="s">
        <v>1720</v>
      </c>
      <c r="B250" s="1">
        <v>45609</v>
      </c>
      <c r="C250">
        <f t="shared" si="9"/>
        <v>2024</v>
      </c>
      <c r="D250">
        <f t="shared" si="10"/>
        <v>11</v>
      </c>
      <c r="E250">
        <f t="shared" si="11"/>
        <v>13</v>
      </c>
    </row>
    <row r="251" spans="1:5" x14ac:dyDescent="0.25">
      <c r="A251" t="s">
        <v>1721</v>
      </c>
      <c r="B251" s="1">
        <v>45610</v>
      </c>
      <c r="C251">
        <f t="shared" si="9"/>
        <v>2024</v>
      </c>
      <c r="D251">
        <f t="shared" si="10"/>
        <v>11</v>
      </c>
      <c r="E251">
        <f t="shared" si="11"/>
        <v>14</v>
      </c>
    </row>
    <row r="252" spans="1:5" x14ac:dyDescent="0.25">
      <c r="A252" t="s">
        <v>1722</v>
      </c>
      <c r="B252" s="1">
        <v>45611</v>
      </c>
      <c r="C252">
        <f t="shared" si="9"/>
        <v>2024</v>
      </c>
      <c r="D252">
        <f t="shared" si="10"/>
        <v>11</v>
      </c>
      <c r="E252">
        <f t="shared" si="11"/>
        <v>15</v>
      </c>
    </row>
    <row r="253" spans="1:5" x14ac:dyDescent="0.25">
      <c r="A253" t="s">
        <v>1723</v>
      </c>
      <c r="B253" s="1">
        <v>45612</v>
      </c>
      <c r="C253">
        <f t="shared" si="9"/>
        <v>2024</v>
      </c>
      <c r="D253">
        <f t="shared" si="10"/>
        <v>11</v>
      </c>
      <c r="E253">
        <f t="shared" si="11"/>
        <v>16</v>
      </c>
    </row>
    <row r="254" spans="1:5" x14ac:dyDescent="0.25">
      <c r="A254" t="s">
        <v>1724</v>
      </c>
      <c r="B254" s="1">
        <v>45613</v>
      </c>
      <c r="C254">
        <f t="shared" si="9"/>
        <v>2024</v>
      </c>
      <c r="D254">
        <f t="shared" si="10"/>
        <v>11</v>
      </c>
      <c r="E254">
        <f t="shared" si="11"/>
        <v>17</v>
      </c>
    </row>
    <row r="255" spans="1:5" x14ac:dyDescent="0.25">
      <c r="A255" t="s">
        <v>1725</v>
      </c>
      <c r="B255" s="1">
        <v>45614</v>
      </c>
      <c r="C255">
        <f t="shared" si="9"/>
        <v>2024</v>
      </c>
      <c r="D255">
        <f t="shared" si="10"/>
        <v>11</v>
      </c>
      <c r="E255">
        <f t="shared" si="11"/>
        <v>18</v>
      </c>
    </row>
    <row r="256" spans="1:5" x14ac:dyDescent="0.25">
      <c r="A256" t="s">
        <v>1726</v>
      </c>
      <c r="B256" s="1">
        <v>45615</v>
      </c>
      <c r="C256">
        <f t="shared" si="9"/>
        <v>2024</v>
      </c>
      <c r="D256">
        <f t="shared" si="10"/>
        <v>11</v>
      </c>
      <c r="E256">
        <f t="shared" si="11"/>
        <v>19</v>
      </c>
    </row>
    <row r="257" spans="1:5" x14ac:dyDescent="0.25">
      <c r="A257" t="s">
        <v>1727</v>
      </c>
      <c r="B257" s="1">
        <v>45616</v>
      </c>
      <c r="C257">
        <f t="shared" si="9"/>
        <v>2024</v>
      </c>
      <c r="D257">
        <f t="shared" si="10"/>
        <v>11</v>
      </c>
      <c r="E257">
        <f t="shared" si="11"/>
        <v>20</v>
      </c>
    </row>
    <row r="258" spans="1:5" x14ac:dyDescent="0.25">
      <c r="A258" t="s">
        <v>1728</v>
      </c>
      <c r="B258" s="1">
        <v>45617</v>
      </c>
      <c r="C258">
        <f t="shared" si="9"/>
        <v>2024</v>
      </c>
      <c r="D258">
        <f t="shared" si="10"/>
        <v>11</v>
      </c>
      <c r="E258">
        <f t="shared" si="11"/>
        <v>21</v>
      </c>
    </row>
    <row r="259" spans="1:5" x14ac:dyDescent="0.25">
      <c r="A259" t="s">
        <v>1729</v>
      </c>
      <c r="B259" s="1">
        <v>45618</v>
      </c>
      <c r="C259">
        <f t="shared" ref="C259:C322" si="12">YEAR(B259)</f>
        <v>2024</v>
      </c>
      <c r="D259">
        <f t="shared" ref="D259:D322" si="13">MONTH(B259)</f>
        <v>11</v>
      </c>
      <c r="E259">
        <f t="shared" ref="E259:E322" si="14">DAY(B259)</f>
        <v>22</v>
      </c>
    </row>
    <row r="260" spans="1:5" x14ac:dyDescent="0.25">
      <c r="A260" t="s">
        <v>1730</v>
      </c>
      <c r="B260" s="1">
        <v>45619</v>
      </c>
      <c r="C260">
        <f t="shared" si="12"/>
        <v>2024</v>
      </c>
      <c r="D260">
        <f t="shared" si="13"/>
        <v>11</v>
      </c>
      <c r="E260">
        <f t="shared" si="14"/>
        <v>23</v>
      </c>
    </row>
    <row r="261" spans="1:5" x14ac:dyDescent="0.25">
      <c r="A261" t="s">
        <v>1731</v>
      </c>
      <c r="B261" s="1">
        <v>45620</v>
      </c>
      <c r="C261">
        <f t="shared" si="12"/>
        <v>2024</v>
      </c>
      <c r="D261">
        <f t="shared" si="13"/>
        <v>11</v>
      </c>
      <c r="E261">
        <f t="shared" si="14"/>
        <v>24</v>
      </c>
    </row>
    <row r="262" spans="1:5" x14ac:dyDescent="0.25">
      <c r="A262" t="s">
        <v>1732</v>
      </c>
      <c r="B262" s="1">
        <v>45621</v>
      </c>
      <c r="C262">
        <f t="shared" si="12"/>
        <v>2024</v>
      </c>
      <c r="D262">
        <f t="shared" si="13"/>
        <v>11</v>
      </c>
      <c r="E262">
        <f t="shared" si="14"/>
        <v>25</v>
      </c>
    </row>
    <row r="263" spans="1:5" x14ac:dyDescent="0.25">
      <c r="A263" t="s">
        <v>1733</v>
      </c>
      <c r="B263" s="1">
        <v>45625</v>
      </c>
      <c r="C263">
        <f t="shared" si="12"/>
        <v>2024</v>
      </c>
      <c r="D263">
        <f t="shared" si="13"/>
        <v>11</v>
      </c>
      <c r="E263">
        <f t="shared" si="14"/>
        <v>29</v>
      </c>
    </row>
    <row r="264" spans="1:5" x14ac:dyDescent="0.25">
      <c r="A264" t="s">
        <v>1734</v>
      </c>
      <c r="B264" s="1">
        <v>45626</v>
      </c>
      <c r="C264">
        <f t="shared" si="12"/>
        <v>2024</v>
      </c>
      <c r="D264">
        <f t="shared" si="13"/>
        <v>11</v>
      </c>
      <c r="E264">
        <f t="shared" si="14"/>
        <v>30</v>
      </c>
    </row>
    <row r="265" spans="1:5" x14ac:dyDescent="0.25">
      <c r="A265" t="s">
        <v>1735</v>
      </c>
      <c r="B265" s="1">
        <v>45627</v>
      </c>
      <c r="C265">
        <f t="shared" si="12"/>
        <v>2024</v>
      </c>
      <c r="D265">
        <f t="shared" si="13"/>
        <v>12</v>
      </c>
      <c r="E265">
        <f t="shared" si="14"/>
        <v>1</v>
      </c>
    </row>
    <row r="266" spans="1:5" x14ac:dyDescent="0.25">
      <c r="A266" t="s">
        <v>1736</v>
      </c>
      <c r="B266" s="1">
        <v>45628</v>
      </c>
      <c r="C266">
        <f t="shared" si="12"/>
        <v>2024</v>
      </c>
      <c r="D266">
        <f t="shared" si="13"/>
        <v>12</v>
      </c>
      <c r="E266">
        <f t="shared" si="14"/>
        <v>2</v>
      </c>
    </row>
    <row r="267" spans="1:5" x14ac:dyDescent="0.25">
      <c r="A267" t="s">
        <v>1737</v>
      </c>
      <c r="B267" s="1">
        <v>45629</v>
      </c>
      <c r="C267">
        <f t="shared" si="12"/>
        <v>2024</v>
      </c>
      <c r="D267">
        <f t="shared" si="13"/>
        <v>12</v>
      </c>
      <c r="E267">
        <f t="shared" si="14"/>
        <v>3</v>
      </c>
    </row>
    <row r="268" spans="1:5" x14ac:dyDescent="0.25">
      <c r="A268" t="s">
        <v>1738</v>
      </c>
      <c r="B268" s="1">
        <v>45630</v>
      </c>
      <c r="C268">
        <f t="shared" si="12"/>
        <v>2024</v>
      </c>
      <c r="D268">
        <f t="shared" si="13"/>
        <v>12</v>
      </c>
      <c r="E268">
        <f t="shared" si="14"/>
        <v>4</v>
      </c>
    </row>
    <row r="269" spans="1:5" x14ac:dyDescent="0.25">
      <c r="A269" t="s">
        <v>1739</v>
      </c>
      <c r="B269" s="1">
        <v>45632</v>
      </c>
      <c r="C269">
        <f t="shared" si="12"/>
        <v>2024</v>
      </c>
      <c r="D269">
        <f t="shared" si="13"/>
        <v>12</v>
      </c>
      <c r="E269">
        <f t="shared" si="14"/>
        <v>6</v>
      </c>
    </row>
    <row r="270" spans="1:5" x14ac:dyDescent="0.25">
      <c r="A270" t="s">
        <v>1740</v>
      </c>
      <c r="B270" s="1">
        <v>45633</v>
      </c>
      <c r="C270">
        <f t="shared" si="12"/>
        <v>2024</v>
      </c>
      <c r="D270">
        <f t="shared" si="13"/>
        <v>12</v>
      </c>
      <c r="E270">
        <f t="shared" si="14"/>
        <v>7</v>
      </c>
    </row>
    <row r="271" spans="1:5" x14ac:dyDescent="0.25">
      <c r="A271" t="s">
        <v>1741</v>
      </c>
      <c r="B271" s="1">
        <v>45637</v>
      </c>
      <c r="C271">
        <f t="shared" si="12"/>
        <v>2024</v>
      </c>
      <c r="D271">
        <f t="shared" si="13"/>
        <v>12</v>
      </c>
      <c r="E271">
        <f t="shared" si="14"/>
        <v>11</v>
      </c>
    </row>
    <row r="272" spans="1:5" x14ac:dyDescent="0.25">
      <c r="A272" t="s">
        <v>1742</v>
      </c>
      <c r="B272" s="1">
        <v>45638</v>
      </c>
      <c r="C272">
        <f t="shared" si="12"/>
        <v>2024</v>
      </c>
      <c r="D272">
        <f t="shared" si="13"/>
        <v>12</v>
      </c>
      <c r="E272">
        <f t="shared" si="14"/>
        <v>12</v>
      </c>
    </row>
    <row r="273" spans="1:5" x14ac:dyDescent="0.25">
      <c r="A273" t="s">
        <v>1743</v>
      </c>
      <c r="B273" s="1">
        <v>45639</v>
      </c>
      <c r="C273">
        <f t="shared" si="12"/>
        <v>2024</v>
      </c>
      <c r="D273">
        <f t="shared" si="13"/>
        <v>12</v>
      </c>
      <c r="E273">
        <f t="shared" si="14"/>
        <v>13</v>
      </c>
    </row>
    <row r="274" spans="1:5" x14ac:dyDescent="0.25">
      <c r="A274" t="s">
        <v>1744</v>
      </c>
      <c r="B274" s="1">
        <v>45640</v>
      </c>
      <c r="C274">
        <f t="shared" si="12"/>
        <v>2024</v>
      </c>
      <c r="D274">
        <f t="shared" si="13"/>
        <v>12</v>
      </c>
      <c r="E274">
        <f t="shared" si="14"/>
        <v>14</v>
      </c>
    </row>
    <row r="275" spans="1:5" x14ac:dyDescent="0.25">
      <c r="A275" t="s">
        <v>1745</v>
      </c>
      <c r="B275" s="1">
        <v>45641</v>
      </c>
      <c r="C275">
        <f t="shared" si="12"/>
        <v>2024</v>
      </c>
      <c r="D275">
        <f t="shared" si="13"/>
        <v>12</v>
      </c>
      <c r="E275">
        <f t="shared" si="14"/>
        <v>15</v>
      </c>
    </row>
    <row r="276" spans="1:5" x14ac:dyDescent="0.25">
      <c r="A276" t="s">
        <v>1746</v>
      </c>
      <c r="B276" s="1">
        <v>45645</v>
      </c>
      <c r="C276">
        <f t="shared" si="12"/>
        <v>2024</v>
      </c>
      <c r="D276">
        <f t="shared" si="13"/>
        <v>12</v>
      </c>
      <c r="E276">
        <f t="shared" si="14"/>
        <v>19</v>
      </c>
    </row>
    <row r="277" spans="1:5" x14ac:dyDescent="0.25">
      <c r="A277" t="s">
        <v>1747</v>
      </c>
      <c r="B277" s="1">
        <v>45647</v>
      </c>
      <c r="C277">
        <f t="shared" si="12"/>
        <v>2024</v>
      </c>
      <c r="D277">
        <f t="shared" si="13"/>
        <v>12</v>
      </c>
      <c r="E277">
        <f t="shared" si="14"/>
        <v>21</v>
      </c>
    </row>
    <row r="278" spans="1:5" x14ac:dyDescent="0.25">
      <c r="A278" t="s">
        <v>1748</v>
      </c>
      <c r="B278" s="1">
        <v>45648</v>
      </c>
      <c r="C278">
        <f t="shared" si="12"/>
        <v>2024</v>
      </c>
      <c r="D278">
        <f t="shared" si="13"/>
        <v>12</v>
      </c>
      <c r="E278">
        <f t="shared" si="14"/>
        <v>22</v>
      </c>
    </row>
    <row r="279" spans="1:5" x14ac:dyDescent="0.25">
      <c r="A279" t="s">
        <v>1749</v>
      </c>
      <c r="B279" s="1">
        <v>45649</v>
      </c>
      <c r="C279">
        <f t="shared" si="12"/>
        <v>2024</v>
      </c>
      <c r="D279">
        <f t="shared" si="13"/>
        <v>12</v>
      </c>
      <c r="E279">
        <f t="shared" si="14"/>
        <v>23</v>
      </c>
    </row>
    <row r="280" spans="1:5" x14ac:dyDescent="0.25">
      <c r="A280" t="s">
        <v>1750</v>
      </c>
      <c r="B280" s="1">
        <v>45651</v>
      </c>
      <c r="C280">
        <f t="shared" si="12"/>
        <v>2024</v>
      </c>
      <c r="D280">
        <f t="shared" si="13"/>
        <v>12</v>
      </c>
      <c r="E280">
        <f t="shared" si="14"/>
        <v>25</v>
      </c>
    </row>
    <row r="281" spans="1:5" x14ac:dyDescent="0.25">
      <c r="A281" t="s">
        <v>1751</v>
      </c>
      <c r="B281" s="1">
        <v>45652</v>
      </c>
      <c r="C281">
        <f t="shared" si="12"/>
        <v>2024</v>
      </c>
      <c r="D281">
        <f t="shared" si="13"/>
        <v>12</v>
      </c>
      <c r="E281">
        <f t="shared" si="14"/>
        <v>26</v>
      </c>
    </row>
    <row r="282" spans="1:5" x14ac:dyDescent="0.25">
      <c r="A282" t="s">
        <v>1752</v>
      </c>
      <c r="B282" s="1">
        <v>45654</v>
      </c>
      <c r="C282">
        <f t="shared" si="12"/>
        <v>2024</v>
      </c>
      <c r="D282">
        <f t="shared" si="13"/>
        <v>12</v>
      </c>
      <c r="E282">
        <f t="shared" si="14"/>
        <v>28</v>
      </c>
    </row>
    <row r="283" spans="1:5" x14ac:dyDescent="0.25">
      <c r="A283" t="s">
        <v>1753</v>
      </c>
      <c r="B283" s="1">
        <v>45656</v>
      </c>
      <c r="C283">
        <f t="shared" si="12"/>
        <v>2024</v>
      </c>
      <c r="D283">
        <f t="shared" si="13"/>
        <v>12</v>
      </c>
      <c r="E283">
        <f t="shared" si="14"/>
        <v>30</v>
      </c>
    </row>
    <row r="284" spans="1:5" x14ac:dyDescent="0.25">
      <c r="A284" t="s">
        <v>1754</v>
      </c>
      <c r="B284" s="1">
        <v>45658</v>
      </c>
      <c r="C284">
        <f t="shared" si="12"/>
        <v>2025</v>
      </c>
      <c r="D284">
        <f t="shared" si="13"/>
        <v>1</v>
      </c>
      <c r="E284">
        <f t="shared" si="14"/>
        <v>1</v>
      </c>
    </row>
    <row r="285" spans="1:5" x14ac:dyDescent="0.25">
      <c r="A285" t="s">
        <v>1755</v>
      </c>
      <c r="B285" s="1">
        <v>45660</v>
      </c>
      <c r="C285">
        <f t="shared" si="12"/>
        <v>2025</v>
      </c>
      <c r="D285">
        <f t="shared" si="13"/>
        <v>1</v>
      </c>
      <c r="E285">
        <f t="shared" si="14"/>
        <v>3</v>
      </c>
    </row>
    <row r="286" spans="1:5" x14ac:dyDescent="0.25">
      <c r="A286" t="s">
        <v>1756</v>
      </c>
      <c r="B286" s="1">
        <v>45661</v>
      </c>
      <c r="C286">
        <f t="shared" si="12"/>
        <v>2025</v>
      </c>
      <c r="D286">
        <f t="shared" si="13"/>
        <v>1</v>
      </c>
      <c r="E286">
        <f t="shared" si="14"/>
        <v>4</v>
      </c>
    </row>
    <row r="287" spans="1:5" x14ac:dyDescent="0.25">
      <c r="A287" t="s">
        <v>1757</v>
      </c>
      <c r="B287" s="1">
        <v>45662</v>
      </c>
      <c r="C287">
        <f t="shared" si="12"/>
        <v>2025</v>
      </c>
      <c r="D287">
        <f t="shared" si="13"/>
        <v>1</v>
      </c>
      <c r="E287">
        <f t="shared" si="14"/>
        <v>5</v>
      </c>
    </row>
    <row r="288" spans="1:5" x14ac:dyDescent="0.25">
      <c r="A288" t="s">
        <v>1758</v>
      </c>
      <c r="B288" s="1">
        <v>45664</v>
      </c>
      <c r="C288">
        <f t="shared" si="12"/>
        <v>2025</v>
      </c>
      <c r="D288">
        <f t="shared" si="13"/>
        <v>1</v>
      </c>
      <c r="E288">
        <f t="shared" si="14"/>
        <v>7</v>
      </c>
    </row>
    <row r="289" spans="1:5" x14ac:dyDescent="0.25">
      <c r="A289" t="s">
        <v>1759</v>
      </c>
      <c r="B289" s="1">
        <v>45665</v>
      </c>
      <c r="C289">
        <f t="shared" si="12"/>
        <v>2025</v>
      </c>
      <c r="D289">
        <f t="shared" si="13"/>
        <v>1</v>
      </c>
      <c r="E289">
        <f t="shared" si="14"/>
        <v>8</v>
      </c>
    </row>
    <row r="290" spans="1:5" x14ac:dyDescent="0.25">
      <c r="A290" t="s">
        <v>1760</v>
      </c>
      <c r="B290" s="1">
        <v>45666</v>
      </c>
      <c r="C290">
        <f t="shared" si="12"/>
        <v>2025</v>
      </c>
      <c r="D290">
        <f t="shared" si="13"/>
        <v>1</v>
      </c>
      <c r="E290">
        <f t="shared" si="14"/>
        <v>9</v>
      </c>
    </row>
    <row r="291" spans="1:5" x14ac:dyDescent="0.25">
      <c r="A291" t="s">
        <v>1761</v>
      </c>
      <c r="B291" s="1">
        <v>45667</v>
      </c>
      <c r="C291">
        <f t="shared" si="12"/>
        <v>2025</v>
      </c>
      <c r="D291">
        <f t="shared" si="13"/>
        <v>1</v>
      </c>
      <c r="E291">
        <f t="shared" si="14"/>
        <v>10</v>
      </c>
    </row>
    <row r="292" spans="1:5" x14ac:dyDescent="0.25">
      <c r="A292" t="s">
        <v>1762</v>
      </c>
      <c r="B292" s="1">
        <v>45668</v>
      </c>
      <c r="C292">
        <f t="shared" si="12"/>
        <v>2025</v>
      </c>
      <c r="D292">
        <f t="shared" si="13"/>
        <v>1</v>
      </c>
      <c r="E292">
        <f t="shared" si="14"/>
        <v>11</v>
      </c>
    </row>
    <row r="293" spans="1:5" x14ac:dyDescent="0.25">
      <c r="A293" t="s">
        <v>1763</v>
      </c>
      <c r="B293" s="1">
        <v>45669</v>
      </c>
      <c r="C293">
        <f t="shared" si="12"/>
        <v>2025</v>
      </c>
      <c r="D293">
        <f t="shared" si="13"/>
        <v>1</v>
      </c>
      <c r="E293">
        <f t="shared" si="14"/>
        <v>12</v>
      </c>
    </row>
    <row r="294" spans="1:5" x14ac:dyDescent="0.25">
      <c r="A294" t="s">
        <v>1764</v>
      </c>
      <c r="B294" s="1">
        <v>45670</v>
      </c>
      <c r="C294">
        <f t="shared" si="12"/>
        <v>2025</v>
      </c>
      <c r="D294">
        <f t="shared" si="13"/>
        <v>1</v>
      </c>
      <c r="E294">
        <f t="shared" si="14"/>
        <v>13</v>
      </c>
    </row>
    <row r="295" spans="1:5" x14ac:dyDescent="0.25">
      <c r="A295" t="s">
        <v>1765</v>
      </c>
      <c r="B295" s="1">
        <v>45671</v>
      </c>
      <c r="C295">
        <f t="shared" si="12"/>
        <v>2025</v>
      </c>
      <c r="D295">
        <f t="shared" si="13"/>
        <v>1</v>
      </c>
      <c r="E295">
        <f t="shared" si="14"/>
        <v>14</v>
      </c>
    </row>
    <row r="296" spans="1:5" x14ac:dyDescent="0.25">
      <c r="A296" t="s">
        <v>1766</v>
      </c>
      <c r="B296" s="1">
        <v>45675</v>
      </c>
      <c r="C296">
        <f t="shared" si="12"/>
        <v>2025</v>
      </c>
      <c r="D296">
        <f t="shared" si="13"/>
        <v>1</v>
      </c>
      <c r="E296">
        <f t="shared" si="14"/>
        <v>18</v>
      </c>
    </row>
    <row r="297" spans="1:5" x14ac:dyDescent="0.25">
      <c r="A297" t="s">
        <v>1767</v>
      </c>
      <c r="B297" s="1">
        <v>45676</v>
      </c>
      <c r="C297">
        <f t="shared" si="12"/>
        <v>2025</v>
      </c>
      <c r="D297">
        <f t="shared" si="13"/>
        <v>1</v>
      </c>
      <c r="E297">
        <f t="shared" si="14"/>
        <v>19</v>
      </c>
    </row>
    <row r="298" spans="1:5" x14ac:dyDescent="0.25">
      <c r="A298" t="s">
        <v>1768</v>
      </c>
      <c r="B298" s="1">
        <v>45677</v>
      </c>
      <c r="C298">
        <f t="shared" si="12"/>
        <v>2025</v>
      </c>
      <c r="D298">
        <f t="shared" si="13"/>
        <v>1</v>
      </c>
      <c r="E298">
        <f t="shared" si="14"/>
        <v>20</v>
      </c>
    </row>
    <row r="299" spans="1:5" x14ac:dyDescent="0.25">
      <c r="A299" t="s">
        <v>1769</v>
      </c>
      <c r="B299" s="1">
        <v>45678</v>
      </c>
      <c r="C299">
        <f t="shared" si="12"/>
        <v>2025</v>
      </c>
      <c r="D299">
        <f t="shared" si="13"/>
        <v>1</v>
      </c>
      <c r="E299">
        <f t="shared" si="14"/>
        <v>21</v>
      </c>
    </row>
    <row r="300" spans="1:5" x14ac:dyDescent="0.25">
      <c r="A300" t="s">
        <v>1770</v>
      </c>
      <c r="B300" s="1">
        <v>45680</v>
      </c>
      <c r="C300">
        <f t="shared" si="12"/>
        <v>2025</v>
      </c>
      <c r="D300">
        <f t="shared" si="13"/>
        <v>1</v>
      </c>
      <c r="E300">
        <f t="shared" si="14"/>
        <v>23</v>
      </c>
    </row>
    <row r="301" spans="1:5" x14ac:dyDescent="0.25">
      <c r="A301" t="s">
        <v>1771</v>
      </c>
      <c r="B301" s="1">
        <v>45681</v>
      </c>
      <c r="C301">
        <f t="shared" si="12"/>
        <v>2025</v>
      </c>
      <c r="D301">
        <f t="shared" si="13"/>
        <v>1</v>
      </c>
      <c r="E301">
        <f t="shared" si="14"/>
        <v>24</v>
      </c>
    </row>
    <row r="302" spans="1:5" x14ac:dyDescent="0.25">
      <c r="A302" t="s">
        <v>1772</v>
      </c>
      <c r="B302" s="1">
        <v>45682</v>
      </c>
      <c r="C302">
        <f t="shared" si="12"/>
        <v>2025</v>
      </c>
      <c r="D302">
        <f t="shared" si="13"/>
        <v>1</v>
      </c>
      <c r="E302">
        <f t="shared" si="14"/>
        <v>25</v>
      </c>
    </row>
    <row r="303" spans="1:5" x14ac:dyDescent="0.25">
      <c r="A303" t="s">
        <v>1773</v>
      </c>
      <c r="B303" s="1">
        <v>45683</v>
      </c>
      <c r="C303">
        <f t="shared" si="12"/>
        <v>2025</v>
      </c>
      <c r="D303">
        <f t="shared" si="13"/>
        <v>1</v>
      </c>
      <c r="E303">
        <f t="shared" si="14"/>
        <v>26</v>
      </c>
    </row>
    <row r="304" spans="1:5" x14ac:dyDescent="0.25">
      <c r="A304" t="s">
        <v>1774</v>
      </c>
      <c r="B304" s="1">
        <v>45684</v>
      </c>
      <c r="C304">
        <f t="shared" si="12"/>
        <v>2025</v>
      </c>
      <c r="D304">
        <f t="shared" si="13"/>
        <v>1</v>
      </c>
      <c r="E304">
        <f t="shared" si="14"/>
        <v>27</v>
      </c>
    </row>
    <row r="305" spans="1:5" x14ac:dyDescent="0.25">
      <c r="A305" t="s">
        <v>1775</v>
      </c>
      <c r="B305" s="1">
        <v>45685</v>
      </c>
      <c r="C305">
        <f t="shared" si="12"/>
        <v>2025</v>
      </c>
      <c r="D305">
        <f t="shared" si="13"/>
        <v>1</v>
      </c>
      <c r="E305">
        <f t="shared" si="14"/>
        <v>28</v>
      </c>
    </row>
    <row r="306" spans="1:5" x14ac:dyDescent="0.25">
      <c r="A306" t="s">
        <v>1776</v>
      </c>
      <c r="B306" s="1">
        <v>45687</v>
      </c>
      <c r="C306">
        <f t="shared" si="12"/>
        <v>2025</v>
      </c>
      <c r="D306">
        <f t="shared" si="13"/>
        <v>1</v>
      </c>
      <c r="E306">
        <f t="shared" si="14"/>
        <v>30</v>
      </c>
    </row>
    <row r="307" spans="1:5" x14ac:dyDescent="0.25">
      <c r="A307" t="s">
        <v>1777</v>
      </c>
      <c r="B307" s="1">
        <v>45688</v>
      </c>
      <c r="C307">
        <f t="shared" si="12"/>
        <v>2025</v>
      </c>
      <c r="D307">
        <f t="shared" si="13"/>
        <v>1</v>
      </c>
      <c r="E307">
        <f t="shared" si="14"/>
        <v>31</v>
      </c>
    </row>
    <row r="308" spans="1:5" x14ac:dyDescent="0.25">
      <c r="A308" t="s">
        <v>1778</v>
      </c>
      <c r="B308" s="1">
        <v>45689</v>
      </c>
      <c r="C308">
        <f t="shared" si="12"/>
        <v>2025</v>
      </c>
      <c r="D308">
        <f t="shared" si="13"/>
        <v>2</v>
      </c>
      <c r="E308">
        <f t="shared" si="14"/>
        <v>1</v>
      </c>
    </row>
    <row r="309" spans="1:5" x14ac:dyDescent="0.25">
      <c r="A309" t="s">
        <v>1779</v>
      </c>
      <c r="B309" s="1">
        <v>45691</v>
      </c>
      <c r="C309">
        <f t="shared" si="12"/>
        <v>2025</v>
      </c>
      <c r="D309">
        <f t="shared" si="13"/>
        <v>2</v>
      </c>
      <c r="E309">
        <f t="shared" si="14"/>
        <v>3</v>
      </c>
    </row>
    <row r="310" spans="1:5" x14ac:dyDescent="0.25">
      <c r="A310" t="s">
        <v>1780</v>
      </c>
      <c r="B310" s="1">
        <v>45692</v>
      </c>
      <c r="C310">
        <f t="shared" si="12"/>
        <v>2025</v>
      </c>
      <c r="D310">
        <f t="shared" si="13"/>
        <v>2</v>
      </c>
      <c r="E310">
        <f t="shared" si="14"/>
        <v>4</v>
      </c>
    </row>
    <row r="311" spans="1:5" x14ac:dyDescent="0.25">
      <c r="A311" t="s">
        <v>1781</v>
      </c>
      <c r="B311" s="1">
        <v>45693</v>
      </c>
      <c r="C311">
        <f t="shared" si="12"/>
        <v>2025</v>
      </c>
      <c r="D311">
        <f t="shared" si="13"/>
        <v>2</v>
      </c>
      <c r="E311">
        <f t="shared" si="14"/>
        <v>5</v>
      </c>
    </row>
    <row r="312" spans="1:5" x14ac:dyDescent="0.25">
      <c r="A312" t="s">
        <v>1782</v>
      </c>
      <c r="B312" s="1">
        <v>45694</v>
      </c>
      <c r="C312">
        <f t="shared" si="12"/>
        <v>2025</v>
      </c>
      <c r="D312">
        <f t="shared" si="13"/>
        <v>2</v>
      </c>
      <c r="E312">
        <f t="shared" si="14"/>
        <v>6</v>
      </c>
    </row>
    <row r="313" spans="1:5" x14ac:dyDescent="0.25">
      <c r="A313" t="s">
        <v>1783</v>
      </c>
      <c r="B313" s="1">
        <v>45695</v>
      </c>
      <c r="C313">
        <f t="shared" si="12"/>
        <v>2025</v>
      </c>
      <c r="D313">
        <f t="shared" si="13"/>
        <v>2</v>
      </c>
      <c r="E313">
        <f t="shared" si="14"/>
        <v>7</v>
      </c>
    </row>
    <row r="314" spans="1:5" x14ac:dyDescent="0.25">
      <c r="A314" t="s">
        <v>1784</v>
      </c>
      <c r="B314" s="1">
        <v>45696</v>
      </c>
      <c r="C314">
        <f t="shared" si="12"/>
        <v>2025</v>
      </c>
      <c r="D314">
        <f t="shared" si="13"/>
        <v>2</v>
      </c>
      <c r="E314">
        <f t="shared" si="14"/>
        <v>8</v>
      </c>
    </row>
    <row r="315" spans="1:5" x14ac:dyDescent="0.25">
      <c r="A315" t="s">
        <v>1785</v>
      </c>
      <c r="B315" s="1">
        <v>45698</v>
      </c>
      <c r="C315">
        <f t="shared" si="12"/>
        <v>2025</v>
      </c>
      <c r="D315">
        <f t="shared" si="13"/>
        <v>2</v>
      </c>
      <c r="E315">
        <f t="shared" si="14"/>
        <v>10</v>
      </c>
    </row>
    <row r="316" spans="1:5" x14ac:dyDescent="0.25">
      <c r="A316" t="s">
        <v>1786</v>
      </c>
      <c r="B316" s="1">
        <v>45699</v>
      </c>
      <c r="C316">
        <f t="shared" si="12"/>
        <v>2025</v>
      </c>
      <c r="D316">
        <f t="shared" si="13"/>
        <v>2</v>
      </c>
      <c r="E316">
        <f t="shared" si="14"/>
        <v>11</v>
      </c>
    </row>
    <row r="317" spans="1:5" x14ac:dyDescent="0.25">
      <c r="A317" t="s">
        <v>1787</v>
      </c>
      <c r="B317" s="1">
        <v>45700</v>
      </c>
      <c r="C317">
        <f t="shared" si="12"/>
        <v>2025</v>
      </c>
      <c r="D317">
        <f t="shared" si="13"/>
        <v>2</v>
      </c>
      <c r="E317">
        <f t="shared" si="14"/>
        <v>12</v>
      </c>
    </row>
    <row r="318" spans="1:5" x14ac:dyDescent="0.25">
      <c r="A318" t="s">
        <v>1788</v>
      </c>
      <c r="B318" s="1">
        <v>45701</v>
      </c>
      <c r="C318">
        <f t="shared" si="12"/>
        <v>2025</v>
      </c>
      <c r="D318">
        <f t="shared" si="13"/>
        <v>2</v>
      </c>
      <c r="E318">
        <f t="shared" si="14"/>
        <v>13</v>
      </c>
    </row>
    <row r="319" spans="1:5" x14ac:dyDescent="0.25">
      <c r="A319" t="s">
        <v>1789</v>
      </c>
      <c r="B319" s="1">
        <v>45702</v>
      </c>
      <c r="C319">
        <f t="shared" si="12"/>
        <v>2025</v>
      </c>
      <c r="D319">
        <f t="shared" si="13"/>
        <v>2</v>
      </c>
      <c r="E319">
        <f t="shared" si="14"/>
        <v>14</v>
      </c>
    </row>
    <row r="320" spans="1:5" x14ac:dyDescent="0.25">
      <c r="A320" t="s">
        <v>1790</v>
      </c>
      <c r="B320" s="1">
        <v>45704</v>
      </c>
      <c r="C320">
        <f t="shared" si="12"/>
        <v>2025</v>
      </c>
      <c r="D320">
        <f t="shared" si="13"/>
        <v>2</v>
      </c>
      <c r="E320">
        <f t="shared" si="14"/>
        <v>16</v>
      </c>
    </row>
    <row r="321" spans="1:5" x14ac:dyDescent="0.25">
      <c r="A321" t="s">
        <v>1791</v>
      </c>
      <c r="B321" s="1">
        <v>45706</v>
      </c>
      <c r="C321">
        <f t="shared" si="12"/>
        <v>2025</v>
      </c>
      <c r="D321">
        <f t="shared" si="13"/>
        <v>2</v>
      </c>
      <c r="E321">
        <f t="shared" si="14"/>
        <v>18</v>
      </c>
    </row>
    <row r="322" spans="1:5" x14ac:dyDescent="0.25">
      <c r="A322" t="s">
        <v>1792</v>
      </c>
      <c r="B322" s="1">
        <v>45708</v>
      </c>
      <c r="C322">
        <f t="shared" si="12"/>
        <v>2025</v>
      </c>
      <c r="D322">
        <f t="shared" si="13"/>
        <v>2</v>
      </c>
      <c r="E322">
        <f t="shared" si="14"/>
        <v>20</v>
      </c>
    </row>
    <row r="323" spans="1:5" x14ac:dyDescent="0.25">
      <c r="A323" t="s">
        <v>1793</v>
      </c>
      <c r="B323" s="1">
        <v>45709</v>
      </c>
      <c r="C323">
        <f t="shared" ref="C323:C386" si="15">YEAR(B323)</f>
        <v>2025</v>
      </c>
      <c r="D323">
        <f t="shared" ref="D323:D386" si="16">MONTH(B323)</f>
        <v>2</v>
      </c>
      <c r="E323">
        <f t="shared" ref="E323:E386" si="17">DAY(B323)</f>
        <v>21</v>
      </c>
    </row>
    <row r="324" spans="1:5" x14ac:dyDescent="0.25">
      <c r="A324" t="s">
        <v>1794</v>
      </c>
      <c r="B324" s="1">
        <v>45710</v>
      </c>
      <c r="C324">
        <f t="shared" si="15"/>
        <v>2025</v>
      </c>
      <c r="D324">
        <f t="shared" si="16"/>
        <v>2</v>
      </c>
      <c r="E324">
        <f t="shared" si="17"/>
        <v>22</v>
      </c>
    </row>
    <row r="325" spans="1:5" x14ac:dyDescent="0.25">
      <c r="A325" t="s">
        <v>1795</v>
      </c>
      <c r="B325" s="1">
        <v>45711</v>
      </c>
      <c r="C325">
        <f t="shared" si="15"/>
        <v>2025</v>
      </c>
      <c r="D325">
        <f t="shared" si="16"/>
        <v>2</v>
      </c>
      <c r="E325">
        <f t="shared" si="17"/>
        <v>23</v>
      </c>
    </row>
    <row r="326" spans="1:5" x14ac:dyDescent="0.25">
      <c r="A326" t="s">
        <v>1796</v>
      </c>
      <c r="B326" s="1">
        <v>45713</v>
      </c>
      <c r="C326">
        <f t="shared" si="15"/>
        <v>2025</v>
      </c>
      <c r="D326">
        <f t="shared" si="16"/>
        <v>2</v>
      </c>
      <c r="E326">
        <f t="shared" si="17"/>
        <v>25</v>
      </c>
    </row>
    <row r="327" spans="1:5" x14ac:dyDescent="0.25">
      <c r="A327" t="s">
        <v>1797</v>
      </c>
      <c r="B327" s="1">
        <v>45715</v>
      </c>
      <c r="C327">
        <f t="shared" si="15"/>
        <v>2025</v>
      </c>
      <c r="D327">
        <f t="shared" si="16"/>
        <v>2</v>
      </c>
      <c r="E327">
        <f t="shared" si="17"/>
        <v>27</v>
      </c>
    </row>
    <row r="328" spans="1:5" x14ac:dyDescent="0.25">
      <c r="A328" t="s">
        <v>1798</v>
      </c>
      <c r="B328" s="1">
        <v>45716</v>
      </c>
      <c r="C328">
        <f t="shared" si="15"/>
        <v>2025</v>
      </c>
      <c r="D328">
        <f t="shared" si="16"/>
        <v>2</v>
      </c>
      <c r="E328">
        <f t="shared" si="17"/>
        <v>28</v>
      </c>
    </row>
    <row r="329" spans="1:5" x14ac:dyDescent="0.25">
      <c r="A329" t="s">
        <v>1799</v>
      </c>
      <c r="B329" s="1">
        <v>45718</v>
      </c>
      <c r="C329">
        <f t="shared" si="15"/>
        <v>2025</v>
      </c>
      <c r="D329">
        <f t="shared" si="16"/>
        <v>3</v>
      </c>
      <c r="E329">
        <f t="shared" si="17"/>
        <v>2</v>
      </c>
    </row>
    <row r="330" spans="1:5" x14ac:dyDescent="0.25">
      <c r="A330" t="s">
        <v>1800</v>
      </c>
      <c r="B330" s="1">
        <v>45720</v>
      </c>
      <c r="C330">
        <f t="shared" si="15"/>
        <v>2025</v>
      </c>
      <c r="D330">
        <f t="shared" si="16"/>
        <v>3</v>
      </c>
      <c r="E330">
        <f t="shared" si="17"/>
        <v>4</v>
      </c>
    </row>
    <row r="331" spans="1:5" x14ac:dyDescent="0.25">
      <c r="A331" t="s">
        <v>1801</v>
      </c>
      <c r="B331" s="1">
        <v>45722</v>
      </c>
      <c r="C331">
        <f t="shared" si="15"/>
        <v>2025</v>
      </c>
      <c r="D331">
        <f t="shared" si="16"/>
        <v>3</v>
      </c>
      <c r="E331">
        <f t="shared" si="17"/>
        <v>6</v>
      </c>
    </row>
    <row r="332" spans="1:5" x14ac:dyDescent="0.25">
      <c r="A332" t="s">
        <v>1802</v>
      </c>
      <c r="B332" s="1">
        <v>45723</v>
      </c>
      <c r="C332">
        <f t="shared" si="15"/>
        <v>2025</v>
      </c>
      <c r="D332">
        <f t="shared" si="16"/>
        <v>3</v>
      </c>
      <c r="E332">
        <f t="shared" si="17"/>
        <v>7</v>
      </c>
    </row>
    <row r="333" spans="1:5" x14ac:dyDescent="0.25">
      <c r="A333" t="s">
        <v>1803</v>
      </c>
      <c r="B333" s="1">
        <v>45726</v>
      </c>
      <c r="C333">
        <f t="shared" si="15"/>
        <v>2025</v>
      </c>
      <c r="D333">
        <f t="shared" si="16"/>
        <v>3</v>
      </c>
      <c r="E333">
        <f t="shared" si="17"/>
        <v>10</v>
      </c>
    </row>
    <row r="334" spans="1:5" x14ac:dyDescent="0.25">
      <c r="A334" t="s">
        <v>1804</v>
      </c>
      <c r="B334" s="1">
        <v>45727</v>
      </c>
      <c r="C334">
        <f t="shared" si="15"/>
        <v>2025</v>
      </c>
      <c r="D334">
        <f t="shared" si="16"/>
        <v>3</v>
      </c>
      <c r="E334">
        <f t="shared" si="17"/>
        <v>11</v>
      </c>
    </row>
    <row r="335" spans="1:5" x14ac:dyDescent="0.25">
      <c r="A335" t="s">
        <v>1805</v>
      </c>
      <c r="B335" s="1">
        <v>45728</v>
      </c>
      <c r="C335">
        <f t="shared" si="15"/>
        <v>2025</v>
      </c>
      <c r="D335">
        <f t="shared" si="16"/>
        <v>3</v>
      </c>
      <c r="E335">
        <f t="shared" si="17"/>
        <v>12</v>
      </c>
    </row>
    <row r="336" spans="1:5" x14ac:dyDescent="0.25">
      <c r="A336" t="s">
        <v>1806</v>
      </c>
      <c r="B336" s="1">
        <v>45729</v>
      </c>
      <c r="C336">
        <f t="shared" si="15"/>
        <v>2025</v>
      </c>
      <c r="D336">
        <f t="shared" si="16"/>
        <v>3</v>
      </c>
      <c r="E336">
        <f t="shared" si="17"/>
        <v>13</v>
      </c>
    </row>
    <row r="337" spans="1:5" x14ac:dyDescent="0.25">
      <c r="A337" t="s">
        <v>1807</v>
      </c>
      <c r="B337" s="1">
        <v>45732</v>
      </c>
      <c r="C337">
        <f t="shared" si="15"/>
        <v>2025</v>
      </c>
      <c r="D337">
        <f t="shared" si="16"/>
        <v>3</v>
      </c>
      <c r="E337">
        <f t="shared" si="17"/>
        <v>16</v>
      </c>
    </row>
    <row r="338" spans="1:5" x14ac:dyDescent="0.25">
      <c r="A338" t="s">
        <v>1808</v>
      </c>
      <c r="B338" s="1">
        <v>45733</v>
      </c>
      <c r="C338">
        <f t="shared" si="15"/>
        <v>2025</v>
      </c>
      <c r="D338">
        <f t="shared" si="16"/>
        <v>3</v>
      </c>
      <c r="E338">
        <f t="shared" si="17"/>
        <v>17</v>
      </c>
    </row>
    <row r="339" spans="1:5" x14ac:dyDescent="0.25">
      <c r="A339" t="s">
        <v>1809</v>
      </c>
      <c r="B339" s="1">
        <v>45734</v>
      </c>
      <c r="C339">
        <f t="shared" si="15"/>
        <v>2025</v>
      </c>
      <c r="D339">
        <f t="shared" si="16"/>
        <v>3</v>
      </c>
      <c r="E339">
        <f t="shared" si="17"/>
        <v>18</v>
      </c>
    </row>
    <row r="340" spans="1:5" x14ac:dyDescent="0.25">
      <c r="A340" t="s">
        <v>1810</v>
      </c>
      <c r="B340" s="1">
        <v>45735</v>
      </c>
      <c r="C340">
        <f t="shared" si="15"/>
        <v>2025</v>
      </c>
      <c r="D340">
        <f t="shared" si="16"/>
        <v>3</v>
      </c>
      <c r="E340">
        <f t="shared" si="17"/>
        <v>19</v>
      </c>
    </row>
    <row r="341" spans="1:5" x14ac:dyDescent="0.25">
      <c r="A341" t="s">
        <v>1811</v>
      </c>
      <c r="B341" s="1">
        <v>45736</v>
      </c>
      <c r="C341">
        <f t="shared" si="15"/>
        <v>2025</v>
      </c>
      <c r="D341">
        <f t="shared" si="16"/>
        <v>3</v>
      </c>
      <c r="E341">
        <f t="shared" si="17"/>
        <v>20</v>
      </c>
    </row>
    <row r="342" spans="1:5" x14ac:dyDescent="0.25">
      <c r="A342" t="s">
        <v>1812</v>
      </c>
      <c r="B342" s="1">
        <v>45737</v>
      </c>
      <c r="C342">
        <f t="shared" si="15"/>
        <v>2025</v>
      </c>
      <c r="D342">
        <f t="shared" si="16"/>
        <v>3</v>
      </c>
      <c r="E342">
        <f t="shared" si="17"/>
        <v>21</v>
      </c>
    </row>
    <row r="343" spans="1:5" x14ac:dyDescent="0.25">
      <c r="A343" t="s">
        <v>1813</v>
      </c>
      <c r="B343" s="1">
        <v>45738</v>
      </c>
      <c r="C343">
        <f t="shared" si="15"/>
        <v>2025</v>
      </c>
      <c r="D343">
        <f t="shared" si="16"/>
        <v>3</v>
      </c>
      <c r="E343">
        <f t="shared" si="17"/>
        <v>22</v>
      </c>
    </row>
    <row r="344" spans="1:5" x14ac:dyDescent="0.25">
      <c r="A344" t="s">
        <v>1814</v>
      </c>
      <c r="B344" s="1">
        <v>45739</v>
      </c>
      <c r="C344">
        <f t="shared" si="15"/>
        <v>2025</v>
      </c>
      <c r="D344">
        <f t="shared" si="16"/>
        <v>3</v>
      </c>
      <c r="E344">
        <f t="shared" si="17"/>
        <v>23</v>
      </c>
    </row>
    <row r="345" spans="1:5" x14ac:dyDescent="0.25">
      <c r="A345" t="s">
        <v>1815</v>
      </c>
      <c r="B345" s="1">
        <v>45740</v>
      </c>
      <c r="C345">
        <f t="shared" si="15"/>
        <v>2025</v>
      </c>
      <c r="D345">
        <f t="shared" si="16"/>
        <v>3</v>
      </c>
      <c r="E345">
        <f t="shared" si="17"/>
        <v>24</v>
      </c>
    </row>
    <row r="346" spans="1:5" x14ac:dyDescent="0.25">
      <c r="A346" t="s">
        <v>1816</v>
      </c>
      <c r="B346" s="1">
        <v>45741</v>
      </c>
      <c r="C346">
        <f t="shared" si="15"/>
        <v>2025</v>
      </c>
      <c r="D346">
        <f t="shared" si="16"/>
        <v>3</v>
      </c>
      <c r="E346">
        <f t="shared" si="17"/>
        <v>25</v>
      </c>
    </row>
    <row r="347" spans="1:5" x14ac:dyDescent="0.25">
      <c r="A347" t="s">
        <v>1817</v>
      </c>
      <c r="B347" s="1">
        <v>45742</v>
      </c>
      <c r="C347">
        <f t="shared" si="15"/>
        <v>2025</v>
      </c>
      <c r="D347">
        <f t="shared" si="16"/>
        <v>3</v>
      </c>
      <c r="E347">
        <f t="shared" si="17"/>
        <v>26</v>
      </c>
    </row>
    <row r="348" spans="1:5" x14ac:dyDescent="0.25">
      <c r="A348" t="s">
        <v>1818</v>
      </c>
      <c r="B348" s="1">
        <v>45743</v>
      </c>
      <c r="C348">
        <f t="shared" si="15"/>
        <v>2025</v>
      </c>
      <c r="D348">
        <f t="shared" si="16"/>
        <v>3</v>
      </c>
      <c r="E348">
        <f t="shared" si="17"/>
        <v>27</v>
      </c>
    </row>
    <row r="349" spans="1:5" x14ac:dyDescent="0.25">
      <c r="A349" t="s">
        <v>1819</v>
      </c>
      <c r="B349" s="1">
        <v>45744</v>
      </c>
      <c r="C349">
        <f t="shared" si="15"/>
        <v>2025</v>
      </c>
      <c r="D349">
        <f t="shared" si="16"/>
        <v>3</v>
      </c>
      <c r="E349">
        <f t="shared" si="17"/>
        <v>28</v>
      </c>
    </row>
    <row r="350" spans="1:5" x14ac:dyDescent="0.25">
      <c r="A350" t="s">
        <v>1820</v>
      </c>
      <c r="B350" s="1">
        <v>45746</v>
      </c>
      <c r="C350">
        <f t="shared" si="15"/>
        <v>2025</v>
      </c>
      <c r="D350">
        <f t="shared" si="16"/>
        <v>3</v>
      </c>
      <c r="E350">
        <f t="shared" si="17"/>
        <v>30</v>
      </c>
    </row>
    <row r="351" spans="1:5" x14ac:dyDescent="0.25">
      <c r="A351" t="s">
        <v>1821</v>
      </c>
      <c r="B351" s="1">
        <v>45747</v>
      </c>
      <c r="C351">
        <f t="shared" si="15"/>
        <v>2025</v>
      </c>
      <c r="D351">
        <f t="shared" si="16"/>
        <v>3</v>
      </c>
      <c r="E351">
        <f t="shared" si="17"/>
        <v>31</v>
      </c>
    </row>
    <row r="352" spans="1:5" x14ac:dyDescent="0.25">
      <c r="A352" t="s">
        <v>1822</v>
      </c>
      <c r="B352" s="1">
        <v>45748</v>
      </c>
      <c r="C352">
        <f t="shared" si="15"/>
        <v>2025</v>
      </c>
      <c r="D352">
        <f t="shared" si="16"/>
        <v>4</v>
      </c>
      <c r="E352">
        <f t="shared" si="17"/>
        <v>1</v>
      </c>
    </row>
    <row r="353" spans="1:5" x14ac:dyDescent="0.25">
      <c r="A353" t="s">
        <v>1823</v>
      </c>
      <c r="B353" s="1">
        <v>45749</v>
      </c>
      <c r="C353">
        <f t="shared" si="15"/>
        <v>2025</v>
      </c>
      <c r="D353">
        <f t="shared" si="16"/>
        <v>4</v>
      </c>
      <c r="E353">
        <f t="shared" si="17"/>
        <v>2</v>
      </c>
    </row>
    <row r="354" spans="1:5" x14ac:dyDescent="0.25">
      <c r="A354" t="s">
        <v>1824</v>
      </c>
      <c r="B354" s="1">
        <v>45750</v>
      </c>
      <c r="C354">
        <f t="shared" si="15"/>
        <v>2025</v>
      </c>
      <c r="D354">
        <f t="shared" si="16"/>
        <v>4</v>
      </c>
      <c r="E354">
        <f t="shared" si="17"/>
        <v>3</v>
      </c>
    </row>
    <row r="355" spans="1:5" x14ac:dyDescent="0.25">
      <c r="A355" t="s">
        <v>1825</v>
      </c>
      <c r="B355" s="1">
        <v>45751</v>
      </c>
      <c r="C355">
        <f t="shared" si="15"/>
        <v>2025</v>
      </c>
      <c r="D355">
        <f t="shared" si="16"/>
        <v>4</v>
      </c>
      <c r="E355">
        <f t="shared" si="17"/>
        <v>4</v>
      </c>
    </row>
    <row r="356" spans="1:5" x14ac:dyDescent="0.25">
      <c r="A356" t="s">
        <v>1826</v>
      </c>
      <c r="B356" s="1">
        <v>45752</v>
      </c>
      <c r="C356">
        <f t="shared" si="15"/>
        <v>2025</v>
      </c>
      <c r="D356">
        <f t="shared" si="16"/>
        <v>4</v>
      </c>
      <c r="E356">
        <f t="shared" si="17"/>
        <v>5</v>
      </c>
    </row>
    <row r="357" spans="1:5" x14ac:dyDescent="0.25">
      <c r="A357" t="s">
        <v>1827</v>
      </c>
      <c r="B357" s="1">
        <v>45753</v>
      </c>
      <c r="C357">
        <f t="shared" si="15"/>
        <v>2025</v>
      </c>
      <c r="D357">
        <f t="shared" si="16"/>
        <v>4</v>
      </c>
      <c r="E357">
        <f t="shared" si="17"/>
        <v>6</v>
      </c>
    </row>
    <row r="358" spans="1:5" x14ac:dyDescent="0.25">
      <c r="A358" t="s">
        <v>1828</v>
      </c>
      <c r="B358" s="1">
        <v>45757</v>
      </c>
      <c r="C358">
        <f t="shared" si="15"/>
        <v>2025</v>
      </c>
      <c r="D358">
        <f t="shared" si="16"/>
        <v>4</v>
      </c>
      <c r="E358">
        <f t="shared" si="17"/>
        <v>10</v>
      </c>
    </row>
    <row r="359" spans="1:5" x14ac:dyDescent="0.25">
      <c r="A359" t="s">
        <v>1829</v>
      </c>
      <c r="B359" s="1">
        <v>45759</v>
      </c>
      <c r="C359">
        <f t="shared" si="15"/>
        <v>2025</v>
      </c>
      <c r="D359">
        <f t="shared" si="16"/>
        <v>4</v>
      </c>
      <c r="E359">
        <f t="shared" si="17"/>
        <v>12</v>
      </c>
    </row>
    <row r="360" spans="1:5" x14ac:dyDescent="0.25">
      <c r="A360" t="s">
        <v>1830</v>
      </c>
      <c r="B360" s="1">
        <v>45760</v>
      </c>
      <c r="C360">
        <f t="shared" si="15"/>
        <v>2025</v>
      </c>
      <c r="D360">
        <f t="shared" si="16"/>
        <v>4</v>
      </c>
      <c r="E360">
        <f t="shared" si="17"/>
        <v>13</v>
      </c>
    </row>
    <row r="361" spans="1:5" x14ac:dyDescent="0.25">
      <c r="A361" t="s">
        <v>1831</v>
      </c>
      <c r="B361" s="1">
        <v>45761</v>
      </c>
      <c r="C361">
        <f t="shared" si="15"/>
        <v>2025</v>
      </c>
      <c r="D361">
        <f t="shared" si="16"/>
        <v>4</v>
      </c>
      <c r="E361">
        <f t="shared" si="17"/>
        <v>14</v>
      </c>
    </row>
    <row r="362" spans="1:5" x14ac:dyDescent="0.25">
      <c r="A362" t="s">
        <v>1832</v>
      </c>
      <c r="B362" s="1">
        <v>45762</v>
      </c>
      <c r="C362">
        <f t="shared" si="15"/>
        <v>2025</v>
      </c>
      <c r="D362">
        <f t="shared" si="16"/>
        <v>4</v>
      </c>
      <c r="E362">
        <f t="shared" si="17"/>
        <v>15</v>
      </c>
    </row>
    <row r="363" spans="1:5" x14ac:dyDescent="0.25">
      <c r="A363" t="s">
        <v>1833</v>
      </c>
      <c r="B363" s="1">
        <v>45764</v>
      </c>
      <c r="C363">
        <f t="shared" si="15"/>
        <v>2025</v>
      </c>
      <c r="D363">
        <f t="shared" si="16"/>
        <v>4</v>
      </c>
      <c r="E363">
        <f t="shared" si="17"/>
        <v>17</v>
      </c>
    </row>
    <row r="364" spans="1:5" x14ac:dyDescent="0.25">
      <c r="A364" t="s">
        <v>1834</v>
      </c>
      <c r="B364" s="1">
        <v>45765</v>
      </c>
      <c r="C364">
        <f t="shared" si="15"/>
        <v>2025</v>
      </c>
      <c r="D364">
        <f t="shared" si="16"/>
        <v>4</v>
      </c>
      <c r="E364">
        <f t="shared" si="17"/>
        <v>18</v>
      </c>
    </row>
    <row r="365" spans="1:5" x14ac:dyDescent="0.25">
      <c r="A365" t="s">
        <v>1835</v>
      </c>
      <c r="B365" s="1">
        <v>45766</v>
      </c>
      <c r="C365">
        <f t="shared" si="15"/>
        <v>2025</v>
      </c>
      <c r="D365">
        <f t="shared" si="16"/>
        <v>4</v>
      </c>
      <c r="E365">
        <f t="shared" si="17"/>
        <v>19</v>
      </c>
    </row>
    <row r="366" spans="1:5" x14ac:dyDescent="0.25">
      <c r="A366" t="s">
        <v>1836</v>
      </c>
      <c r="B366" s="1">
        <v>45767</v>
      </c>
      <c r="C366">
        <f t="shared" si="15"/>
        <v>2025</v>
      </c>
      <c r="D366">
        <f t="shared" si="16"/>
        <v>4</v>
      </c>
      <c r="E366">
        <f t="shared" si="17"/>
        <v>20</v>
      </c>
    </row>
    <row r="367" spans="1:5" x14ac:dyDescent="0.25">
      <c r="A367" t="s">
        <v>1837</v>
      </c>
      <c r="B367" s="1">
        <v>45768</v>
      </c>
      <c r="C367">
        <f t="shared" si="15"/>
        <v>2025</v>
      </c>
      <c r="D367">
        <f t="shared" si="16"/>
        <v>4</v>
      </c>
      <c r="E367">
        <f t="shared" si="17"/>
        <v>21</v>
      </c>
    </row>
    <row r="368" spans="1:5" x14ac:dyDescent="0.25">
      <c r="A368" t="s">
        <v>1838</v>
      </c>
      <c r="B368" s="1">
        <v>45769</v>
      </c>
      <c r="C368">
        <f t="shared" si="15"/>
        <v>2025</v>
      </c>
      <c r="D368">
        <f t="shared" si="16"/>
        <v>4</v>
      </c>
      <c r="E368">
        <f t="shared" si="17"/>
        <v>22</v>
      </c>
    </row>
    <row r="369" spans="1:5" x14ac:dyDescent="0.25">
      <c r="A369" t="s">
        <v>1839</v>
      </c>
      <c r="B369" s="1">
        <v>45772</v>
      </c>
      <c r="C369">
        <f t="shared" si="15"/>
        <v>2025</v>
      </c>
      <c r="D369">
        <f t="shared" si="16"/>
        <v>4</v>
      </c>
      <c r="E369">
        <f t="shared" si="17"/>
        <v>25</v>
      </c>
    </row>
    <row r="370" spans="1:5" x14ac:dyDescent="0.25">
      <c r="A370" t="s">
        <v>1840</v>
      </c>
      <c r="B370" s="1">
        <v>45775</v>
      </c>
      <c r="C370">
        <f t="shared" si="15"/>
        <v>2025</v>
      </c>
      <c r="D370">
        <f t="shared" si="16"/>
        <v>4</v>
      </c>
      <c r="E370">
        <f t="shared" si="17"/>
        <v>28</v>
      </c>
    </row>
    <row r="371" spans="1:5" x14ac:dyDescent="0.25">
      <c r="A371" t="s">
        <v>1841</v>
      </c>
      <c r="B371" s="1">
        <v>45776</v>
      </c>
      <c r="C371">
        <f t="shared" si="15"/>
        <v>2025</v>
      </c>
      <c r="D371">
        <f t="shared" si="16"/>
        <v>4</v>
      </c>
      <c r="E371">
        <f t="shared" si="17"/>
        <v>29</v>
      </c>
    </row>
    <row r="372" spans="1:5" x14ac:dyDescent="0.25">
      <c r="A372" t="s">
        <v>1842</v>
      </c>
      <c r="B372" s="1">
        <v>45779</v>
      </c>
      <c r="C372">
        <f t="shared" si="15"/>
        <v>2025</v>
      </c>
      <c r="D372">
        <f t="shared" si="16"/>
        <v>5</v>
      </c>
      <c r="E372">
        <f t="shared" si="17"/>
        <v>2</v>
      </c>
    </row>
    <row r="373" spans="1:5" x14ac:dyDescent="0.25">
      <c r="A373" t="s">
        <v>1843</v>
      </c>
      <c r="B373" s="1">
        <v>45781</v>
      </c>
      <c r="C373">
        <f t="shared" si="15"/>
        <v>2025</v>
      </c>
      <c r="D373">
        <f t="shared" si="16"/>
        <v>5</v>
      </c>
      <c r="E373">
        <f t="shared" si="17"/>
        <v>4</v>
      </c>
    </row>
    <row r="374" spans="1:5" x14ac:dyDescent="0.25">
      <c r="A374" t="s">
        <v>1844</v>
      </c>
      <c r="B374" s="1">
        <v>45782</v>
      </c>
      <c r="C374">
        <f t="shared" si="15"/>
        <v>2025</v>
      </c>
      <c r="D374">
        <f t="shared" si="16"/>
        <v>5</v>
      </c>
      <c r="E374">
        <f t="shared" si="17"/>
        <v>5</v>
      </c>
    </row>
    <row r="375" spans="1:5" x14ac:dyDescent="0.25">
      <c r="A375" t="s">
        <v>1845</v>
      </c>
      <c r="B375" s="1">
        <v>45783</v>
      </c>
      <c r="C375">
        <f t="shared" si="15"/>
        <v>2025</v>
      </c>
      <c r="D375">
        <f t="shared" si="16"/>
        <v>5</v>
      </c>
      <c r="E375">
        <f t="shared" si="17"/>
        <v>6</v>
      </c>
    </row>
    <row r="376" spans="1:5" x14ac:dyDescent="0.25">
      <c r="A376" t="s">
        <v>1846</v>
      </c>
      <c r="B376" s="1">
        <v>45784</v>
      </c>
      <c r="C376">
        <f t="shared" si="15"/>
        <v>2025</v>
      </c>
      <c r="D376">
        <f t="shared" si="16"/>
        <v>5</v>
      </c>
      <c r="E376">
        <f t="shared" si="17"/>
        <v>7</v>
      </c>
    </row>
    <row r="377" spans="1:5" x14ac:dyDescent="0.25">
      <c r="A377" t="s">
        <v>1847</v>
      </c>
      <c r="B377" s="1">
        <v>45787</v>
      </c>
      <c r="C377">
        <f t="shared" si="15"/>
        <v>2025</v>
      </c>
      <c r="D377">
        <f t="shared" si="16"/>
        <v>5</v>
      </c>
      <c r="E377">
        <f t="shared" si="17"/>
        <v>10</v>
      </c>
    </row>
    <row r="378" spans="1:5" x14ac:dyDescent="0.25">
      <c r="A378" t="s">
        <v>1848</v>
      </c>
      <c r="B378" s="1">
        <v>45788</v>
      </c>
      <c r="C378">
        <f t="shared" si="15"/>
        <v>2025</v>
      </c>
      <c r="D378">
        <f t="shared" si="16"/>
        <v>5</v>
      </c>
      <c r="E378">
        <f t="shared" si="17"/>
        <v>11</v>
      </c>
    </row>
    <row r="379" spans="1:5" x14ac:dyDescent="0.25">
      <c r="A379" t="s">
        <v>1849</v>
      </c>
      <c r="B379" s="1">
        <v>45790</v>
      </c>
      <c r="C379">
        <f t="shared" si="15"/>
        <v>2025</v>
      </c>
      <c r="D379">
        <f t="shared" si="16"/>
        <v>5</v>
      </c>
      <c r="E379">
        <f t="shared" si="17"/>
        <v>13</v>
      </c>
    </row>
    <row r="380" spans="1:5" x14ac:dyDescent="0.25">
      <c r="A380" t="s">
        <v>1850</v>
      </c>
      <c r="B380" s="1">
        <v>45791</v>
      </c>
      <c r="C380">
        <f t="shared" si="15"/>
        <v>2025</v>
      </c>
      <c r="D380">
        <f t="shared" si="16"/>
        <v>5</v>
      </c>
      <c r="E380">
        <f t="shared" si="17"/>
        <v>14</v>
      </c>
    </row>
    <row r="381" spans="1:5" x14ac:dyDescent="0.25">
      <c r="A381" t="s">
        <v>1851</v>
      </c>
      <c r="B381" s="1">
        <v>45792</v>
      </c>
      <c r="C381">
        <f t="shared" si="15"/>
        <v>2025</v>
      </c>
      <c r="D381">
        <f t="shared" si="16"/>
        <v>5</v>
      </c>
      <c r="E381">
        <f t="shared" si="17"/>
        <v>15</v>
      </c>
    </row>
    <row r="382" spans="1:5" x14ac:dyDescent="0.25">
      <c r="A382" t="s">
        <v>1852</v>
      </c>
      <c r="B382" s="1">
        <v>45793</v>
      </c>
      <c r="C382">
        <f t="shared" si="15"/>
        <v>2025</v>
      </c>
      <c r="D382">
        <f t="shared" si="16"/>
        <v>5</v>
      </c>
      <c r="E382">
        <f t="shared" si="17"/>
        <v>16</v>
      </c>
    </row>
    <row r="383" spans="1:5" x14ac:dyDescent="0.25">
      <c r="A383" t="s">
        <v>1853</v>
      </c>
      <c r="B383" s="1">
        <v>45794</v>
      </c>
      <c r="C383">
        <f t="shared" si="15"/>
        <v>2025</v>
      </c>
      <c r="D383">
        <f t="shared" si="16"/>
        <v>5</v>
      </c>
      <c r="E383">
        <f t="shared" si="17"/>
        <v>17</v>
      </c>
    </row>
    <row r="384" spans="1:5" x14ac:dyDescent="0.25">
      <c r="A384" t="s">
        <v>1854</v>
      </c>
      <c r="B384" s="1">
        <v>45795</v>
      </c>
      <c r="C384">
        <f t="shared" si="15"/>
        <v>2025</v>
      </c>
      <c r="D384">
        <f t="shared" si="16"/>
        <v>5</v>
      </c>
      <c r="E384">
        <f t="shared" si="17"/>
        <v>18</v>
      </c>
    </row>
    <row r="385" spans="1:5" x14ac:dyDescent="0.25">
      <c r="A385" t="s">
        <v>1855</v>
      </c>
      <c r="B385" s="1">
        <v>45796</v>
      </c>
      <c r="C385">
        <f t="shared" si="15"/>
        <v>2025</v>
      </c>
      <c r="D385">
        <f t="shared" si="16"/>
        <v>5</v>
      </c>
      <c r="E385">
        <f t="shared" si="17"/>
        <v>19</v>
      </c>
    </row>
    <row r="386" spans="1:5" x14ac:dyDescent="0.25">
      <c r="A386" t="s">
        <v>1856</v>
      </c>
      <c r="B386" s="1">
        <v>45797</v>
      </c>
      <c r="C386">
        <f t="shared" si="15"/>
        <v>2025</v>
      </c>
      <c r="D386">
        <f t="shared" si="16"/>
        <v>5</v>
      </c>
      <c r="E386">
        <f t="shared" si="17"/>
        <v>20</v>
      </c>
    </row>
    <row r="387" spans="1:5" x14ac:dyDescent="0.25">
      <c r="A387" t="s">
        <v>1857</v>
      </c>
      <c r="B387" s="1">
        <v>45799</v>
      </c>
      <c r="C387">
        <f t="shared" ref="C387:C450" si="18">YEAR(B387)</f>
        <v>2025</v>
      </c>
      <c r="D387">
        <f t="shared" ref="D387:D450" si="19">MONTH(B387)</f>
        <v>5</v>
      </c>
      <c r="E387">
        <f t="shared" ref="E387:E450" si="20">DAY(B387)</f>
        <v>22</v>
      </c>
    </row>
    <row r="388" spans="1:5" x14ac:dyDescent="0.25">
      <c r="A388" t="s">
        <v>1858</v>
      </c>
      <c r="B388" s="1">
        <v>45801</v>
      </c>
      <c r="C388">
        <f t="shared" si="18"/>
        <v>2025</v>
      </c>
      <c r="D388">
        <f t="shared" si="19"/>
        <v>5</v>
      </c>
      <c r="E388">
        <f t="shared" si="20"/>
        <v>24</v>
      </c>
    </row>
    <row r="389" spans="1:5" x14ac:dyDescent="0.25">
      <c r="A389" t="s">
        <v>1859</v>
      </c>
      <c r="B389" s="1">
        <v>45802</v>
      </c>
      <c r="C389">
        <f t="shared" si="18"/>
        <v>2025</v>
      </c>
      <c r="D389">
        <f t="shared" si="19"/>
        <v>5</v>
      </c>
      <c r="E389">
        <f t="shared" si="20"/>
        <v>25</v>
      </c>
    </row>
    <row r="390" spans="1:5" x14ac:dyDescent="0.25">
      <c r="A390" t="s">
        <v>1860</v>
      </c>
      <c r="B390" s="1">
        <v>45803</v>
      </c>
      <c r="C390">
        <f t="shared" si="18"/>
        <v>2025</v>
      </c>
      <c r="D390">
        <f t="shared" si="19"/>
        <v>5</v>
      </c>
      <c r="E390">
        <f t="shared" si="20"/>
        <v>26</v>
      </c>
    </row>
    <row r="391" spans="1:5" x14ac:dyDescent="0.25">
      <c r="A391" t="s">
        <v>1861</v>
      </c>
      <c r="B391" s="1">
        <v>45804</v>
      </c>
      <c r="C391">
        <f t="shared" si="18"/>
        <v>2025</v>
      </c>
      <c r="D391">
        <f t="shared" si="19"/>
        <v>5</v>
      </c>
      <c r="E391">
        <f t="shared" si="20"/>
        <v>27</v>
      </c>
    </row>
    <row r="392" spans="1:5" x14ac:dyDescent="0.25">
      <c r="A392" t="s">
        <v>1862</v>
      </c>
      <c r="B392" s="1">
        <v>45807</v>
      </c>
      <c r="C392">
        <f t="shared" si="18"/>
        <v>2025</v>
      </c>
      <c r="D392">
        <f t="shared" si="19"/>
        <v>5</v>
      </c>
      <c r="E392">
        <f t="shared" si="20"/>
        <v>30</v>
      </c>
    </row>
    <row r="393" spans="1:5" x14ac:dyDescent="0.25">
      <c r="A393" t="s">
        <v>1863</v>
      </c>
      <c r="B393" s="1">
        <v>45808</v>
      </c>
      <c r="C393">
        <f t="shared" si="18"/>
        <v>2025</v>
      </c>
      <c r="D393">
        <f t="shared" si="19"/>
        <v>5</v>
      </c>
      <c r="E393">
        <f t="shared" si="20"/>
        <v>31</v>
      </c>
    </row>
    <row r="394" spans="1:5" x14ac:dyDescent="0.25">
      <c r="A394" t="s">
        <v>1864</v>
      </c>
      <c r="B394" s="1">
        <v>45809</v>
      </c>
      <c r="C394">
        <f t="shared" si="18"/>
        <v>2025</v>
      </c>
      <c r="D394">
        <f t="shared" si="19"/>
        <v>6</v>
      </c>
      <c r="E394">
        <f t="shared" si="20"/>
        <v>1</v>
      </c>
    </row>
    <row r="395" spans="1:5" x14ac:dyDescent="0.25">
      <c r="A395" t="s">
        <v>1865</v>
      </c>
      <c r="B395" s="1">
        <v>45810</v>
      </c>
      <c r="C395">
        <f t="shared" si="18"/>
        <v>2025</v>
      </c>
      <c r="D395">
        <f t="shared" si="19"/>
        <v>6</v>
      </c>
      <c r="E395">
        <f t="shared" si="20"/>
        <v>2</v>
      </c>
    </row>
    <row r="396" spans="1:5" x14ac:dyDescent="0.25">
      <c r="A396" t="s">
        <v>1866</v>
      </c>
      <c r="B396" s="1">
        <v>45811</v>
      </c>
      <c r="C396">
        <f t="shared" si="18"/>
        <v>2025</v>
      </c>
      <c r="D396">
        <f t="shared" si="19"/>
        <v>6</v>
      </c>
      <c r="E396">
        <f t="shared" si="20"/>
        <v>3</v>
      </c>
    </row>
    <row r="397" spans="1:5" x14ac:dyDescent="0.25">
      <c r="A397" t="s">
        <v>1867</v>
      </c>
      <c r="B397" s="1">
        <v>45813</v>
      </c>
      <c r="C397">
        <f t="shared" si="18"/>
        <v>2025</v>
      </c>
      <c r="D397">
        <f t="shared" si="19"/>
        <v>6</v>
      </c>
      <c r="E397">
        <f t="shared" si="20"/>
        <v>5</v>
      </c>
    </row>
    <row r="398" spans="1:5" x14ac:dyDescent="0.25">
      <c r="A398" t="s">
        <v>1868</v>
      </c>
      <c r="B398" s="1">
        <v>45815</v>
      </c>
      <c r="C398">
        <f t="shared" si="18"/>
        <v>2025</v>
      </c>
      <c r="D398">
        <f t="shared" si="19"/>
        <v>6</v>
      </c>
      <c r="E398">
        <f t="shared" si="20"/>
        <v>7</v>
      </c>
    </row>
    <row r="399" spans="1:5" x14ac:dyDescent="0.25">
      <c r="A399" t="s">
        <v>1869</v>
      </c>
      <c r="B399" s="1">
        <v>45816</v>
      </c>
      <c r="C399">
        <f t="shared" si="18"/>
        <v>2025</v>
      </c>
      <c r="D399">
        <f t="shared" si="19"/>
        <v>6</v>
      </c>
      <c r="E399">
        <f t="shared" si="20"/>
        <v>8</v>
      </c>
    </row>
    <row r="400" spans="1:5" x14ac:dyDescent="0.25">
      <c r="A400" t="s">
        <v>1870</v>
      </c>
      <c r="B400" s="1">
        <v>45817</v>
      </c>
      <c r="C400">
        <f t="shared" si="18"/>
        <v>2025</v>
      </c>
      <c r="D400">
        <f t="shared" si="19"/>
        <v>6</v>
      </c>
      <c r="E400">
        <f t="shared" si="20"/>
        <v>9</v>
      </c>
    </row>
    <row r="401" spans="1:5" x14ac:dyDescent="0.25">
      <c r="A401" t="s">
        <v>1871</v>
      </c>
      <c r="B401" s="1">
        <v>45820</v>
      </c>
      <c r="C401">
        <f t="shared" si="18"/>
        <v>2025</v>
      </c>
      <c r="D401">
        <f t="shared" si="19"/>
        <v>6</v>
      </c>
      <c r="E401">
        <f t="shared" si="20"/>
        <v>12</v>
      </c>
    </row>
    <row r="402" spans="1:5" x14ac:dyDescent="0.25">
      <c r="A402" t="s">
        <v>1872</v>
      </c>
      <c r="B402" s="1">
        <v>45822</v>
      </c>
      <c r="C402">
        <f t="shared" si="18"/>
        <v>2025</v>
      </c>
      <c r="D402">
        <f t="shared" si="19"/>
        <v>6</v>
      </c>
      <c r="E402">
        <f t="shared" si="20"/>
        <v>14</v>
      </c>
    </row>
    <row r="403" spans="1:5" x14ac:dyDescent="0.25">
      <c r="A403" t="s">
        <v>1873</v>
      </c>
      <c r="B403" s="1">
        <v>45823</v>
      </c>
      <c r="C403">
        <f t="shared" si="18"/>
        <v>2025</v>
      </c>
      <c r="D403">
        <f t="shared" si="19"/>
        <v>6</v>
      </c>
      <c r="E403">
        <f t="shared" si="20"/>
        <v>15</v>
      </c>
    </row>
    <row r="404" spans="1:5" x14ac:dyDescent="0.25">
      <c r="A404" t="s">
        <v>1874</v>
      </c>
      <c r="B404" s="1">
        <v>45825</v>
      </c>
      <c r="C404">
        <f t="shared" si="18"/>
        <v>2025</v>
      </c>
      <c r="D404">
        <f t="shared" si="19"/>
        <v>6</v>
      </c>
      <c r="E404">
        <f t="shared" si="20"/>
        <v>17</v>
      </c>
    </row>
    <row r="405" spans="1:5" x14ac:dyDescent="0.25">
      <c r="A405" t="s">
        <v>1875</v>
      </c>
      <c r="B405" s="1">
        <v>45828</v>
      </c>
      <c r="C405">
        <f t="shared" si="18"/>
        <v>2025</v>
      </c>
      <c r="D405">
        <f t="shared" si="19"/>
        <v>6</v>
      </c>
      <c r="E405">
        <f t="shared" si="20"/>
        <v>20</v>
      </c>
    </row>
    <row r="406" spans="1:5" x14ac:dyDescent="0.25">
      <c r="A406" t="s">
        <v>1876</v>
      </c>
      <c r="B406" s="1">
        <v>45829</v>
      </c>
      <c r="C406">
        <f t="shared" si="18"/>
        <v>2025</v>
      </c>
      <c r="D406">
        <f t="shared" si="19"/>
        <v>6</v>
      </c>
      <c r="E406">
        <f t="shared" si="20"/>
        <v>21</v>
      </c>
    </row>
    <row r="407" spans="1:5" x14ac:dyDescent="0.25">
      <c r="A407" t="s">
        <v>1877</v>
      </c>
      <c r="B407" s="1">
        <v>45831</v>
      </c>
      <c r="C407">
        <f t="shared" si="18"/>
        <v>2025</v>
      </c>
      <c r="D407">
        <f t="shared" si="19"/>
        <v>6</v>
      </c>
      <c r="E407">
        <f t="shared" si="20"/>
        <v>23</v>
      </c>
    </row>
    <row r="408" spans="1:5" x14ac:dyDescent="0.25">
      <c r="A408" t="s">
        <v>1878</v>
      </c>
      <c r="B408" s="1">
        <v>45833</v>
      </c>
      <c r="C408">
        <f t="shared" si="18"/>
        <v>2025</v>
      </c>
      <c r="D408">
        <f t="shared" si="19"/>
        <v>6</v>
      </c>
      <c r="E408">
        <f t="shared" si="20"/>
        <v>25</v>
      </c>
    </row>
    <row r="409" spans="1:5" x14ac:dyDescent="0.25">
      <c r="A409" t="s">
        <v>1879</v>
      </c>
      <c r="B409" s="1">
        <v>45834</v>
      </c>
      <c r="C409">
        <f t="shared" si="18"/>
        <v>2025</v>
      </c>
      <c r="D409">
        <f t="shared" si="19"/>
        <v>6</v>
      </c>
      <c r="E409">
        <f t="shared" si="20"/>
        <v>26</v>
      </c>
    </row>
    <row r="410" spans="1:5" x14ac:dyDescent="0.25">
      <c r="A410" t="s">
        <v>1880</v>
      </c>
      <c r="B410" s="1">
        <v>45836</v>
      </c>
      <c r="C410">
        <f t="shared" si="18"/>
        <v>2025</v>
      </c>
      <c r="D410">
        <f t="shared" si="19"/>
        <v>6</v>
      </c>
      <c r="E410">
        <f t="shared" si="20"/>
        <v>28</v>
      </c>
    </row>
    <row r="411" spans="1:5" x14ac:dyDescent="0.25">
      <c r="A411" t="s">
        <v>1881</v>
      </c>
      <c r="B411" s="1">
        <v>45837</v>
      </c>
      <c r="C411">
        <f t="shared" si="18"/>
        <v>2025</v>
      </c>
      <c r="D411">
        <f t="shared" si="19"/>
        <v>6</v>
      </c>
      <c r="E411">
        <f t="shared" si="20"/>
        <v>29</v>
      </c>
    </row>
    <row r="412" spans="1:5" x14ac:dyDescent="0.25">
      <c r="A412" t="s">
        <v>1882</v>
      </c>
      <c r="B412" s="1">
        <v>45838</v>
      </c>
      <c r="C412">
        <f t="shared" si="18"/>
        <v>2025</v>
      </c>
      <c r="D412">
        <f t="shared" si="19"/>
        <v>6</v>
      </c>
      <c r="E412">
        <f t="shared" si="20"/>
        <v>30</v>
      </c>
    </row>
    <row r="413" spans="1:5" x14ac:dyDescent="0.25">
      <c r="A413" t="s">
        <v>1883</v>
      </c>
      <c r="B413" s="1">
        <v>45839</v>
      </c>
      <c r="C413">
        <f t="shared" si="18"/>
        <v>2025</v>
      </c>
      <c r="D413">
        <f t="shared" si="19"/>
        <v>7</v>
      </c>
      <c r="E413">
        <f t="shared" si="20"/>
        <v>1</v>
      </c>
    </row>
    <row r="414" spans="1:5" x14ac:dyDescent="0.25">
      <c r="A414" t="s">
        <v>1884</v>
      </c>
      <c r="B414" s="1">
        <v>45841</v>
      </c>
      <c r="C414">
        <f t="shared" si="18"/>
        <v>2025</v>
      </c>
      <c r="D414">
        <f t="shared" si="19"/>
        <v>7</v>
      </c>
      <c r="E414">
        <f t="shared" si="20"/>
        <v>3</v>
      </c>
    </row>
    <row r="415" spans="1:5" x14ac:dyDescent="0.25">
      <c r="A415" t="s">
        <v>1885</v>
      </c>
      <c r="B415" s="1">
        <v>45842</v>
      </c>
      <c r="C415">
        <f t="shared" si="18"/>
        <v>2025</v>
      </c>
      <c r="D415">
        <f t="shared" si="19"/>
        <v>7</v>
      </c>
      <c r="E415">
        <f t="shared" si="20"/>
        <v>4</v>
      </c>
    </row>
    <row r="416" spans="1:5" x14ac:dyDescent="0.25">
      <c r="A416" t="s">
        <v>1886</v>
      </c>
      <c r="B416" s="1">
        <v>45845</v>
      </c>
      <c r="C416">
        <f t="shared" si="18"/>
        <v>2025</v>
      </c>
      <c r="D416">
        <f t="shared" si="19"/>
        <v>7</v>
      </c>
      <c r="E416">
        <f t="shared" si="20"/>
        <v>7</v>
      </c>
    </row>
    <row r="417" spans="1:5" x14ac:dyDescent="0.25">
      <c r="A417" t="s">
        <v>1887</v>
      </c>
      <c r="B417" s="1">
        <v>45847</v>
      </c>
      <c r="C417">
        <f t="shared" si="18"/>
        <v>2025</v>
      </c>
      <c r="D417">
        <f t="shared" si="19"/>
        <v>7</v>
      </c>
      <c r="E417">
        <f t="shared" si="20"/>
        <v>9</v>
      </c>
    </row>
    <row r="418" spans="1:5" x14ac:dyDescent="0.25">
      <c r="A418" t="s">
        <v>1888</v>
      </c>
      <c r="B418" s="1">
        <v>45849</v>
      </c>
      <c r="C418">
        <f t="shared" si="18"/>
        <v>2025</v>
      </c>
      <c r="D418">
        <f t="shared" si="19"/>
        <v>7</v>
      </c>
      <c r="E418">
        <f t="shared" si="20"/>
        <v>11</v>
      </c>
    </row>
    <row r="419" spans="1:5" x14ac:dyDescent="0.25">
      <c r="A419" t="s">
        <v>1889</v>
      </c>
      <c r="B419" s="1">
        <v>45850</v>
      </c>
      <c r="C419">
        <f t="shared" si="18"/>
        <v>2025</v>
      </c>
      <c r="D419">
        <f t="shared" si="19"/>
        <v>7</v>
      </c>
      <c r="E419">
        <f t="shared" si="20"/>
        <v>12</v>
      </c>
    </row>
    <row r="420" spans="1:5" x14ac:dyDescent="0.25">
      <c r="A420" t="s">
        <v>1890</v>
      </c>
      <c r="B420" s="1">
        <v>45851</v>
      </c>
      <c r="C420">
        <f t="shared" si="18"/>
        <v>2025</v>
      </c>
      <c r="D420">
        <f t="shared" si="19"/>
        <v>7</v>
      </c>
      <c r="E420">
        <f t="shared" si="20"/>
        <v>13</v>
      </c>
    </row>
    <row r="421" spans="1:5" x14ac:dyDescent="0.25">
      <c r="A421" t="s">
        <v>1891</v>
      </c>
      <c r="B421" s="1">
        <v>45852</v>
      </c>
      <c r="C421">
        <f t="shared" si="18"/>
        <v>2025</v>
      </c>
      <c r="D421">
        <f t="shared" si="19"/>
        <v>7</v>
      </c>
      <c r="E421">
        <f t="shared" si="20"/>
        <v>14</v>
      </c>
    </row>
    <row r="422" spans="1:5" x14ac:dyDescent="0.25">
      <c r="A422" t="s">
        <v>1892</v>
      </c>
      <c r="B422" s="1">
        <v>45854</v>
      </c>
      <c r="C422">
        <f t="shared" si="18"/>
        <v>2025</v>
      </c>
      <c r="D422">
        <f t="shared" si="19"/>
        <v>7</v>
      </c>
      <c r="E422">
        <f t="shared" si="20"/>
        <v>16</v>
      </c>
    </row>
    <row r="423" spans="1:5" x14ac:dyDescent="0.25">
      <c r="A423" t="s">
        <v>1893</v>
      </c>
      <c r="B423" s="1">
        <v>45855</v>
      </c>
      <c r="C423">
        <f t="shared" si="18"/>
        <v>2025</v>
      </c>
      <c r="D423">
        <f t="shared" si="19"/>
        <v>7</v>
      </c>
      <c r="E423">
        <f t="shared" si="20"/>
        <v>17</v>
      </c>
    </row>
    <row r="424" spans="1:5" x14ac:dyDescent="0.25">
      <c r="A424" t="s">
        <v>1894</v>
      </c>
      <c r="B424" s="1">
        <v>45856</v>
      </c>
      <c r="C424">
        <f t="shared" si="18"/>
        <v>2025</v>
      </c>
      <c r="D424">
        <f t="shared" si="19"/>
        <v>7</v>
      </c>
      <c r="E424">
        <f t="shared" si="20"/>
        <v>18</v>
      </c>
    </row>
    <row r="425" spans="1:5" x14ac:dyDescent="0.25">
      <c r="A425" t="s">
        <v>1895</v>
      </c>
      <c r="B425" s="1">
        <v>45857</v>
      </c>
      <c r="C425">
        <f t="shared" si="18"/>
        <v>2025</v>
      </c>
      <c r="D425">
        <f t="shared" si="19"/>
        <v>7</v>
      </c>
      <c r="E425">
        <f t="shared" si="20"/>
        <v>19</v>
      </c>
    </row>
    <row r="426" spans="1:5" x14ac:dyDescent="0.25">
      <c r="A426" t="s">
        <v>1896</v>
      </c>
      <c r="B426" s="1">
        <v>45858</v>
      </c>
      <c r="C426">
        <f t="shared" si="18"/>
        <v>2025</v>
      </c>
      <c r="D426">
        <f t="shared" si="19"/>
        <v>7</v>
      </c>
      <c r="E426">
        <f t="shared" si="20"/>
        <v>20</v>
      </c>
    </row>
    <row r="427" spans="1:5" x14ac:dyDescent="0.25">
      <c r="A427" t="s">
        <v>1897</v>
      </c>
      <c r="B427" s="1">
        <v>45860</v>
      </c>
      <c r="C427">
        <f t="shared" si="18"/>
        <v>2025</v>
      </c>
      <c r="D427">
        <f t="shared" si="19"/>
        <v>7</v>
      </c>
      <c r="E427">
        <f t="shared" si="20"/>
        <v>22</v>
      </c>
    </row>
    <row r="428" spans="1:5" x14ac:dyDescent="0.25">
      <c r="A428" t="s">
        <v>1898</v>
      </c>
      <c r="B428" s="1">
        <v>45861</v>
      </c>
      <c r="C428">
        <f t="shared" si="18"/>
        <v>2025</v>
      </c>
      <c r="D428">
        <f t="shared" si="19"/>
        <v>7</v>
      </c>
      <c r="E428">
        <f t="shared" si="20"/>
        <v>23</v>
      </c>
    </row>
    <row r="429" spans="1:5" x14ac:dyDescent="0.25">
      <c r="A429" t="s">
        <v>1899</v>
      </c>
      <c r="B429" s="1">
        <v>45863</v>
      </c>
      <c r="C429">
        <f t="shared" si="18"/>
        <v>2025</v>
      </c>
      <c r="D429">
        <f t="shared" si="19"/>
        <v>7</v>
      </c>
      <c r="E429">
        <f t="shared" si="20"/>
        <v>25</v>
      </c>
    </row>
    <row r="430" spans="1:5" x14ac:dyDescent="0.25">
      <c r="A430" t="s">
        <v>1900</v>
      </c>
      <c r="B430" s="1">
        <v>45864</v>
      </c>
      <c r="C430">
        <f t="shared" si="18"/>
        <v>2025</v>
      </c>
      <c r="D430">
        <f t="shared" si="19"/>
        <v>7</v>
      </c>
      <c r="E430">
        <f t="shared" si="20"/>
        <v>26</v>
      </c>
    </row>
    <row r="431" spans="1:5" x14ac:dyDescent="0.25">
      <c r="A431" t="s">
        <v>1901</v>
      </c>
      <c r="B431" s="1">
        <v>45865</v>
      </c>
      <c r="C431">
        <f t="shared" si="18"/>
        <v>2025</v>
      </c>
      <c r="D431">
        <f t="shared" si="19"/>
        <v>7</v>
      </c>
      <c r="E431">
        <f t="shared" si="20"/>
        <v>27</v>
      </c>
    </row>
    <row r="432" spans="1:5" x14ac:dyDescent="0.25">
      <c r="A432" t="s">
        <v>1902</v>
      </c>
      <c r="B432" s="1">
        <v>45866</v>
      </c>
      <c r="C432">
        <f t="shared" si="18"/>
        <v>2025</v>
      </c>
      <c r="D432">
        <f t="shared" si="19"/>
        <v>7</v>
      </c>
      <c r="E432">
        <f t="shared" si="20"/>
        <v>28</v>
      </c>
    </row>
    <row r="433" spans="1:5" x14ac:dyDescent="0.25">
      <c r="A433" t="s">
        <v>1903</v>
      </c>
      <c r="B433" s="1">
        <v>45868</v>
      </c>
      <c r="C433">
        <f t="shared" si="18"/>
        <v>2025</v>
      </c>
      <c r="D433">
        <f t="shared" si="19"/>
        <v>7</v>
      </c>
      <c r="E433">
        <f t="shared" si="20"/>
        <v>30</v>
      </c>
    </row>
    <row r="434" spans="1:5" x14ac:dyDescent="0.25">
      <c r="A434" t="s">
        <v>1904</v>
      </c>
      <c r="B434" s="1">
        <v>45869</v>
      </c>
      <c r="C434">
        <f t="shared" si="18"/>
        <v>2025</v>
      </c>
      <c r="D434">
        <f t="shared" si="19"/>
        <v>7</v>
      </c>
      <c r="E434">
        <f t="shared" si="20"/>
        <v>31</v>
      </c>
    </row>
    <row r="435" spans="1:5" x14ac:dyDescent="0.25">
      <c r="A435" t="s">
        <v>1905</v>
      </c>
      <c r="B435" s="1">
        <v>45870</v>
      </c>
      <c r="C435">
        <f t="shared" si="18"/>
        <v>2025</v>
      </c>
      <c r="D435">
        <f t="shared" si="19"/>
        <v>8</v>
      </c>
      <c r="E435">
        <f t="shared" si="20"/>
        <v>1</v>
      </c>
    </row>
    <row r="436" spans="1:5" x14ac:dyDescent="0.25">
      <c r="A436" t="s">
        <v>1906</v>
      </c>
      <c r="B436" s="1">
        <v>45871</v>
      </c>
      <c r="C436">
        <f t="shared" si="18"/>
        <v>2025</v>
      </c>
      <c r="D436">
        <f t="shared" si="19"/>
        <v>8</v>
      </c>
      <c r="E436">
        <f t="shared" si="20"/>
        <v>2</v>
      </c>
    </row>
    <row r="437" spans="1:5" x14ac:dyDescent="0.25">
      <c r="A437" t="s">
        <v>1907</v>
      </c>
      <c r="B437" s="1">
        <v>45872</v>
      </c>
      <c r="C437">
        <f t="shared" si="18"/>
        <v>2025</v>
      </c>
      <c r="D437">
        <f t="shared" si="19"/>
        <v>8</v>
      </c>
      <c r="E437">
        <f t="shared" si="20"/>
        <v>3</v>
      </c>
    </row>
    <row r="438" spans="1:5" x14ac:dyDescent="0.25">
      <c r="A438" t="s">
        <v>1908</v>
      </c>
      <c r="B438" s="1">
        <v>45873</v>
      </c>
      <c r="C438">
        <f t="shared" si="18"/>
        <v>2025</v>
      </c>
      <c r="D438">
        <f t="shared" si="19"/>
        <v>8</v>
      </c>
      <c r="E438">
        <f t="shared" si="20"/>
        <v>4</v>
      </c>
    </row>
    <row r="439" spans="1:5" x14ac:dyDescent="0.25">
      <c r="A439" t="s">
        <v>1909</v>
      </c>
      <c r="B439" s="1">
        <v>45878</v>
      </c>
      <c r="C439">
        <f t="shared" si="18"/>
        <v>2025</v>
      </c>
      <c r="D439">
        <f t="shared" si="19"/>
        <v>8</v>
      </c>
      <c r="E439">
        <f t="shared" si="20"/>
        <v>9</v>
      </c>
    </row>
    <row r="440" spans="1:5" x14ac:dyDescent="0.25">
      <c r="A440" t="s">
        <v>1910</v>
      </c>
      <c r="B440" s="1">
        <v>45879</v>
      </c>
      <c r="C440">
        <f t="shared" si="18"/>
        <v>2025</v>
      </c>
      <c r="D440">
        <f t="shared" si="19"/>
        <v>8</v>
      </c>
      <c r="E440">
        <f t="shared" si="20"/>
        <v>10</v>
      </c>
    </row>
    <row r="441" spans="1:5" x14ac:dyDescent="0.25">
      <c r="A441" t="s">
        <v>1911</v>
      </c>
      <c r="B441" s="1">
        <v>45881</v>
      </c>
      <c r="C441">
        <f t="shared" si="18"/>
        <v>2025</v>
      </c>
      <c r="D441">
        <f t="shared" si="19"/>
        <v>8</v>
      </c>
      <c r="E441">
        <f t="shared" si="20"/>
        <v>12</v>
      </c>
    </row>
    <row r="442" spans="1:5" x14ac:dyDescent="0.25">
      <c r="A442" t="s">
        <v>1912</v>
      </c>
      <c r="B442" s="1">
        <v>45885</v>
      </c>
      <c r="C442">
        <f t="shared" si="18"/>
        <v>2025</v>
      </c>
      <c r="D442">
        <f t="shared" si="19"/>
        <v>8</v>
      </c>
      <c r="E442">
        <f t="shared" si="20"/>
        <v>16</v>
      </c>
    </row>
    <row r="443" spans="1:5" x14ac:dyDescent="0.25">
      <c r="A443" t="s">
        <v>1913</v>
      </c>
      <c r="B443" s="1">
        <v>45886</v>
      </c>
      <c r="C443">
        <f t="shared" si="18"/>
        <v>2025</v>
      </c>
      <c r="D443">
        <f t="shared" si="19"/>
        <v>8</v>
      </c>
      <c r="E443">
        <f t="shared" si="20"/>
        <v>17</v>
      </c>
    </row>
    <row r="444" spans="1:5" x14ac:dyDescent="0.25">
      <c r="A444" t="s">
        <v>1914</v>
      </c>
      <c r="B444" s="1">
        <v>45887</v>
      </c>
      <c r="C444">
        <f t="shared" si="18"/>
        <v>2025</v>
      </c>
      <c r="D444">
        <f t="shared" si="19"/>
        <v>8</v>
      </c>
      <c r="E444">
        <f t="shared" si="20"/>
        <v>18</v>
      </c>
    </row>
    <row r="445" spans="1:5" x14ac:dyDescent="0.25">
      <c r="A445" t="s">
        <v>1915</v>
      </c>
      <c r="B445" s="1">
        <v>45889</v>
      </c>
      <c r="C445">
        <f t="shared" si="18"/>
        <v>2025</v>
      </c>
      <c r="D445">
        <f t="shared" si="19"/>
        <v>8</v>
      </c>
      <c r="E445">
        <f t="shared" si="20"/>
        <v>20</v>
      </c>
    </row>
    <row r="446" spans="1:5" x14ac:dyDescent="0.25">
      <c r="A446" t="s">
        <v>1916</v>
      </c>
      <c r="B446" s="1">
        <v>45892</v>
      </c>
      <c r="C446">
        <f t="shared" si="18"/>
        <v>2025</v>
      </c>
      <c r="D446">
        <f t="shared" si="19"/>
        <v>8</v>
      </c>
      <c r="E446">
        <f t="shared" si="20"/>
        <v>23</v>
      </c>
    </row>
    <row r="447" spans="1:5" x14ac:dyDescent="0.25">
      <c r="A447" t="s">
        <v>1917</v>
      </c>
      <c r="B447" s="1">
        <v>45893</v>
      </c>
      <c r="C447">
        <f t="shared" si="18"/>
        <v>2025</v>
      </c>
      <c r="D447">
        <f t="shared" si="19"/>
        <v>8</v>
      </c>
      <c r="E447">
        <f t="shared" si="20"/>
        <v>24</v>
      </c>
    </row>
    <row r="448" spans="1:5" x14ac:dyDescent="0.25">
      <c r="A448" t="s">
        <v>1918</v>
      </c>
      <c r="B448" s="1">
        <v>45895</v>
      </c>
      <c r="C448">
        <f t="shared" si="18"/>
        <v>2025</v>
      </c>
      <c r="D448">
        <f t="shared" si="19"/>
        <v>8</v>
      </c>
      <c r="E448">
        <f t="shared" si="20"/>
        <v>26</v>
      </c>
    </row>
    <row r="449" spans="1:5" x14ac:dyDescent="0.25">
      <c r="A449" t="s">
        <v>1919</v>
      </c>
      <c r="B449" s="1">
        <v>45896</v>
      </c>
      <c r="C449">
        <f t="shared" si="18"/>
        <v>2025</v>
      </c>
      <c r="D449">
        <f t="shared" si="19"/>
        <v>8</v>
      </c>
      <c r="E449">
        <f t="shared" si="20"/>
        <v>27</v>
      </c>
    </row>
    <row r="450" spans="1:5" x14ac:dyDescent="0.25">
      <c r="A450" t="s">
        <v>1920</v>
      </c>
      <c r="B450" s="1">
        <v>45897</v>
      </c>
      <c r="C450">
        <f t="shared" si="18"/>
        <v>2025</v>
      </c>
      <c r="D450">
        <f t="shared" si="19"/>
        <v>8</v>
      </c>
      <c r="E450">
        <f t="shared" si="20"/>
        <v>28</v>
      </c>
    </row>
    <row r="451" spans="1:5" x14ac:dyDescent="0.25">
      <c r="A451" t="s">
        <v>1921</v>
      </c>
      <c r="B451" s="1">
        <v>45898</v>
      </c>
      <c r="C451">
        <f t="shared" ref="C451:C514" si="21">YEAR(B451)</f>
        <v>2025</v>
      </c>
      <c r="D451">
        <f t="shared" ref="D451:D514" si="22">MONTH(B451)</f>
        <v>8</v>
      </c>
      <c r="E451">
        <f t="shared" ref="E451:E514" si="23">DAY(B451)</f>
        <v>29</v>
      </c>
    </row>
    <row r="452" spans="1:5" x14ac:dyDescent="0.25">
      <c r="A452" t="s">
        <v>1922</v>
      </c>
      <c r="B452" s="1">
        <v>45899</v>
      </c>
      <c r="C452">
        <f t="shared" si="21"/>
        <v>2025</v>
      </c>
      <c r="D452">
        <f t="shared" si="22"/>
        <v>8</v>
      </c>
      <c r="E452">
        <f t="shared" si="23"/>
        <v>30</v>
      </c>
    </row>
    <row r="453" spans="1:5" x14ac:dyDescent="0.25">
      <c r="A453" t="s">
        <v>1923</v>
      </c>
      <c r="B453" s="1">
        <v>45900</v>
      </c>
      <c r="C453">
        <f t="shared" si="21"/>
        <v>2025</v>
      </c>
      <c r="D453">
        <f t="shared" si="22"/>
        <v>8</v>
      </c>
      <c r="E453">
        <f t="shared" si="23"/>
        <v>31</v>
      </c>
    </row>
    <row r="454" spans="1:5" x14ac:dyDescent="0.25">
      <c r="A454" t="s">
        <v>1924</v>
      </c>
      <c r="B454" s="1">
        <v>45901</v>
      </c>
      <c r="C454">
        <f t="shared" si="21"/>
        <v>2025</v>
      </c>
      <c r="D454">
        <f t="shared" si="22"/>
        <v>9</v>
      </c>
      <c r="E454">
        <f t="shared" si="23"/>
        <v>1</v>
      </c>
    </row>
    <row r="455" spans="1:5" x14ac:dyDescent="0.25">
      <c r="A455" t="s">
        <v>1925</v>
      </c>
      <c r="B455" s="1">
        <v>45902</v>
      </c>
      <c r="C455">
        <f t="shared" si="21"/>
        <v>2025</v>
      </c>
      <c r="D455">
        <f t="shared" si="22"/>
        <v>9</v>
      </c>
      <c r="E455">
        <f t="shared" si="23"/>
        <v>2</v>
      </c>
    </row>
    <row r="456" spans="1:5" x14ac:dyDescent="0.25">
      <c r="A456" t="s">
        <v>1926</v>
      </c>
      <c r="B456" s="1">
        <v>45903</v>
      </c>
      <c r="C456">
        <f t="shared" si="21"/>
        <v>2025</v>
      </c>
      <c r="D456">
        <f t="shared" si="22"/>
        <v>9</v>
      </c>
      <c r="E456">
        <f t="shared" si="23"/>
        <v>3</v>
      </c>
    </row>
    <row r="457" spans="1:5" x14ac:dyDescent="0.25">
      <c r="A457" t="s">
        <v>1927</v>
      </c>
      <c r="B457" s="1">
        <v>45904</v>
      </c>
      <c r="C457">
        <f t="shared" si="21"/>
        <v>2025</v>
      </c>
      <c r="D457">
        <f t="shared" si="22"/>
        <v>9</v>
      </c>
      <c r="E457">
        <f t="shared" si="23"/>
        <v>4</v>
      </c>
    </row>
    <row r="458" spans="1:5" x14ac:dyDescent="0.25">
      <c r="A458" t="s">
        <v>1928</v>
      </c>
      <c r="B458" s="1">
        <v>45907</v>
      </c>
      <c r="C458">
        <f t="shared" si="21"/>
        <v>2025</v>
      </c>
      <c r="D458">
        <f t="shared" si="22"/>
        <v>9</v>
      </c>
      <c r="E458">
        <f t="shared" si="23"/>
        <v>7</v>
      </c>
    </row>
    <row r="459" spans="1:5" x14ac:dyDescent="0.25">
      <c r="A459" t="s">
        <v>1929</v>
      </c>
      <c r="B459" s="1">
        <v>45908</v>
      </c>
      <c r="C459">
        <f t="shared" si="21"/>
        <v>2025</v>
      </c>
      <c r="D459">
        <f t="shared" si="22"/>
        <v>9</v>
      </c>
      <c r="E459">
        <f t="shared" si="23"/>
        <v>8</v>
      </c>
    </row>
    <row r="460" spans="1:5" x14ac:dyDescent="0.25">
      <c r="A460" t="s">
        <v>1930</v>
      </c>
      <c r="B460" s="1">
        <v>45911</v>
      </c>
      <c r="C460">
        <f t="shared" si="21"/>
        <v>2025</v>
      </c>
      <c r="D460">
        <f t="shared" si="22"/>
        <v>9</v>
      </c>
      <c r="E460">
        <f t="shared" si="23"/>
        <v>11</v>
      </c>
    </row>
    <row r="461" spans="1:5" x14ac:dyDescent="0.25">
      <c r="A461" t="s">
        <v>1931</v>
      </c>
      <c r="B461" s="1">
        <v>45913</v>
      </c>
      <c r="C461">
        <f t="shared" si="21"/>
        <v>2025</v>
      </c>
      <c r="D461">
        <f t="shared" si="22"/>
        <v>9</v>
      </c>
      <c r="E461">
        <f t="shared" si="23"/>
        <v>13</v>
      </c>
    </row>
    <row r="462" spans="1:5" x14ac:dyDescent="0.25">
      <c r="A462" t="s">
        <v>1932</v>
      </c>
      <c r="B462" s="1">
        <v>45914</v>
      </c>
      <c r="C462">
        <f t="shared" si="21"/>
        <v>2025</v>
      </c>
      <c r="D462">
        <f t="shared" si="22"/>
        <v>9</v>
      </c>
      <c r="E462">
        <f t="shared" si="23"/>
        <v>14</v>
      </c>
    </row>
    <row r="463" spans="1:5" x14ac:dyDescent="0.25">
      <c r="A463" t="s">
        <v>1933</v>
      </c>
      <c r="B463" s="1">
        <v>45915</v>
      </c>
      <c r="C463">
        <f t="shared" si="21"/>
        <v>2025</v>
      </c>
      <c r="D463">
        <f t="shared" si="22"/>
        <v>9</v>
      </c>
      <c r="E463">
        <f t="shared" si="23"/>
        <v>15</v>
      </c>
    </row>
    <row r="464" spans="1:5" x14ac:dyDescent="0.25">
      <c r="A464" t="s">
        <v>1934</v>
      </c>
      <c r="B464" s="1">
        <v>45916</v>
      </c>
      <c r="C464">
        <f t="shared" si="21"/>
        <v>2025</v>
      </c>
      <c r="D464">
        <f t="shared" si="22"/>
        <v>9</v>
      </c>
      <c r="E464">
        <f t="shared" si="23"/>
        <v>16</v>
      </c>
    </row>
    <row r="465" spans="1:5" x14ac:dyDescent="0.25">
      <c r="A465" t="s">
        <v>1935</v>
      </c>
      <c r="B465" s="1">
        <v>45917</v>
      </c>
      <c r="C465">
        <f t="shared" si="21"/>
        <v>2025</v>
      </c>
      <c r="D465">
        <f t="shared" si="22"/>
        <v>9</v>
      </c>
      <c r="E465">
        <f t="shared" si="23"/>
        <v>17</v>
      </c>
    </row>
    <row r="466" spans="1:5" x14ac:dyDescent="0.25">
      <c r="A466" t="s">
        <v>1936</v>
      </c>
      <c r="B466" s="1">
        <v>45918</v>
      </c>
      <c r="C466">
        <f t="shared" si="21"/>
        <v>2025</v>
      </c>
      <c r="D466">
        <f t="shared" si="22"/>
        <v>9</v>
      </c>
      <c r="E466">
        <f t="shared" si="23"/>
        <v>18</v>
      </c>
    </row>
    <row r="467" spans="1:5" x14ac:dyDescent="0.25">
      <c r="A467" t="s">
        <v>1937</v>
      </c>
      <c r="B467" s="1">
        <v>45919</v>
      </c>
      <c r="C467">
        <f t="shared" si="21"/>
        <v>2025</v>
      </c>
      <c r="D467">
        <f t="shared" si="22"/>
        <v>9</v>
      </c>
      <c r="E467">
        <f t="shared" si="23"/>
        <v>19</v>
      </c>
    </row>
    <row r="468" spans="1:5" x14ac:dyDescent="0.25">
      <c r="A468" t="s">
        <v>1938</v>
      </c>
      <c r="B468" s="1">
        <v>45921</v>
      </c>
      <c r="C468">
        <f t="shared" si="21"/>
        <v>2025</v>
      </c>
      <c r="D468">
        <f t="shared" si="22"/>
        <v>9</v>
      </c>
      <c r="E468">
        <f t="shared" si="23"/>
        <v>21</v>
      </c>
    </row>
    <row r="469" spans="1:5" x14ac:dyDescent="0.25">
      <c r="A469" t="s">
        <v>1939</v>
      </c>
      <c r="B469" s="1">
        <v>45922</v>
      </c>
      <c r="C469">
        <f t="shared" si="21"/>
        <v>2025</v>
      </c>
      <c r="D469">
        <f t="shared" si="22"/>
        <v>9</v>
      </c>
      <c r="E469">
        <f t="shared" si="23"/>
        <v>22</v>
      </c>
    </row>
    <row r="470" spans="1:5" x14ac:dyDescent="0.25">
      <c r="A470" t="s">
        <v>1940</v>
      </c>
      <c r="B470" s="1">
        <v>45925</v>
      </c>
      <c r="C470">
        <f t="shared" si="21"/>
        <v>2025</v>
      </c>
      <c r="D470">
        <f t="shared" si="22"/>
        <v>9</v>
      </c>
      <c r="E470">
        <f t="shared" si="23"/>
        <v>25</v>
      </c>
    </row>
    <row r="471" spans="1:5" x14ac:dyDescent="0.25">
      <c r="A471" t="s">
        <v>1941</v>
      </c>
      <c r="B471" s="1">
        <v>45926</v>
      </c>
      <c r="C471">
        <f t="shared" si="21"/>
        <v>2025</v>
      </c>
      <c r="D471">
        <f t="shared" si="22"/>
        <v>9</v>
      </c>
      <c r="E471">
        <f t="shared" si="23"/>
        <v>26</v>
      </c>
    </row>
    <row r="472" spans="1:5" x14ac:dyDescent="0.25">
      <c r="A472" t="s">
        <v>1942</v>
      </c>
      <c r="B472" s="1">
        <v>45927</v>
      </c>
      <c r="C472">
        <f t="shared" si="21"/>
        <v>2025</v>
      </c>
      <c r="D472">
        <f t="shared" si="22"/>
        <v>9</v>
      </c>
      <c r="E472">
        <f t="shared" si="23"/>
        <v>27</v>
      </c>
    </row>
    <row r="473" spans="1:5" x14ac:dyDescent="0.25">
      <c r="A473" t="s">
        <v>1943</v>
      </c>
      <c r="B473" s="1">
        <v>45928</v>
      </c>
      <c r="C473">
        <f t="shared" si="21"/>
        <v>2025</v>
      </c>
      <c r="D473">
        <f t="shared" si="22"/>
        <v>9</v>
      </c>
      <c r="E473">
        <f t="shared" si="23"/>
        <v>28</v>
      </c>
    </row>
    <row r="474" spans="1:5" x14ac:dyDescent="0.25">
      <c r="A474" t="s">
        <v>1944</v>
      </c>
      <c r="B474" s="1">
        <v>45929</v>
      </c>
      <c r="C474">
        <f t="shared" si="21"/>
        <v>2025</v>
      </c>
      <c r="D474">
        <f t="shared" si="22"/>
        <v>9</v>
      </c>
      <c r="E474">
        <f t="shared" si="23"/>
        <v>29</v>
      </c>
    </row>
    <row r="475" spans="1:5" x14ac:dyDescent="0.25">
      <c r="A475" t="s">
        <v>1945</v>
      </c>
      <c r="B475" s="1">
        <v>45930</v>
      </c>
      <c r="C475">
        <f t="shared" si="21"/>
        <v>2025</v>
      </c>
      <c r="D475">
        <f t="shared" si="22"/>
        <v>9</v>
      </c>
      <c r="E475">
        <f t="shared" si="23"/>
        <v>30</v>
      </c>
    </row>
    <row r="476" spans="1:5" x14ac:dyDescent="0.25">
      <c r="A476" t="s">
        <v>1946</v>
      </c>
      <c r="B476" s="1">
        <v>45931</v>
      </c>
      <c r="C476">
        <f t="shared" si="21"/>
        <v>2025</v>
      </c>
      <c r="D476">
        <f t="shared" si="22"/>
        <v>10</v>
      </c>
      <c r="E476">
        <f t="shared" si="23"/>
        <v>1</v>
      </c>
    </row>
    <row r="477" spans="1:5" x14ac:dyDescent="0.25">
      <c r="A477" t="s">
        <v>1947</v>
      </c>
      <c r="B477" s="1">
        <v>45932</v>
      </c>
      <c r="C477">
        <f t="shared" si="21"/>
        <v>2025</v>
      </c>
      <c r="D477">
        <f t="shared" si="22"/>
        <v>10</v>
      </c>
      <c r="E477">
        <f t="shared" si="23"/>
        <v>2</v>
      </c>
    </row>
    <row r="478" spans="1:5" x14ac:dyDescent="0.25">
      <c r="A478" t="s">
        <v>1948</v>
      </c>
      <c r="B478" s="1">
        <v>45933</v>
      </c>
      <c r="C478">
        <f t="shared" si="21"/>
        <v>2025</v>
      </c>
      <c r="D478">
        <f t="shared" si="22"/>
        <v>10</v>
      </c>
      <c r="E478">
        <f t="shared" si="23"/>
        <v>3</v>
      </c>
    </row>
    <row r="479" spans="1:5" x14ac:dyDescent="0.25">
      <c r="A479" t="s">
        <v>1949</v>
      </c>
      <c r="B479" s="1">
        <v>45934</v>
      </c>
      <c r="C479">
        <f t="shared" si="21"/>
        <v>2025</v>
      </c>
      <c r="D479">
        <f t="shared" si="22"/>
        <v>10</v>
      </c>
      <c r="E479">
        <f t="shared" si="23"/>
        <v>4</v>
      </c>
    </row>
    <row r="480" spans="1:5" x14ac:dyDescent="0.25">
      <c r="A480" t="s">
        <v>1950</v>
      </c>
      <c r="B480" s="1">
        <v>45935</v>
      </c>
      <c r="C480">
        <f t="shared" si="21"/>
        <v>2025</v>
      </c>
      <c r="D480">
        <f t="shared" si="22"/>
        <v>10</v>
      </c>
      <c r="E480">
        <f t="shared" si="23"/>
        <v>5</v>
      </c>
    </row>
    <row r="481" spans="1:5" x14ac:dyDescent="0.25">
      <c r="A481" t="s">
        <v>1951</v>
      </c>
      <c r="B481" s="1">
        <v>45936</v>
      </c>
      <c r="C481">
        <f t="shared" si="21"/>
        <v>2025</v>
      </c>
      <c r="D481">
        <f t="shared" si="22"/>
        <v>10</v>
      </c>
      <c r="E481">
        <f t="shared" si="23"/>
        <v>6</v>
      </c>
    </row>
    <row r="482" spans="1:5" x14ac:dyDescent="0.25">
      <c r="A482" t="s">
        <v>1952</v>
      </c>
      <c r="B482" s="1">
        <v>45937</v>
      </c>
      <c r="C482">
        <f t="shared" si="21"/>
        <v>2025</v>
      </c>
      <c r="D482">
        <f t="shared" si="22"/>
        <v>10</v>
      </c>
      <c r="E482">
        <f t="shared" si="23"/>
        <v>7</v>
      </c>
    </row>
    <row r="483" spans="1:5" x14ac:dyDescent="0.25">
      <c r="A483" t="s">
        <v>1953</v>
      </c>
      <c r="B483" s="1">
        <v>45939</v>
      </c>
      <c r="C483">
        <f t="shared" si="21"/>
        <v>2025</v>
      </c>
      <c r="D483">
        <f t="shared" si="22"/>
        <v>10</v>
      </c>
      <c r="E483">
        <f t="shared" si="23"/>
        <v>9</v>
      </c>
    </row>
    <row r="484" spans="1:5" x14ac:dyDescent="0.25">
      <c r="A484" t="s">
        <v>1954</v>
      </c>
      <c r="B484" s="1">
        <v>45941</v>
      </c>
      <c r="C484">
        <f t="shared" si="21"/>
        <v>2025</v>
      </c>
      <c r="D484">
        <f t="shared" si="22"/>
        <v>10</v>
      </c>
      <c r="E484">
        <f t="shared" si="23"/>
        <v>11</v>
      </c>
    </row>
    <row r="485" spans="1:5" x14ac:dyDescent="0.25">
      <c r="A485" t="s">
        <v>1955</v>
      </c>
      <c r="B485" s="1">
        <v>45943</v>
      </c>
      <c r="C485">
        <f t="shared" si="21"/>
        <v>2025</v>
      </c>
      <c r="D485">
        <f t="shared" si="22"/>
        <v>10</v>
      </c>
      <c r="E485">
        <f t="shared" si="23"/>
        <v>13</v>
      </c>
    </row>
    <row r="486" spans="1:5" x14ac:dyDescent="0.25">
      <c r="A486" t="s">
        <v>1956</v>
      </c>
      <c r="B486" s="1">
        <v>45944</v>
      </c>
      <c r="C486">
        <f t="shared" si="21"/>
        <v>2025</v>
      </c>
      <c r="D486">
        <f t="shared" si="22"/>
        <v>10</v>
      </c>
      <c r="E486">
        <f t="shared" si="23"/>
        <v>14</v>
      </c>
    </row>
    <row r="487" spans="1:5" x14ac:dyDescent="0.25">
      <c r="A487" t="s">
        <v>1957</v>
      </c>
      <c r="B487" s="1">
        <v>45945</v>
      </c>
      <c r="C487">
        <f t="shared" si="21"/>
        <v>2025</v>
      </c>
      <c r="D487">
        <f t="shared" si="22"/>
        <v>10</v>
      </c>
      <c r="E487">
        <f t="shared" si="23"/>
        <v>15</v>
      </c>
    </row>
    <row r="488" spans="1:5" x14ac:dyDescent="0.25">
      <c r="A488" t="s">
        <v>1958</v>
      </c>
      <c r="B488" s="1">
        <v>45947</v>
      </c>
      <c r="C488">
        <f t="shared" si="21"/>
        <v>2025</v>
      </c>
      <c r="D488">
        <f t="shared" si="22"/>
        <v>10</v>
      </c>
      <c r="E488">
        <f t="shared" si="23"/>
        <v>17</v>
      </c>
    </row>
    <row r="489" spans="1:5" x14ac:dyDescent="0.25">
      <c r="A489" t="s">
        <v>1959</v>
      </c>
      <c r="B489" s="1">
        <v>45948</v>
      </c>
      <c r="C489">
        <f t="shared" si="21"/>
        <v>2025</v>
      </c>
      <c r="D489">
        <f t="shared" si="22"/>
        <v>10</v>
      </c>
      <c r="E489">
        <f t="shared" si="23"/>
        <v>18</v>
      </c>
    </row>
    <row r="490" spans="1:5" x14ac:dyDescent="0.25">
      <c r="A490" t="s">
        <v>1960</v>
      </c>
      <c r="B490" s="1">
        <v>45949</v>
      </c>
      <c r="C490">
        <f t="shared" si="21"/>
        <v>2025</v>
      </c>
      <c r="D490">
        <f t="shared" si="22"/>
        <v>10</v>
      </c>
      <c r="E490">
        <f t="shared" si="23"/>
        <v>19</v>
      </c>
    </row>
    <row r="491" spans="1:5" x14ac:dyDescent="0.25">
      <c r="A491" t="s">
        <v>1961</v>
      </c>
      <c r="B491" s="1">
        <v>45950</v>
      </c>
      <c r="C491">
        <f t="shared" si="21"/>
        <v>2025</v>
      </c>
      <c r="D491">
        <f t="shared" si="22"/>
        <v>10</v>
      </c>
      <c r="E491">
        <f t="shared" si="23"/>
        <v>20</v>
      </c>
    </row>
    <row r="492" spans="1:5" x14ac:dyDescent="0.25">
      <c r="A492" t="s">
        <v>1962</v>
      </c>
      <c r="B492" s="1">
        <v>45951</v>
      </c>
      <c r="C492">
        <f t="shared" si="21"/>
        <v>2025</v>
      </c>
      <c r="D492">
        <f t="shared" si="22"/>
        <v>10</v>
      </c>
      <c r="E492">
        <f t="shared" si="23"/>
        <v>21</v>
      </c>
    </row>
    <row r="493" spans="1:5" x14ac:dyDescent="0.25">
      <c r="A493" t="s">
        <v>1963</v>
      </c>
      <c r="B493" s="1">
        <v>45952</v>
      </c>
      <c r="C493">
        <f t="shared" si="21"/>
        <v>2025</v>
      </c>
      <c r="D493">
        <f t="shared" si="22"/>
        <v>10</v>
      </c>
      <c r="E493">
        <f t="shared" si="23"/>
        <v>22</v>
      </c>
    </row>
    <row r="494" spans="1:5" x14ac:dyDescent="0.25">
      <c r="A494" t="s">
        <v>1964</v>
      </c>
      <c r="B494" s="1">
        <v>45953</v>
      </c>
      <c r="C494">
        <f t="shared" si="21"/>
        <v>2025</v>
      </c>
      <c r="D494">
        <f t="shared" si="22"/>
        <v>10</v>
      </c>
      <c r="E494">
        <f t="shared" si="23"/>
        <v>23</v>
      </c>
    </row>
    <row r="495" spans="1:5" x14ac:dyDescent="0.25">
      <c r="A495" t="s">
        <v>1965</v>
      </c>
      <c r="B495" s="1">
        <v>45954</v>
      </c>
      <c r="C495">
        <f t="shared" si="21"/>
        <v>2025</v>
      </c>
      <c r="D495">
        <f t="shared" si="22"/>
        <v>10</v>
      </c>
      <c r="E495">
        <f t="shared" si="23"/>
        <v>24</v>
      </c>
    </row>
    <row r="496" spans="1:5" x14ac:dyDescent="0.25">
      <c r="A496" t="s">
        <v>1966</v>
      </c>
      <c r="B496" s="1">
        <v>45955</v>
      </c>
      <c r="C496">
        <f t="shared" si="21"/>
        <v>2025</v>
      </c>
      <c r="D496">
        <f t="shared" si="22"/>
        <v>10</v>
      </c>
      <c r="E496">
        <f t="shared" si="23"/>
        <v>25</v>
      </c>
    </row>
    <row r="497" spans="1:5" x14ac:dyDescent="0.25">
      <c r="A497" t="s">
        <v>1967</v>
      </c>
      <c r="B497" s="1">
        <v>45956</v>
      </c>
      <c r="C497">
        <f t="shared" si="21"/>
        <v>2025</v>
      </c>
      <c r="D497">
        <f t="shared" si="22"/>
        <v>10</v>
      </c>
      <c r="E497">
        <f t="shared" si="23"/>
        <v>26</v>
      </c>
    </row>
    <row r="498" spans="1:5" x14ac:dyDescent="0.25">
      <c r="A498" t="s">
        <v>1968</v>
      </c>
      <c r="B498" s="1">
        <v>45957</v>
      </c>
      <c r="C498">
        <f t="shared" si="21"/>
        <v>2025</v>
      </c>
      <c r="D498">
        <f t="shared" si="22"/>
        <v>10</v>
      </c>
      <c r="E498">
        <f t="shared" si="23"/>
        <v>27</v>
      </c>
    </row>
    <row r="499" spans="1:5" x14ac:dyDescent="0.25">
      <c r="A499" t="s">
        <v>1969</v>
      </c>
      <c r="B499" s="1">
        <v>45958</v>
      </c>
      <c r="C499">
        <f t="shared" si="21"/>
        <v>2025</v>
      </c>
      <c r="D499">
        <f t="shared" si="22"/>
        <v>10</v>
      </c>
      <c r="E499">
        <f t="shared" si="23"/>
        <v>28</v>
      </c>
    </row>
    <row r="500" spans="1:5" x14ac:dyDescent="0.25">
      <c r="A500" t="s">
        <v>1970</v>
      </c>
      <c r="B500" s="1">
        <v>45959</v>
      </c>
      <c r="C500">
        <f t="shared" si="21"/>
        <v>2025</v>
      </c>
      <c r="D500">
        <f t="shared" si="22"/>
        <v>10</v>
      </c>
      <c r="E500">
        <f t="shared" si="23"/>
        <v>29</v>
      </c>
    </row>
    <row r="501" spans="1:5" x14ac:dyDescent="0.25">
      <c r="A501" t="s">
        <v>1971</v>
      </c>
      <c r="B501" s="1">
        <v>45960</v>
      </c>
      <c r="C501">
        <f t="shared" si="21"/>
        <v>2025</v>
      </c>
      <c r="D501">
        <f t="shared" si="22"/>
        <v>10</v>
      </c>
      <c r="E501">
        <f t="shared" si="23"/>
        <v>30</v>
      </c>
    </row>
    <row r="502" spans="1:5" x14ac:dyDescent="0.25">
      <c r="A502" t="s">
        <v>1972</v>
      </c>
      <c r="B502" s="1">
        <v>45961</v>
      </c>
      <c r="C502">
        <f t="shared" si="21"/>
        <v>2025</v>
      </c>
      <c r="D502">
        <f t="shared" si="22"/>
        <v>10</v>
      </c>
      <c r="E502">
        <f t="shared" si="23"/>
        <v>31</v>
      </c>
    </row>
    <row r="503" spans="1:5" x14ac:dyDescent="0.25">
      <c r="A503" t="s">
        <v>1973</v>
      </c>
      <c r="B503" s="1">
        <v>45963</v>
      </c>
      <c r="C503">
        <f t="shared" si="21"/>
        <v>2025</v>
      </c>
      <c r="D503">
        <f t="shared" si="22"/>
        <v>11</v>
      </c>
      <c r="E503">
        <f t="shared" si="23"/>
        <v>2</v>
      </c>
    </row>
    <row r="504" spans="1:5" x14ac:dyDescent="0.25">
      <c r="A504" t="s">
        <v>1974</v>
      </c>
      <c r="B504" s="1">
        <v>45964</v>
      </c>
      <c r="C504">
        <f t="shared" si="21"/>
        <v>2025</v>
      </c>
      <c r="D504">
        <f t="shared" si="22"/>
        <v>11</v>
      </c>
      <c r="E504">
        <f t="shared" si="23"/>
        <v>3</v>
      </c>
    </row>
    <row r="505" spans="1:5" x14ac:dyDescent="0.25">
      <c r="A505" t="s">
        <v>1975</v>
      </c>
      <c r="B505" s="1">
        <v>45965</v>
      </c>
      <c r="C505">
        <f t="shared" si="21"/>
        <v>2025</v>
      </c>
      <c r="D505">
        <f t="shared" si="22"/>
        <v>11</v>
      </c>
      <c r="E505">
        <f t="shared" si="23"/>
        <v>4</v>
      </c>
    </row>
    <row r="506" spans="1:5" x14ac:dyDescent="0.25">
      <c r="A506" t="s">
        <v>1976</v>
      </c>
      <c r="B506" s="1">
        <v>45966</v>
      </c>
      <c r="C506">
        <f t="shared" si="21"/>
        <v>2025</v>
      </c>
      <c r="D506">
        <f t="shared" si="22"/>
        <v>11</v>
      </c>
      <c r="E506">
        <f t="shared" si="23"/>
        <v>5</v>
      </c>
    </row>
    <row r="507" spans="1:5" x14ac:dyDescent="0.25">
      <c r="A507" t="s">
        <v>1977</v>
      </c>
      <c r="B507" s="1">
        <v>45967</v>
      </c>
      <c r="C507">
        <f t="shared" si="21"/>
        <v>2025</v>
      </c>
      <c r="D507">
        <f t="shared" si="22"/>
        <v>11</v>
      </c>
      <c r="E507">
        <f t="shared" si="23"/>
        <v>6</v>
      </c>
    </row>
    <row r="508" spans="1:5" x14ac:dyDescent="0.25">
      <c r="A508" t="s">
        <v>1978</v>
      </c>
      <c r="B508" s="1">
        <v>45968</v>
      </c>
      <c r="C508">
        <f t="shared" si="21"/>
        <v>2025</v>
      </c>
      <c r="D508">
        <f t="shared" si="22"/>
        <v>11</v>
      </c>
      <c r="E508">
        <f t="shared" si="23"/>
        <v>7</v>
      </c>
    </row>
    <row r="509" spans="1:5" x14ac:dyDescent="0.25">
      <c r="A509" t="s">
        <v>1979</v>
      </c>
      <c r="B509" s="1">
        <v>45969</v>
      </c>
      <c r="C509">
        <f t="shared" si="21"/>
        <v>2025</v>
      </c>
      <c r="D509">
        <f t="shared" si="22"/>
        <v>11</v>
      </c>
      <c r="E509">
        <f t="shared" si="23"/>
        <v>8</v>
      </c>
    </row>
    <row r="510" spans="1:5" x14ac:dyDescent="0.25">
      <c r="A510" t="s">
        <v>1980</v>
      </c>
      <c r="B510" s="1">
        <v>45972</v>
      </c>
      <c r="C510">
        <f t="shared" si="21"/>
        <v>2025</v>
      </c>
      <c r="D510">
        <f t="shared" si="22"/>
        <v>11</v>
      </c>
      <c r="E510">
        <f t="shared" si="23"/>
        <v>11</v>
      </c>
    </row>
    <row r="511" spans="1:5" x14ac:dyDescent="0.25">
      <c r="A511" t="s">
        <v>1981</v>
      </c>
      <c r="B511" s="1">
        <v>45973</v>
      </c>
      <c r="C511">
        <f t="shared" si="21"/>
        <v>2025</v>
      </c>
      <c r="D511">
        <f t="shared" si="22"/>
        <v>11</v>
      </c>
      <c r="E511">
        <f t="shared" si="23"/>
        <v>12</v>
      </c>
    </row>
    <row r="512" spans="1:5" x14ac:dyDescent="0.25">
      <c r="A512" t="s">
        <v>1982</v>
      </c>
      <c r="B512" s="1">
        <v>45974</v>
      </c>
      <c r="C512">
        <f t="shared" si="21"/>
        <v>2025</v>
      </c>
      <c r="D512">
        <f t="shared" si="22"/>
        <v>11</v>
      </c>
      <c r="E512">
        <f t="shared" si="23"/>
        <v>13</v>
      </c>
    </row>
    <row r="513" spans="1:5" x14ac:dyDescent="0.25">
      <c r="A513" t="s">
        <v>1983</v>
      </c>
      <c r="B513" s="1">
        <v>45976</v>
      </c>
      <c r="C513">
        <f t="shared" si="21"/>
        <v>2025</v>
      </c>
      <c r="D513">
        <f t="shared" si="22"/>
        <v>11</v>
      </c>
      <c r="E513">
        <f t="shared" si="23"/>
        <v>15</v>
      </c>
    </row>
    <row r="514" spans="1:5" x14ac:dyDescent="0.25">
      <c r="A514" t="s">
        <v>1984</v>
      </c>
      <c r="B514" s="1">
        <v>45977</v>
      </c>
      <c r="C514">
        <f t="shared" si="21"/>
        <v>2025</v>
      </c>
      <c r="D514">
        <f t="shared" si="22"/>
        <v>11</v>
      </c>
      <c r="E514">
        <f t="shared" si="23"/>
        <v>16</v>
      </c>
    </row>
    <row r="515" spans="1:5" x14ac:dyDescent="0.25">
      <c r="A515" t="s">
        <v>1985</v>
      </c>
      <c r="B515" s="1">
        <v>45979</v>
      </c>
      <c r="C515">
        <f t="shared" ref="C515:C545" si="24">YEAR(B515)</f>
        <v>2025</v>
      </c>
      <c r="D515">
        <f t="shared" ref="D515:D545" si="25">MONTH(B515)</f>
        <v>11</v>
      </c>
      <c r="E515">
        <f t="shared" ref="E515:E545" si="26">DAY(B515)</f>
        <v>18</v>
      </c>
    </row>
    <row r="516" spans="1:5" x14ac:dyDescent="0.25">
      <c r="A516" t="s">
        <v>1986</v>
      </c>
      <c r="B516" s="1">
        <v>45980</v>
      </c>
      <c r="C516">
        <f t="shared" si="24"/>
        <v>2025</v>
      </c>
      <c r="D516">
        <f t="shared" si="25"/>
        <v>11</v>
      </c>
      <c r="E516">
        <f t="shared" si="26"/>
        <v>19</v>
      </c>
    </row>
    <row r="517" spans="1:5" x14ac:dyDescent="0.25">
      <c r="A517" t="s">
        <v>1987</v>
      </c>
      <c r="B517" s="1">
        <v>45981</v>
      </c>
      <c r="C517">
        <f t="shared" si="24"/>
        <v>2025</v>
      </c>
      <c r="D517">
        <f t="shared" si="25"/>
        <v>11</v>
      </c>
      <c r="E517">
        <f t="shared" si="26"/>
        <v>20</v>
      </c>
    </row>
    <row r="518" spans="1:5" x14ac:dyDescent="0.25">
      <c r="A518" t="s">
        <v>1988</v>
      </c>
      <c r="B518" s="1">
        <v>45982</v>
      </c>
      <c r="C518">
        <f t="shared" si="24"/>
        <v>2025</v>
      </c>
      <c r="D518">
        <f t="shared" si="25"/>
        <v>11</v>
      </c>
      <c r="E518">
        <f t="shared" si="26"/>
        <v>21</v>
      </c>
    </row>
    <row r="519" spans="1:5" x14ac:dyDescent="0.25">
      <c r="A519" t="s">
        <v>1989</v>
      </c>
      <c r="B519" s="1">
        <v>45983</v>
      </c>
      <c r="C519">
        <f t="shared" si="24"/>
        <v>2025</v>
      </c>
      <c r="D519">
        <f t="shared" si="25"/>
        <v>11</v>
      </c>
      <c r="E519">
        <f t="shared" si="26"/>
        <v>22</v>
      </c>
    </row>
    <row r="520" spans="1:5" x14ac:dyDescent="0.25">
      <c r="A520" t="s">
        <v>1990</v>
      </c>
      <c r="B520" s="1">
        <v>45984</v>
      </c>
      <c r="C520">
        <f t="shared" si="24"/>
        <v>2025</v>
      </c>
      <c r="D520">
        <f t="shared" si="25"/>
        <v>11</v>
      </c>
      <c r="E520">
        <f t="shared" si="26"/>
        <v>23</v>
      </c>
    </row>
    <row r="521" spans="1:5" x14ac:dyDescent="0.25">
      <c r="A521" t="s">
        <v>1991</v>
      </c>
      <c r="B521" s="1">
        <v>45986</v>
      </c>
      <c r="C521">
        <f t="shared" si="24"/>
        <v>2025</v>
      </c>
      <c r="D521">
        <f t="shared" si="25"/>
        <v>11</v>
      </c>
      <c r="E521">
        <f t="shared" si="26"/>
        <v>25</v>
      </c>
    </row>
    <row r="522" spans="1:5" x14ac:dyDescent="0.25">
      <c r="A522" t="s">
        <v>1992</v>
      </c>
      <c r="B522" s="1">
        <v>45987</v>
      </c>
      <c r="C522">
        <f t="shared" si="24"/>
        <v>2025</v>
      </c>
      <c r="D522">
        <f t="shared" si="25"/>
        <v>11</v>
      </c>
      <c r="E522">
        <f t="shared" si="26"/>
        <v>26</v>
      </c>
    </row>
    <row r="523" spans="1:5" x14ac:dyDescent="0.25">
      <c r="A523" t="s">
        <v>1993</v>
      </c>
      <c r="B523" s="1">
        <v>45988</v>
      </c>
      <c r="C523">
        <f t="shared" si="24"/>
        <v>2025</v>
      </c>
      <c r="D523">
        <f t="shared" si="25"/>
        <v>11</v>
      </c>
      <c r="E523">
        <f t="shared" si="26"/>
        <v>27</v>
      </c>
    </row>
    <row r="524" spans="1:5" x14ac:dyDescent="0.25">
      <c r="A524" t="s">
        <v>1994</v>
      </c>
      <c r="B524" s="1">
        <v>45989</v>
      </c>
      <c r="C524">
        <f t="shared" si="24"/>
        <v>2025</v>
      </c>
      <c r="D524">
        <f t="shared" si="25"/>
        <v>11</v>
      </c>
      <c r="E524">
        <f t="shared" si="26"/>
        <v>28</v>
      </c>
    </row>
    <row r="525" spans="1:5" x14ac:dyDescent="0.25">
      <c r="A525" t="s">
        <v>1995</v>
      </c>
      <c r="B525" s="1">
        <v>45990</v>
      </c>
      <c r="C525">
        <f t="shared" si="24"/>
        <v>2025</v>
      </c>
      <c r="D525">
        <f t="shared" si="25"/>
        <v>11</v>
      </c>
      <c r="E525">
        <f t="shared" si="26"/>
        <v>29</v>
      </c>
    </row>
    <row r="526" spans="1:5" x14ac:dyDescent="0.25">
      <c r="A526" t="s">
        <v>1996</v>
      </c>
      <c r="B526" s="1">
        <v>45991</v>
      </c>
      <c r="C526">
        <f t="shared" si="24"/>
        <v>2025</v>
      </c>
      <c r="D526">
        <f t="shared" si="25"/>
        <v>11</v>
      </c>
      <c r="E526">
        <f t="shared" si="26"/>
        <v>30</v>
      </c>
    </row>
    <row r="527" spans="1:5" x14ac:dyDescent="0.25">
      <c r="A527" t="s">
        <v>1997</v>
      </c>
      <c r="B527" s="1">
        <v>45992</v>
      </c>
      <c r="C527">
        <f t="shared" si="24"/>
        <v>2025</v>
      </c>
      <c r="D527">
        <f t="shared" si="25"/>
        <v>12</v>
      </c>
      <c r="E527">
        <f t="shared" si="26"/>
        <v>1</v>
      </c>
    </row>
    <row r="528" spans="1:5" x14ac:dyDescent="0.25">
      <c r="A528" t="s">
        <v>1998</v>
      </c>
      <c r="B528" s="1">
        <v>45995</v>
      </c>
      <c r="C528">
        <f t="shared" si="24"/>
        <v>2025</v>
      </c>
      <c r="D528">
        <f t="shared" si="25"/>
        <v>12</v>
      </c>
      <c r="E528">
        <f t="shared" si="26"/>
        <v>4</v>
      </c>
    </row>
    <row r="529" spans="1:5" x14ac:dyDescent="0.25">
      <c r="A529" t="s">
        <v>1999</v>
      </c>
      <c r="B529" s="1">
        <v>45997</v>
      </c>
      <c r="C529">
        <f t="shared" si="24"/>
        <v>2025</v>
      </c>
      <c r="D529">
        <f t="shared" si="25"/>
        <v>12</v>
      </c>
      <c r="E529">
        <f t="shared" si="26"/>
        <v>6</v>
      </c>
    </row>
    <row r="530" spans="1:5" x14ac:dyDescent="0.25">
      <c r="A530" t="s">
        <v>2000</v>
      </c>
      <c r="B530" s="1">
        <v>46000</v>
      </c>
      <c r="C530">
        <f t="shared" si="24"/>
        <v>2025</v>
      </c>
      <c r="D530">
        <f t="shared" si="25"/>
        <v>12</v>
      </c>
      <c r="E530">
        <f t="shared" si="26"/>
        <v>9</v>
      </c>
    </row>
    <row r="531" spans="1:5" x14ac:dyDescent="0.25">
      <c r="A531" t="s">
        <v>2001</v>
      </c>
      <c r="B531" s="1">
        <v>46001</v>
      </c>
      <c r="C531">
        <f t="shared" si="24"/>
        <v>2025</v>
      </c>
      <c r="D531">
        <f t="shared" si="25"/>
        <v>12</v>
      </c>
      <c r="E531">
        <f t="shared" si="26"/>
        <v>10</v>
      </c>
    </row>
    <row r="532" spans="1:5" x14ac:dyDescent="0.25">
      <c r="A532" t="s">
        <v>2002</v>
      </c>
      <c r="B532" s="1">
        <v>46003</v>
      </c>
      <c r="C532">
        <f t="shared" si="24"/>
        <v>2025</v>
      </c>
      <c r="D532">
        <f t="shared" si="25"/>
        <v>12</v>
      </c>
      <c r="E532">
        <f t="shared" si="26"/>
        <v>12</v>
      </c>
    </row>
    <row r="533" spans="1:5" x14ac:dyDescent="0.25">
      <c r="A533" t="s">
        <v>2003</v>
      </c>
      <c r="B533" s="1">
        <v>46005</v>
      </c>
      <c r="C533">
        <f t="shared" si="24"/>
        <v>2025</v>
      </c>
      <c r="D533">
        <f t="shared" si="25"/>
        <v>12</v>
      </c>
      <c r="E533">
        <f t="shared" si="26"/>
        <v>14</v>
      </c>
    </row>
    <row r="534" spans="1:5" x14ac:dyDescent="0.25">
      <c r="A534" t="s">
        <v>2004</v>
      </c>
      <c r="B534" s="1">
        <v>46006</v>
      </c>
      <c r="C534">
        <f t="shared" si="24"/>
        <v>2025</v>
      </c>
      <c r="D534">
        <f t="shared" si="25"/>
        <v>12</v>
      </c>
      <c r="E534">
        <f t="shared" si="26"/>
        <v>15</v>
      </c>
    </row>
    <row r="535" spans="1:5" x14ac:dyDescent="0.25">
      <c r="A535" t="s">
        <v>2005</v>
      </c>
      <c r="B535" s="1">
        <v>46008</v>
      </c>
      <c r="C535">
        <f t="shared" si="24"/>
        <v>2025</v>
      </c>
      <c r="D535">
        <f t="shared" si="25"/>
        <v>12</v>
      </c>
      <c r="E535">
        <f t="shared" si="26"/>
        <v>17</v>
      </c>
    </row>
    <row r="536" spans="1:5" x14ac:dyDescent="0.25">
      <c r="A536" t="s">
        <v>2006</v>
      </c>
      <c r="B536" s="1">
        <v>46009</v>
      </c>
      <c r="C536">
        <f t="shared" si="24"/>
        <v>2025</v>
      </c>
      <c r="D536">
        <f t="shared" si="25"/>
        <v>12</v>
      </c>
      <c r="E536">
        <f t="shared" si="26"/>
        <v>18</v>
      </c>
    </row>
    <row r="537" spans="1:5" x14ac:dyDescent="0.25">
      <c r="A537" t="s">
        <v>2007</v>
      </c>
      <c r="B537" s="1">
        <v>46010</v>
      </c>
      <c r="C537">
        <f t="shared" si="24"/>
        <v>2025</v>
      </c>
      <c r="D537">
        <f t="shared" si="25"/>
        <v>12</v>
      </c>
      <c r="E537">
        <f t="shared" si="26"/>
        <v>19</v>
      </c>
    </row>
    <row r="538" spans="1:5" x14ac:dyDescent="0.25">
      <c r="A538" t="s">
        <v>2008</v>
      </c>
      <c r="B538" s="1">
        <v>46011</v>
      </c>
      <c r="C538">
        <f t="shared" si="24"/>
        <v>2025</v>
      </c>
      <c r="D538">
        <f t="shared" si="25"/>
        <v>12</v>
      </c>
      <c r="E538">
        <f t="shared" si="26"/>
        <v>20</v>
      </c>
    </row>
    <row r="539" spans="1:5" x14ac:dyDescent="0.25">
      <c r="A539" t="s">
        <v>2009</v>
      </c>
      <c r="B539" s="1">
        <v>46014</v>
      </c>
      <c r="C539">
        <f t="shared" si="24"/>
        <v>2025</v>
      </c>
      <c r="D539">
        <f t="shared" si="25"/>
        <v>12</v>
      </c>
      <c r="E539">
        <f t="shared" si="26"/>
        <v>23</v>
      </c>
    </row>
    <row r="540" spans="1:5" x14ac:dyDescent="0.25">
      <c r="A540" t="s">
        <v>2010</v>
      </c>
      <c r="B540" s="1">
        <v>46015</v>
      </c>
      <c r="C540">
        <f t="shared" si="24"/>
        <v>2025</v>
      </c>
      <c r="D540">
        <f t="shared" si="25"/>
        <v>12</v>
      </c>
      <c r="E540">
        <f t="shared" si="26"/>
        <v>24</v>
      </c>
    </row>
    <row r="541" spans="1:5" x14ac:dyDescent="0.25">
      <c r="A541" t="s">
        <v>2011</v>
      </c>
      <c r="B541" s="1">
        <v>46016</v>
      </c>
      <c r="C541">
        <f t="shared" si="24"/>
        <v>2025</v>
      </c>
      <c r="D541">
        <f t="shared" si="25"/>
        <v>12</v>
      </c>
      <c r="E541">
        <f t="shared" si="26"/>
        <v>25</v>
      </c>
    </row>
    <row r="542" spans="1:5" x14ac:dyDescent="0.25">
      <c r="A542" t="s">
        <v>2012</v>
      </c>
      <c r="B542" s="1">
        <v>46017</v>
      </c>
      <c r="C542">
        <f t="shared" si="24"/>
        <v>2025</v>
      </c>
      <c r="D542">
        <f t="shared" si="25"/>
        <v>12</v>
      </c>
      <c r="E542">
        <f t="shared" si="26"/>
        <v>26</v>
      </c>
    </row>
    <row r="543" spans="1:5" x14ac:dyDescent="0.25">
      <c r="A543" t="s">
        <v>2013</v>
      </c>
      <c r="B543" s="1">
        <v>46018</v>
      </c>
      <c r="C543">
        <f t="shared" si="24"/>
        <v>2025</v>
      </c>
      <c r="D543">
        <f t="shared" si="25"/>
        <v>12</v>
      </c>
      <c r="E543">
        <f t="shared" si="26"/>
        <v>27</v>
      </c>
    </row>
    <row r="544" spans="1:5" x14ac:dyDescent="0.25">
      <c r="A544" t="s">
        <v>2014</v>
      </c>
      <c r="B544" s="1">
        <v>46020</v>
      </c>
      <c r="C544">
        <f t="shared" si="24"/>
        <v>2025</v>
      </c>
      <c r="D544">
        <f t="shared" si="25"/>
        <v>12</v>
      </c>
      <c r="E544">
        <f t="shared" si="26"/>
        <v>29</v>
      </c>
    </row>
    <row r="545" spans="1:5" x14ac:dyDescent="0.25">
      <c r="A545" t="s">
        <v>2015</v>
      </c>
      <c r="B545" s="1">
        <v>46021</v>
      </c>
      <c r="C545">
        <f t="shared" si="24"/>
        <v>2025</v>
      </c>
      <c r="D545">
        <f t="shared" si="25"/>
        <v>12</v>
      </c>
      <c r="E545">
        <f t="shared" si="26"/>
        <v>30</v>
      </c>
    </row>
    <row r="546" spans="1:5" x14ac:dyDescent="0.25">
      <c r="B546"/>
    </row>
    <row r="547" spans="1:5" x14ac:dyDescent="0.25">
      <c r="B547"/>
    </row>
    <row r="548" spans="1:5" x14ac:dyDescent="0.25">
      <c r="B548"/>
    </row>
    <row r="549" spans="1:5" x14ac:dyDescent="0.25">
      <c r="B549"/>
    </row>
    <row r="550" spans="1:5" x14ac:dyDescent="0.25">
      <c r="B550"/>
    </row>
    <row r="551" spans="1:5" x14ac:dyDescent="0.25">
      <c r="B551"/>
    </row>
    <row r="552" spans="1:5" x14ac:dyDescent="0.25">
      <c r="B552"/>
    </row>
    <row r="553" spans="1:5" x14ac:dyDescent="0.25">
      <c r="B553"/>
    </row>
    <row r="554" spans="1:5" x14ac:dyDescent="0.25">
      <c r="B554"/>
    </row>
    <row r="555" spans="1:5" x14ac:dyDescent="0.25">
      <c r="B555"/>
    </row>
    <row r="556" spans="1:5" x14ac:dyDescent="0.25">
      <c r="B556"/>
    </row>
    <row r="557" spans="1:5" x14ac:dyDescent="0.25">
      <c r="B557"/>
    </row>
    <row r="558" spans="1:5" x14ac:dyDescent="0.25">
      <c r="B558"/>
    </row>
    <row r="559" spans="1:5" x14ac:dyDescent="0.25">
      <c r="B559"/>
    </row>
    <row r="560" spans="1:5"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Dasboard</vt:lpstr>
      <vt:lpstr>DatasetKopi</vt:lpstr>
      <vt:lpstr>Tablefact</vt:lpstr>
      <vt:lpstr>Dimbranch</vt:lpstr>
      <vt:lpstr>Dimcust</vt:lpstr>
      <vt:lpstr>Dimcity</vt:lpstr>
      <vt:lpstr>Dimmenu</vt:lpstr>
      <vt:lpstr>Dimcategory</vt:lpstr>
      <vt:lpstr>Dimmethod</vt:lpstr>
      <vt:lpstr>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PPKDJSDG</dc:creator>
  <cp:lastModifiedBy>DA4</cp:lastModifiedBy>
  <dcterms:created xsi:type="dcterms:W3CDTF">2026-07-27T02:36:09Z</dcterms:created>
  <dcterms:modified xsi:type="dcterms:W3CDTF">2026-07-30T06:40:17Z</dcterms:modified>
</cp:coreProperties>
</file>